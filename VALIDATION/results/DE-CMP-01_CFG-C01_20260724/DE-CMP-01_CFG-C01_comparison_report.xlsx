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e9cc66e2aae54647" /></Relationships>
</file>

<file path=xl/workbook.xml><?xml version="1.0" encoding="utf-8"?>
<x:workbook xmlns:x="http://schemas.openxmlformats.org/spreadsheetml/2006/main">
  <x:sheets>
    <x:sheet xmlns:r="http://schemas.openxmlformats.org/officeDocument/2006/relationships" name="Raw Trials" sheetId="1" r:id="Re1fe1aff28d6414d"/>
    <x:sheet xmlns:r="http://schemas.openxmlformats.org/officeDocument/2006/relationships" name="Scenario Summary" sheetId="2" r:id="R224ccb4b99384e39"/>
    <x:sheet xmlns:r="http://schemas.openxmlformats.org/officeDocument/2006/relationships" name="Decision Gates" sheetId="3" r:id="Rb43ca28c544143f1"/>
    <x:sheet xmlns:r="http://schemas.openxmlformats.org/officeDocument/2006/relationships" name="Report" sheetId="4" r:id="R77689dd7ec2b4a8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0"/>
    <x:numFmt numFmtId="202" formatCode="0.0%"/>
    <x:numFmt numFmtId="203" formatCode="0.0000"/>
  </x:numFmts>
  <x:fonts count="21">
    <x:font>
      <x:sz val="11"/>
      <x:name val="Carlito"/>
    </x:font>
    <x:font>
      <x:sz val="8"/>
      <x:name val="Aptos"/>
    </x:font>
    <x:font>
      <x:b/>
      <x:sz val="8"/>
      <x:color rgb="FFFFFFFF"/>
      <x:name val="Aptos"/>
    </x:font>
    <x:font>
      <x:sz val="9"/>
      <x:name val="Aptos"/>
    </x:font>
    <x:font>
      <x:sz val="10"/>
      <x:name val="Aptos"/>
    </x:font>
    <x:font>
      <x:b/>
      <x:sz val="10"/>
      <x:color rgb="FFFFFFFF"/>
      <x:name val="Aptos"/>
    </x:font>
    <x:font>
      <x:b/>
      <x:sz val="18"/>
      <x:color rgb="FFFFFFFF"/>
      <x:name val="Aptos Display"/>
    </x:font>
    <x:font>
      <x:sz val="10"/>
      <x:color rgb="FFA8B3BD"/>
      <x:name val="Carlito"/>
    </x:font>
    <x:font>
      <x:b/>
      <x:sz val="10"/>
      <x:color rgb="FF64748B"/>
      <x:name val="Carlito"/>
    </x:font>
    <x:font>
      <x:b/>
      <x:sz val="24"/>
      <x:color rgb="FF18232C"/>
      <x:name val="Carlito"/>
    </x:font>
    <x:font>
      <x:b/>
      <x:sz val="9"/>
      <x:color rgb="FF64748B"/>
      <x:name val="Carlito"/>
    </x:font>
    <x:font>
      <x:sz val="10"/>
      <x:color rgb="FF17212B"/>
      <x:name val="Carlito"/>
    </x:font>
    <x:font>
      <x:b/>
      <x:sz val="12"/>
      <x:color rgb="FF17212B"/>
      <x:name val="Carlito"/>
    </x:font>
    <x:font>
      <x:b/>
      <x:sz val="9"/>
      <x:color rgb="FFFFFFFF"/>
      <x:name val="Carlito"/>
    </x:font>
    <x:font>
      <x:b/>
      <x:sz val="11"/>
      <x:color rgb="FFFFFFFF"/>
      <x:name val="Carlito"/>
    </x:font>
    <x:font>
      <x:sz val="11"/>
      <x:color rgb="FF17212B"/>
      <x:name val="Carlito"/>
    </x:font>
    <x:font>
      <x:sz val="10"/>
      <x:color rgb="FFA8B3BD"/>
      <x:name val="Aptos"/>
    </x:font>
    <x:font>
      <x:b/>
      <x:sz val="10"/>
      <x:color rgb="FF64748B"/>
      <x:name val="Aptos"/>
    </x:font>
    <x:font>
      <x:b/>
      <x:sz val="10"/>
      <x:color rgb="FF18232C"/>
      <x:name val="Aptos"/>
    </x:font>
    <x:font>
      <x:sz val="10"/>
      <x:color rgb="FF17212B"/>
      <x:name val="Aptos"/>
    </x:font>
    <x:font>
      <x:b/>
      <x:sz val="10"/>
      <x:color rgb="FF17212B"/>
      <x:name val="Aptos"/>
    </x:font>
  </x:fonts>
  <x:fills count="7">
    <x:fill>
      <x:patternFill patternType="none"/>
    </x:fill>
    <x:fill>
      <x:patternFill patternType="gray125"/>
    </x:fill>
    <x:fill>
      <x:patternFill patternType="solid">
        <x:fgColor rgb="FF25313B"/>
      </x:patternFill>
    </x:fill>
    <x:fill>
      <x:patternFill patternType="solid">
        <x:fgColor rgb="FF18232C"/>
      </x:patternFill>
    </x:fill>
    <x:fill>
      <x:patternFill patternType="solid">
        <x:fgColor rgb="FFE8F5F9"/>
      </x:patternFill>
    </x:fill>
    <x:fill>
      <x:patternFill patternType="solid">
        <x:fgColor rgb="FFEEF2F6"/>
      </x:patternFill>
    </x:fill>
    <x:fill>
      <x:patternFill patternType="solid">
        <x:fgColor rgb="FF00A7C7"/>
      </x:patternFill>
    </x:fill>
  </x:fills>
  <x:borders count="34">
    <x:border/>
    <x:border/>
    <x:border>
      <x:left style="thin">
        <x:color rgb="FF77B9CD"/>
      </x:left>
      <x:top style="thin">
        <x:color rgb="FF77B9CD"/>
      </x:top>
    </x:border>
    <x:border>
      <x:top style="thin">
        <x:color rgb="FF77B9CD"/>
      </x:top>
    </x:border>
    <x:border>
      <x:right style="thin">
        <x:color rgb="FF77B9CD"/>
      </x:right>
      <x:top style="thin">
        <x:color rgb="FF77B9CD"/>
      </x:top>
    </x:border>
    <x:border>
      <x:left style="thin">
        <x:color rgb="FF77B9CD"/>
      </x:left>
    </x:border>
    <x:border>
      <x:right style="thin">
        <x:color rgb="FF77B9CD"/>
      </x:right>
    </x:border>
    <x:border>
      <x:left style="thin">
        <x:color rgb="FF77B9CD"/>
      </x:left>
      <x:bottom style="thin">
        <x:color rgb="FF77B9CD"/>
      </x:bottom>
    </x:border>
    <x:border>
      <x:bottom style="thin">
        <x:color rgb="FF77B9CD"/>
      </x:bottom>
    </x:border>
    <x:border>
      <x:right style="thin">
        <x:color rgb="FF77B9CD"/>
      </x:right>
      <x:bottom style="thin">
        <x:color rgb="FF77B9CD"/>
      </x:bottom>
    </x:border>
    <x:border>
      <x:left style="thin">
        <x:color rgb="FF77B9CD"/>
      </x:left>
      <x:top style="thin">
        <x:color rgb="FF77B9CD"/>
      </x:top>
    </x:border>
    <x:border>
      <x:top style="thin">
        <x:color rgb="FF77B9CD"/>
      </x:top>
    </x:border>
    <x:border>
      <x:right style="thin">
        <x:color rgb="FF77B9CD"/>
      </x:right>
      <x:top style="thin">
        <x:color rgb="FF77B9CD"/>
      </x:top>
    </x:border>
    <x:border>
      <x:left style="thin">
        <x:color rgb="FF77B9CD"/>
      </x:left>
    </x:border>
    <x:border>
      <x:right style="thin">
        <x:color rgb="FF77B9CD"/>
      </x:right>
    </x:border>
    <x:border>
      <x:left style="thin">
        <x:color rgb="FF77B9CD"/>
      </x:left>
      <x:bottom style="thin">
        <x:color rgb="FF77B9CD"/>
      </x:bottom>
    </x:border>
    <x:border>
      <x:bottom style="thin">
        <x:color rgb="FF77B9CD"/>
      </x:bottom>
    </x:border>
    <x:border>
      <x:right style="thin">
        <x:color rgb="FF77B9CD"/>
      </x:right>
      <x:bottom style="thin">
        <x:color rgb="FF77B9CD"/>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2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200" fontId="2" fillId="2" borderId="0" xfId="0" applyNumberFormat="1" applyFont="1" applyFill="1" applyBorder="1" applyAlignment="1">
      <x:alignment wrapText="1"/>
    </x:xf>
    <x:xf numFmtId="200" fontId="2" fillId="2" borderId="1" xfId="0" applyNumberFormat="1" applyFont="1" applyFill="1" applyBorder="1" applyAlignment="1">
      <x:alignment wrapText="1"/>
    </x:xf>
    <x:xf numFmtId="201" fontId="2" fillId="2" borderId="0" xfId="0" applyNumberFormat="1" applyFont="1" applyFill="1" applyBorder="1" applyAlignment="1">
      <x:alignment wrapText="1"/>
    </x:xf>
    <x:xf numFmtId="201" fontId="2" fillId="2"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202" fontId="2" fillId="2" borderId="0" xfId="0" applyNumberFormat="1" applyFont="1" applyFill="1" applyBorder="1" applyAlignment="1">
      <x:alignment wrapText="1"/>
    </x:xf>
    <x:xf numFmtId="202" fontId="2" fillId="2"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0" xfId="0" applyNumberFormat="1" applyFont="1" applyFill="1" applyBorder="1" applyAlignment="1">
      <x:alignment wrapText="1"/>
    </x:xf>
    <x:xf numFmtId="0" fontId="5" fillId="2"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203" fontId="4" fillId="0" borderId="0" xfId="0" applyNumberFormat="1" applyFont="1" applyFill="1" applyBorder="1"/>
    <x:xf numFmtId="203" fontId="4"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7" fillId="3" borderId="0" xfId="0" applyNumberFormat="1" applyFont="1" applyFill="1" applyBorder="1"/>
    <x:xf numFmtId="0" fontId="7"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4" borderId="10" xfId="0" applyNumberFormat="1" applyFont="1" applyFill="1" applyBorder="1"/>
    <x:xf numFmtId="0" fontId="0" fillId="4" borderId="11" xfId="0" applyNumberFormat="1" applyFont="1" applyFill="1" applyBorder="1"/>
    <x:xf numFmtId="0" fontId="0" fillId="4" borderId="12" xfId="0" applyNumberFormat="1" applyFont="1" applyFill="1" applyBorder="1"/>
    <x:xf numFmtId="0" fontId="0" fillId="4" borderId="13" xfId="0" applyNumberFormat="1" applyFont="1" applyFill="1" applyBorder="1"/>
    <x:xf numFmtId="0" fontId="0" fillId="4" borderId="14" xfId="0" applyNumberFormat="1" applyFont="1" applyFill="1" applyBorder="1"/>
    <x:xf numFmtId="0" fontId="0" fillId="4" borderId="15" xfId="0" applyNumberFormat="1" applyFont="1" applyFill="1" applyBorder="1"/>
    <x:xf numFmtId="0" fontId="0" fillId="4" borderId="16" xfId="0" applyNumberFormat="1" applyFont="1" applyFill="1" applyBorder="1"/>
    <x:xf numFmtId="0" fontId="0" fillId="4" borderId="17" xfId="0" applyNumberFormat="1" applyFont="1" applyFill="1" applyBorder="1"/>
    <x:xf numFmtId="0" fontId="8" fillId="4" borderId="2" xfId="0" applyNumberFormat="1" applyFont="1" applyFill="1" applyBorder="1"/>
    <x:xf numFmtId="0" fontId="8" fillId="4" borderId="10" xfId="0" applyNumberFormat="1" applyFont="1" applyFill="1" applyBorder="1"/>
    <x:xf numFmtId="0" fontId="9" fillId="4" borderId="5" xfId="0" applyNumberFormat="1" applyFont="1" applyFill="1" applyBorder="1"/>
    <x:xf numFmtId="0" fontId="9" fillId="4" borderId="13" xfId="0" applyNumberFormat="1" applyFont="1" applyFill="1" applyBorder="1"/>
    <x:xf numFmtId="0" fontId="10" fillId="4" borderId="5" xfId="0" applyNumberFormat="1" applyFont="1" applyFill="1" applyBorder="1"/>
    <x:xf numFmtId="0" fontId="10" fillId="4" borderId="13" xfId="0" applyNumberFormat="1" applyFont="1" applyFill="1" applyBorder="1"/>
    <x:xf numFmtId="0" fontId="11" fillId="4" borderId="7" xfId="0" applyNumberFormat="1" applyFont="1" applyFill="1" applyBorder="1"/>
    <x:xf numFmtId="0" fontId="11" fillId="4" borderId="15"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18" xfId="0" applyNumberFormat="1" applyFont="1" applyFill="1" applyBorder="1"/>
    <x:xf numFmtId="0" fontId="0" fillId="5" borderId="19" xfId="0" applyNumberFormat="1" applyFont="1" applyFill="1" applyBorder="1"/>
    <x:xf numFmtId="0" fontId="0" fillId="5" borderId="20" xfId="0" applyNumberFormat="1" applyFont="1" applyFill="1" applyBorder="1"/>
    <x:xf numFmtId="0" fontId="0" fillId="5" borderId="21" xfId="0" applyNumberFormat="1" applyFont="1" applyFill="1" applyBorder="1"/>
    <x:xf numFmtId="0" fontId="0" fillId="5" borderId="22" xfId="0" applyNumberFormat="1" applyFont="1" applyFill="1" applyBorder="1"/>
    <x:xf numFmtId="0" fontId="0" fillId="5" borderId="23" xfId="0" applyNumberFormat="1" applyFont="1" applyFill="1" applyBorder="1"/>
    <x:xf numFmtId="0" fontId="0" fillId="5" borderId="24" xfId="0" applyNumberFormat="1" applyFont="1" applyFill="1" applyBorder="1"/>
    <x:xf numFmtId="0" fontId="0" fillId="5" borderId="25" xfId="0" applyNumberFormat="1" applyFont="1" applyFill="1" applyBorder="1"/>
    <x:xf numFmtId="0" fontId="0" fillId="5" borderId="26" xfId="0" applyNumberFormat="1" applyFont="1" applyFill="1" applyBorder="1"/>
    <x:xf numFmtId="0" fontId="0" fillId="5" borderId="27" xfId="0" applyNumberFormat="1" applyFont="1" applyFill="1" applyBorder="1"/>
    <x:xf numFmtId="0" fontId="0" fillId="5" borderId="28" xfId="0" applyNumberFormat="1" applyFont="1" applyFill="1" applyBorder="1"/>
    <x:xf numFmtId="0" fontId="0" fillId="5" borderId="29" xfId="0" applyNumberFormat="1" applyFont="1" applyFill="1" applyBorder="1"/>
    <x:xf numFmtId="0" fontId="0" fillId="5" borderId="30" xfId="0" applyNumberFormat="1" applyFont="1" applyFill="1" applyBorder="1"/>
    <x:xf numFmtId="0" fontId="0" fillId="5" borderId="31" xfId="0" applyNumberFormat="1" applyFont="1" applyFill="1" applyBorder="1"/>
    <x:xf numFmtId="0" fontId="0" fillId="5" borderId="32" xfId="0" applyNumberFormat="1" applyFont="1" applyFill="1" applyBorder="1"/>
    <x:xf numFmtId="0" fontId="0" fillId="5" borderId="33" xfId="0" applyNumberFormat="1" applyFont="1" applyFill="1" applyBorder="1"/>
    <x:xf numFmtId="0" fontId="8" fillId="5" borderId="18" xfId="0" applyNumberFormat="1" applyFont="1" applyFill="1" applyBorder="1"/>
    <x:xf numFmtId="0" fontId="8" fillId="5" borderId="26" xfId="0" applyNumberFormat="1" applyFont="1" applyFill="1" applyBorder="1"/>
    <x:xf numFmtId="0" fontId="9" fillId="5" borderId="21" xfId="0" applyNumberFormat="1" applyFont="1" applyFill="1" applyBorder="1"/>
    <x:xf numFmtId="0" fontId="9" fillId="5" borderId="29" xfId="0" applyNumberFormat="1" applyFont="1" applyFill="1" applyBorder="1"/>
    <x:xf numFmtId="0" fontId="10" fillId="5" borderId="21" xfId="0" applyNumberFormat="1" applyFont="1" applyFill="1" applyBorder="1"/>
    <x:xf numFmtId="0" fontId="10" fillId="5" borderId="29" xfId="0" applyNumberFormat="1" applyFont="1" applyFill="1" applyBorder="1"/>
    <x:xf numFmtId="0" fontId="12" fillId="5" borderId="23" xfId="0" applyNumberFormat="1" applyFont="1" applyFill="1" applyBorder="1"/>
    <x:xf numFmtId="0" fontId="12" fillId="5" borderId="31" xfId="0" applyNumberFormat="1" applyFont="1" applyFill="1" applyBorder="1"/>
    <x:xf numFmtId="0" fontId="11" fillId="5" borderId="21" xfId="0" applyNumberFormat="1" applyFont="1" applyFill="1" applyBorder="1"/>
    <x:xf numFmtId="0" fontId="11" fillId="5" borderId="0" xfId="0" applyNumberFormat="1" applyFont="1" applyFill="1" applyBorder="1"/>
    <x:xf numFmtId="0" fontId="11" fillId="5" borderId="22" xfId="0" applyNumberFormat="1" applyFont="1" applyFill="1" applyBorder="1"/>
    <x:xf numFmtId="0" fontId="11" fillId="5" borderId="23" xfId="0" applyNumberFormat="1" applyFont="1" applyFill="1" applyBorder="1"/>
    <x:xf numFmtId="0" fontId="11" fillId="5" borderId="24" xfId="0" applyNumberFormat="1" applyFont="1" applyFill="1" applyBorder="1"/>
    <x:xf numFmtId="0" fontId="11" fillId="5" borderId="25" xfId="0" applyNumberFormat="1" applyFont="1" applyFill="1" applyBorder="1"/>
    <x:xf numFmtId="0" fontId="11" fillId="5" borderId="29" xfId="0" applyNumberFormat="1" applyFont="1" applyFill="1" applyBorder="1"/>
    <x:xf numFmtId="0" fontId="11" fillId="5" borderId="1" xfId="0" applyNumberFormat="1" applyFont="1" applyFill="1" applyBorder="1"/>
    <x:xf numFmtId="0" fontId="11" fillId="5" borderId="30" xfId="0" applyNumberFormat="1" applyFont="1" applyFill="1" applyBorder="1"/>
    <x:xf numFmtId="0" fontId="11" fillId="5" borderId="31" xfId="0" applyNumberFormat="1" applyFont="1" applyFill="1" applyBorder="1"/>
    <x:xf numFmtId="0" fontId="11" fillId="5" borderId="32" xfId="0" applyNumberFormat="1" applyFont="1" applyFill="1" applyBorder="1"/>
    <x:xf numFmtId="0" fontId="11" fillId="5" borderId="33"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3" fillId="2" borderId="0" xfId="0" applyNumberFormat="1" applyFont="1" applyFill="1" applyBorder="1"/>
    <x:xf numFmtId="0" fontId="13" fillId="2" borderId="1" xfId="0" applyNumberFormat="1" applyFont="1" applyFill="1" applyBorder="1"/>
    <x:xf numFmtId="0" fontId="13" fillId="2" borderId="0" xfId="0" applyNumberFormat="1" applyFont="1" applyFill="1" applyBorder="1" applyAlignment="1">
      <x:alignment wrapText="1"/>
    </x:xf>
    <x:xf numFmtId="0" fontId="13"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203" fontId="0" fillId="0" borderId="1" xfId="0" applyNumberFormat="1" applyFont="1" applyFill="1" applyBorder="1" applyAlignment="1">
      <x:alignment vertical="center" wrapText="1"/>
    </x:xf>
    <x:xf numFmtId="0" fontId="14" fillId="2" borderId="0" xfId="0" applyNumberFormat="1" applyFont="1" applyFill="1" applyBorder="1"/>
    <x:xf numFmtId="0" fontId="14" fillId="2"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14" fillId="6" borderId="0" xfId="0" applyNumberFormat="1" applyFont="1" applyFill="1" applyBorder="1"/>
    <x:xf numFmtId="0" fontId="14" fillId="6" borderId="1" xfId="0" applyNumberFormat="1" applyFont="1" applyFill="1" applyBorder="1"/>
    <x:xf numFmtId="0" fontId="15" fillId="4" borderId="0" xfId="0" applyNumberFormat="1" applyFont="1" applyFill="1" applyBorder="1"/>
    <x:xf numFmtId="0" fontId="15" fillId="4" borderId="1" xfId="0" applyNumberFormat="1" applyFont="1" applyFill="1" applyBorder="1"/>
    <x:xf numFmtId="0" fontId="15" fillId="4" borderId="2" xfId="0" applyNumberFormat="1" applyFont="1" applyFill="1" applyBorder="1"/>
    <x:xf numFmtId="0" fontId="15" fillId="4" borderId="3" xfId="0" applyNumberFormat="1" applyFont="1" applyFill="1" applyBorder="1"/>
    <x:xf numFmtId="0" fontId="15" fillId="4" borderId="4" xfId="0" applyNumberFormat="1" applyFont="1" applyFill="1" applyBorder="1"/>
    <x:xf numFmtId="0" fontId="15" fillId="4" borderId="5" xfId="0" applyNumberFormat="1" applyFont="1" applyFill="1" applyBorder="1"/>
    <x:xf numFmtId="0" fontId="15" fillId="4" borderId="6" xfId="0" applyNumberFormat="1" applyFont="1" applyFill="1" applyBorder="1"/>
    <x:xf numFmtId="0" fontId="15" fillId="4" borderId="7" xfId="0" applyNumberFormat="1" applyFont="1" applyFill="1" applyBorder="1"/>
    <x:xf numFmtId="0" fontId="15" fillId="4" borderId="8" xfId="0" applyNumberFormat="1" applyFont="1" applyFill="1" applyBorder="1"/>
    <x:xf numFmtId="0" fontId="15" fillId="4" borderId="9" xfId="0" applyNumberFormat="1" applyFont="1" applyFill="1" applyBorder="1"/>
    <x:xf numFmtId="0" fontId="15" fillId="4" borderId="10" xfId="0" applyNumberFormat="1" applyFont="1" applyFill="1" applyBorder="1"/>
    <x:xf numFmtId="0" fontId="15" fillId="4" borderId="11" xfId="0" applyNumberFormat="1" applyFont="1" applyFill="1" applyBorder="1"/>
    <x:xf numFmtId="0" fontId="15" fillId="4" borderId="12" xfId="0" applyNumberFormat="1" applyFont="1" applyFill="1" applyBorder="1"/>
    <x:xf numFmtId="0" fontId="15" fillId="4" borderId="13" xfId="0" applyNumberFormat="1" applyFont="1" applyFill="1" applyBorder="1"/>
    <x:xf numFmtId="0" fontId="15" fillId="4" borderId="14" xfId="0" applyNumberFormat="1" applyFont="1" applyFill="1" applyBorder="1"/>
    <x:xf numFmtId="0" fontId="15" fillId="4" borderId="15" xfId="0" applyNumberFormat="1" applyFont="1" applyFill="1" applyBorder="1"/>
    <x:xf numFmtId="0" fontId="15" fillId="4" borderId="16" xfId="0" applyNumberFormat="1" applyFont="1" applyFill="1" applyBorder="1"/>
    <x:xf numFmtId="0" fontId="15" fillId="4" borderId="17" xfId="0" applyNumberFormat="1" applyFont="1" applyFill="1" applyBorder="1"/>
    <x:xf numFmtId="0" fontId="15" fillId="4" borderId="2" xfId="0" applyNumberFormat="1" applyFont="1" applyFill="1" applyBorder="1" applyAlignment="1">
      <x:alignment wrapText="1"/>
    </x:xf>
    <x:xf numFmtId="0" fontId="15" fillId="4" borderId="3" xfId="0" applyNumberFormat="1" applyFont="1" applyFill="1" applyBorder="1" applyAlignment="1">
      <x:alignment wrapText="1"/>
    </x:xf>
    <x:xf numFmtId="0" fontId="15" fillId="4" borderId="4" xfId="0" applyNumberFormat="1" applyFont="1" applyFill="1" applyBorder="1" applyAlignment="1">
      <x:alignment wrapText="1"/>
    </x:xf>
    <x:xf numFmtId="0" fontId="15" fillId="4" borderId="5" xfId="0" applyNumberFormat="1" applyFont="1" applyFill="1" applyBorder="1" applyAlignment="1">
      <x:alignment wrapText="1"/>
    </x:xf>
    <x:xf numFmtId="0" fontId="15" fillId="4" borderId="0" xfId="0" applyNumberFormat="1" applyFont="1" applyFill="1" applyBorder="1" applyAlignment="1">
      <x:alignment wrapText="1"/>
    </x:xf>
    <x:xf numFmtId="0" fontId="15" fillId="4" borderId="6" xfId="0" applyNumberFormat="1" applyFont="1" applyFill="1" applyBorder="1" applyAlignment="1">
      <x:alignment wrapText="1"/>
    </x:xf>
    <x:xf numFmtId="0" fontId="15" fillId="4" borderId="7" xfId="0" applyNumberFormat="1" applyFont="1" applyFill="1" applyBorder="1" applyAlignment="1">
      <x:alignment wrapText="1"/>
    </x:xf>
    <x:xf numFmtId="0" fontId="15" fillId="4" borderId="8" xfId="0" applyNumberFormat="1" applyFont="1" applyFill="1" applyBorder="1" applyAlignment="1">
      <x:alignment wrapText="1"/>
    </x:xf>
    <x:xf numFmtId="0" fontId="15" fillId="4" borderId="9" xfId="0" applyNumberFormat="1" applyFont="1" applyFill="1" applyBorder="1" applyAlignment="1">
      <x:alignment wrapText="1"/>
    </x:xf>
    <x:xf numFmtId="0" fontId="15" fillId="4" borderId="10" xfId="0" applyNumberFormat="1" applyFont="1" applyFill="1" applyBorder="1" applyAlignment="1">
      <x:alignment wrapText="1"/>
    </x:xf>
    <x:xf numFmtId="0" fontId="15" fillId="4" borderId="11" xfId="0" applyNumberFormat="1" applyFont="1" applyFill="1" applyBorder="1" applyAlignment="1">
      <x:alignment wrapText="1"/>
    </x:xf>
    <x:xf numFmtId="0" fontId="15" fillId="4" borderId="12" xfId="0" applyNumberFormat="1" applyFont="1" applyFill="1" applyBorder="1" applyAlignment="1">
      <x:alignment wrapText="1"/>
    </x:xf>
    <x:xf numFmtId="0" fontId="15" fillId="4" borderId="13" xfId="0" applyNumberFormat="1" applyFont="1" applyFill="1" applyBorder="1" applyAlignment="1">
      <x:alignment wrapText="1"/>
    </x:xf>
    <x:xf numFmtId="0" fontId="15" fillId="4" borderId="1" xfId="0" applyNumberFormat="1" applyFont="1" applyFill="1" applyBorder="1" applyAlignment="1">
      <x:alignment wrapText="1"/>
    </x:xf>
    <x:xf numFmtId="0" fontId="15" fillId="4" borderId="14" xfId="0" applyNumberFormat="1" applyFont="1" applyFill="1" applyBorder="1" applyAlignment="1">
      <x:alignment wrapText="1"/>
    </x:xf>
    <x:xf numFmtId="0" fontId="15" fillId="4" borderId="15" xfId="0" applyNumberFormat="1" applyFont="1" applyFill="1" applyBorder="1" applyAlignment="1">
      <x:alignment wrapText="1"/>
    </x:xf>
    <x:xf numFmtId="0" fontId="15" fillId="4" borderId="16" xfId="0" applyNumberFormat="1" applyFont="1" applyFill="1" applyBorder="1" applyAlignment="1">
      <x:alignment wrapText="1"/>
    </x:xf>
    <x:xf numFmtId="0" fontId="15" fillId="4" borderId="17" xfId="0" applyNumberFormat="1" applyFont="1" applyFill="1" applyBorder="1" applyAlignment="1">
      <x:alignment wrapText="1"/>
    </x:xf>
    <x:xf numFmtId="0" fontId="15" fillId="4" borderId="2" xfId="0" applyNumberFormat="1" applyFont="1" applyFill="1" applyBorder="1" applyAlignment="1">
      <x:alignment vertical="center" wrapText="1"/>
    </x:xf>
    <x:xf numFmtId="0" fontId="15" fillId="4" borderId="3" xfId="0" applyNumberFormat="1" applyFont="1" applyFill="1" applyBorder="1" applyAlignment="1">
      <x:alignment vertical="center" wrapText="1"/>
    </x:xf>
    <x:xf numFmtId="0" fontId="15" fillId="4" borderId="4" xfId="0" applyNumberFormat="1" applyFont="1" applyFill="1" applyBorder="1" applyAlignment="1">
      <x:alignment vertical="center" wrapText="1"/>
    </x:xf>
    <x:xf numFmtId="0" fontId="15" fillId="4" borderId="5" xfId="0" applyNumberFormat="1" applyFont="1" applyFill="1" applyBorder="1" applyAlignment="1">
      <x:alignment vertical="center" wrapText="1"/>
    </x:xf>
    <x:xf numFmtId="0" fontId="15" fillId="4" borderId="0" xfId="0" applyNumberFormat="1" applyFont="1" applyFill="1" applyBorder="1" applyAlignment="1">
      <x:alignment vertical="center" wrapText="1"/>
    </x:xf>
    <x:xf numFmtId="0" fontId="15" fillId="4" borderId="6" xfId="0" applyNumberFormat="1" applyFont="1" applyFill="1" applyBorder="1" applyAlignment="1">
      <x:alignment vertical="center" wrapText="1"/>
    </x:xf>
    <x:xf numFmtId="0" fontId="15" fillId="4" borderId="7" xfId="0" applyNumberFormat="1" applyFont="1" applyFill="1" applyBorder="1" applyAlignment="1">
      <x:alignment vertical="center" wrapText="1"/>
    </x:xf>
    <x:xf numFmtId="0" fontId="15" fillId="4" borderId="8" xfId="0" applyNumberFormat="1" applyFont="1" applyFill="1" applyBorder="1" applyAlignment="1">
      <x:alignment vertical="center" wrapText="1"/>
    </x:xf>
    <x:xf numFmtId="0" fontId="15" fillId="4" borderId="9" xfId="0" applyNumberFormat="1" applyFont="1" applyFill="1" applyBorder="1" applyAlignment="1">
      <x:alignment vertical="center" wrapText="1"/>
    </x:xf>
    <x:xf numFmtId="0" fontId="15" fillId="4" borderId="10" xfId="0" applyNumberFormat="1" applyFont="1" applyFill="1" applyBorder="1" applyAlignment="1">
      <x:alignment vertical="center" wrapText="1"/>
    </x:xf>
    <x:xf numFmtId="0" fontId="15" fillId="4" borderId="11" xfId="0" applyNumberFormat="1" applyFont="1" applyFill="1" applyBorder="1" applyAlignment="1">
      <x:alignment vertical="center" wrapText="1"/>
    </x:xf>
    <x:xf numFmtId="0" fontId="15" fillId="4" borderId="12" xfId="0" applyNumberFormat="1" applyFont="1" applyFill="1" applyBorder="1" applyAlignment="1">
      <x:alignment vertical="center" wrapText="1"/>
    </x:xf>
    <x:xf numFmtId="0" fontId="15" fillId="4" borderId="13" xfId="0" applyNumberFormat="1" applyFont="1" applyFill="1" applyBorder="1" applyAlignment="1">
      <x:alignment vertical="center" wrapText="1"/>
    </x:xf>
    <x:xf numFmtId="0" fontId="15" fillId="4" borderId="1" xfId="0" applyNumberFormat="1" applyFont="1" applyFill="1" applyBorder="1" applyAlignment="1">
      <x:alignment vertical="center" wrapText="1"/>
    </x:xf>
    <x:xf numFmtId="0" fontId="15" fillId="4" borderId="14" xfId="0" applyNumberFormat="1" applyFont="1" applyFill="1" applyBorder="1" applyAlignment="1">
      <x:alignment vertical="center" wrapText="1"/>
    </x:xf>
    <x:xf numFmtId="0" fontId="15" fillId="4" borderId="15" xfId="0" applyNumberFormat="1" applyFont="1" applyFill="1" applyBorder="1" applyAlignment="1">
      <x:alignment vertical="center" wrapText="1"/>
    </x:xf>
    <x:xf numFmtId="0" fontId="15" fillId="4" borderId="16" xfId="0" applyNumberFormat="1" applyFont="1" applyFill="1" applyBorder="1" applyAlignment="1">
      <x:alignment vertical="center" wrapText="1"/>
    </x:xf>
    <x:xf numFmtId="0" fontId="15" fillId="4" borderId="17" xfId="0" applyNumberFormat="1" applyFont="1" applyFill="1" applyBorder="1" applyAlignment="1">
      <x:alignment vertical="center" wrapText="1"/>
    </x:xf>
    <x:xf numFmtId="0" fontId="5" fillId="3" borderId="0" xfId="0" applyNumberFormat="1" applyFont="1" applyFill="1" applyBorder="1"/>
    <x:xf numFmtId="0" fontId="16" fillId="3" borderId="0" xfId="0" applyNumberFormat="1" applyFont="1" applyFill="1" applyBorder="1"/>
    <x:xf numFmtId="0" fontId="17" fillId="4" borderId="2"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17" fillId="5" borderId="18" xfId="0" applyNumberFormat="1" applyFont="1" applyFill="1" applyBorder="1"/>
    <x:xf numFmtId="0" fontId="4" fillId="5" borderId="19" xfId="0" applyNumberFormat="1" applyFont="1" applyFill="1" applyBorder="1"/>
    <x:xf numFmtId="0" fontId="4" fillId="5" borderId="20" xfId="0" applyNumberFormat="1" applyFont="1" applyFill="1" applyBorder="1"/>
    <x:xf numFmtId="0" fontId="18" fillId="4" borderId="5" xfId="0" applyNumberFormat="1" applyFont="1" applyFill="1" applyBorder="1"/>
    <x:xf numFmtId="0" fontId="4" fillId="4" borderId="0" xfId="0" applyNumberFormat="1" applyFont="1" applyFill="1" applyBorder="1"/>
    <x:xf numFmtId="0" fontId="4" fillId="4" borderId="6" xfId="0" applyNumberFormat="1" applyFont="1" applyFill="1" applyBorder="1"/>
    <x:xf numFmtId="0" fontId="18" fillId="5" borderId="21" xfId="0" applyNumberFormat="1" applyFont="1" applyFill="1" applyBorder="1"/>
    <x:xf numFmtId="0" fontId="4" fillId="5" borderId="0" xfId="0" applyNumberFormat="1" applyFont="1" applyFill="1" applyBorder="1"/>
    <x:xf numFmtId="0" fontId="4" fillId="5" borderId="22" xfId="0" applyNumberFormat="1" applyFont="1" applyFill="1" applyBorder="1"/>
    <x:xf numFmtId="0" fontId="19" fillId="5" borderId="21" xfId="0" applyNumberFormat="1" applyFont="1" applyFill="1" applyBorder="1"/>
    <x:xf numFmtId="0" fontId="19" fillId="5" borderId="0" xfId="0" applyNumberFormat="1" applyFont="1" applyFill="1" applyBorder="1"/>
    <x:xf numFmtId="0" fontId="19" fillId="5" borderId="22" xfId="0" applyNumberFormat="1" applyFont="1" applyFill="1" applyBorder="1"/>
    <x:xf numFmtId="0" fontId="17" fillId="4" borderId="5" xfId="0" applyNumberFormat="1" applyFont="1" applyFill="1" applyBorder="1"/>
    <x:xf numFmtId="0" fontId="17" fillId="5" borderId="21" xfId="0" applyNumberFormat="1" applyFont="1" applyFill="1" applyBorder="1"/>
    <x:xf numFmtId="0" fontId="19"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20"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19" fillId="5" borderId="23" xfId="0" applyNumberFormat="1" applyFont="1" applyFill="1" applyBorder="1"/>
    <x:xf numFmtId="0" fontId="19" fillId="5" borderId="24" xfId="0" applyNumberFormat="1" applyFont="1" applyFill="1" applyBorder="1"/>
    <x:xf numFmtId="0" fontId="19" fillId="5" borderId="25" xfId="0" applyNumberFormat="1" applyFont="1" applyFill="1" applyBorder="1"/>
    <x:xf numFmtId="0" fontId="4" fillId="0" borderId="0" xfId="0" applyNumberFormat="1" applyFont="1" applyFill="1" applyBorder="1" applyAlignment="1">
      <x:alignment vertical="center" wrapText="1"/>
    </x:xf>
    <x:xf numFmtId="203" fontId="4" fillId="0" borderId="0" xfId="0" applyNumberFormat="1" applyFont="1" applyFill="1" applyBorder="1" applyAlignment="1">
      <x:alignment vertical="center" wrapText="1"/>
    </x:xf>
    <x:xf numFmtId="202" fontId="4" fillId="0" borderId="0" xfId="0" applyNumberFormat="1" applyFont="1" applyFill="1" applyBorder="1"/>
    <x:xf numFmtId="200" fontId="4" fillId="0" borderId="0" xfId="0" applyNumberFormat="1" applyFont="1" applyFill="1" applyBorder="1"/>
    <x:xf numFmtId="0" fontId="5" fillId="6" borderId="0" xfId="0" applyNumberFormat="1" applyFont="1" applyFill="1" applyBorder="1"/>
    <x:xf numFmtId="0" fontId="19" fillId="4" borderId="2" xfId="0" applyNumberFormat="1" applyFont="1" applyFill="1" applyBorder="1" applyAlignment="1">
      <x:alignment vertical="center" wrapText="1"/>
    </x:xf>
    <x:xf numFmtId="0" fontId="19" fillId="4" borderId="3" xfId="0" applyNumberFormat="1" applyFont="1" applyFill="1" applyBorder="1" applyAlignment="1">
      <x:alignment vertical="center" wrapText="1"/>
    </x:xf>
    <x:xf numFmtId="0" fontId="19" fillId="4" borderId="4" xfId="0" applyNumberFormat="1" applyFont="1" applyFill="1" applyBorder="1" applyAlignment="1">
      <x:alignment vertical="center" wrapText="1"/>
    </x:xf>
    <x:xf numFmtId="0" fontId="19" fillId="4" borderId="5" xfId="0" applyNumberFormat="1" applyFont="1" applyFill="1" applyBorder="1" applyAlignment="1">
      <x:alignment vertical="center" wrapText="1"/>
    </x:xf>
    <x:xf numFmtId="0" fontId="19" fillId="4" borderId="0" xfId="0" applyNumberFormat="1" applyFont="1" applyFill="1" applyBorder="1" applyAlignment="1">
      <x:alignment vertical="center" wrapText="1"/>
    </x:xf>
    <x:xf numFmtId="0" fontId="19" fillId="4" borderId="6" xfId="0" applyNumberFormat="1" applyFont="1" applyFill="1" applyBorder="1" applyAlignment="1">
      <x:alignment vertical="center" wrapText="1"/>
    </x:xf>
    <x:xf numFmtId="0" fontId="19" fillId="4" borderId="7" xfId="0" applyNumberFormat="1" applyFont="1" applyFill="1" applyBorder="1" applyAlignment="1">
      <x:alignment vertical="center" wrapText="1"/>
    </x:xf>
    <x:xf numFmtId="0" fontId="19" fillId="4" borderId="8" xfId="0" applyNumberFormat="1" applyFont="1" applyFill="1" applyBorder="1" applyAlignment="1">
      <x:alignment vertical="center" wrapText="1"/>
    </x:xf>
    <x:xf numFmtId="0" fontId="19" fillId="4" borderId="9" xfId="0" applyNumberFormat="1" applyFont="1" applyFill="1" applyBorder="1" applyAlignment="1">
      <x:alignment vertical="center" wrapText="1"/>
    </x:xf>
    <x:xf numFmtId="0" fontId="5" fillId="3" borderId="1" xfId="0" applyNumberFormat="1" applyFont="1" applyFill="1" applyBorder="1"/>
    <x:xf numFmtId="0" fontId="16" fillId="3" borderId="1" xfId="0" applyNumberFormat="1" applyFont="1" applyFill="1" applyBorder="1"/>
    <x:xf numFmtId="0" fontId="17" fillId="4" borderId="10" xfId="0" applyNumberFormat="1" applyFont="1" applyFill="1" applyBorder="1"/>
    <x:xf numFmtId="0" fontId="4" fillId="4" borderId="11" xfId="0" applyNumberFormat="1" applyFont="1" applyFill="1" applyBorder="1"/>
    <x:xf numFmtId="0" fontId="4" fillId="4" borderId="12" xfId="0" applyNumberFormat="1" applyFont="1" applyFill="1" applyBorder="1"/>
    <x:xf numFmtId="0" fontId="17" fillId="5" borderId="26" xfId="0" applyNumberFormat="1" applyFont="1" applyFill="1" applyBorder="1"/>
    <x:xf numFmtId="0" fontId="4" fillId="5" borderId="27" xfId="0" applyNumberFormat="1" applyFont="1" applyFill="1" applyBorder="1"/>
    <x:xf numFmtId="0" fontId="4" fillId="5" borderId="28" xfId="0" applyNumberFormat="1" applyFont="1" applyFill="1" applyBorder="1"/>
    <x:xf numFmtId="0" fontId="18" fillId="4" borderId="13" xfId="0" applyNumberFormat="1" applyFont="1" applyFill="1" applyBorder="1"/>
    <x:xf numFmtId="0" fontId="4" fillId="4" borderId="1" xfId="0" applyNumberFormat="1" applyFont="1" applyFill="1" applyBorder="1"/>
    <x:xf numFmtId="0" fontId="4" fillId="4" borderId="14" xfId="0" applyNumberFormat="1" applyFont="1" applyFill="1" applyBorder="1"/>
    <x:xf numFmtId="0" fontId="18" fillId="5" borderId="29" xfId="0" applyNumberFormat="1" applyFont="1" applyFill="1" applyBorder="1"/>
    <x:xf numFmtId="0" fontId="4" fillId="5" borderId="1" xfId="0" applyNumberFormat="1" applyFont="1" applyFill="1" applyBorder="1"/>
    <x:xf numFmtId="0" fontId="4" fillId="5" borderId="30" xfId="0" applyNumberFormat="1" applyFont="1" applyFill="1" applyBorder="1"/>
    <x:xf numFmtId="0" fontId="19" fillId="5" borderId="29" xfId="0" applyNumberFormat="1" applyFont="1" applyFill="1" applyBorder="1"/>
    <x:xf numFmtId="0" fontId="19" fillId="5" borderId="1" xfId="0" applyNumberFormat="1" applyFont="1" applyFill="1" applyBorder="1"/>
    <x:xf numFmtId="0" fontId="19" fillId="5" borderId="30" xfId="0" applyNumberFormat="1" applyFont="1" applyFill="1" applyBorder="1"/>
    <x:xf numFmtId="0" fontId="17" fillId="4" borderId="13" xfId="0" applyNumberFormat="1" applyFont="1" applyFill="1" applyBorder="1"/>
    <x:xf numFmtId="0" fontId="17" fillId="5" borderId="29" xfId="0" applyNumberFormat="1" applyFont="1" applyFill="1" applyBorder="1"/>
    <x:xf numFmtId="0" fontId="19" fillId="4" borderId="15" xfId="0" applyNumberFormat="1" applyFont="1" applyFill="1" applyBorder="1"/>
    <x:xf numFmtId="0" fontId="4" fillId="4" borderId="16" xfId="0" applyNumberFormat="1" applyFont="1" applyFill="1" applyBorder="1"/>
    <x:xf numFmtId="0" fontId="4" fillId="4" borderId="17" xfId="0" applyNumberFormat="1" applyFont="1" applyFill="1" applyBorder="1"/>
    <x:xf numFmtId="0" fontId="20" fillId="5" borderId="31" xfId="0" applyNumberFormat="1" applyFont="1" applyFill="1" applyBorder="1"/>
    <x:xf numFmtId="0" fontId="4" fillId="5" borderId="32" xfId="0" applyNumberFormat="1" applyFont="1" applyFill="1" applyBorder="1"/>
    <x:xf numFmtId="0" fontId="4" fillId="5" borderId="33" xfId="0" applyNumberFormat="1" applyFont="1" applyFill="1" applyBorder="1"/>
    <x:xf numFmtId="0" fontId="19" fillId="5" borderId="31" xfId="0" applyNumberFormat="1" applyFont="1" applyFill="1" applyBorder="1"/>
    <x:xf numFmtId="0" fontId="19" fillId="5" borderId="32" xfId="0" applyNumberFormat="1" applyFont="1" applyFill="1" applyBorder="1"/>
    <x:xf numFmtId="0" fontId="19" fillId="5" borderId="33" xfId="0" applyNumberFormat="1" applyFont="1" applyFill="1" applyBorder="1"/>
    <x:xf numFmtId="0" fontId="4" fillId="0" borderId="1" xfId="0" applyNumberFormat="1" applyFont="1" applyFill="1" applyBorder="1" applyAlignment="1">
      <x:alignment vertical="center" wrapText="1"/>
    </x:xf>
    <x:xf numFmtId="203" fontId="4" fillId="0" borderId="1" xfId="0" applyNumberFormat="1" applyFont="1" applyFill="1" applyBorder="1" applyAlignment="1">
      <x:alignment vertical="center" wrapText="1"/>
    </x:xf>
    <x:xf numFmtId="202" fontId="4" fillId="0" borderId="1" xfId="0" applyNumberFormat="1" applyFont="1" applyFill="1" applyBorder="1"/>
    <x:xf numFmtId="200" fontId="4" fillId="0" borderId="1" xfId="0" applyNumberFormat="1" applyFont="1" applyFill="1" applyBorder="1"/>
    <x:xf numFmtId="0" fontId="5" fillId="6" borderId="1" xfId="0" applyNumberFormat="1" applyFont="1" applyFill="1" applyBorder="1"/>
    <x:xf numFmtId="0" fontId="19" fillId="4" borderId="10" xfId="0" applyNumberFormat="1" applyFont="1" applyFill="1" applyBorder="1" applyAlignment="1">
      <x:alignment vertical="center" wrapText="1"/>
    </x:xf>
    <x:xf numFmtId="0" fontId="19" fillId="4" borderId="11" xfId="0" applyNumberFormat="1" applyFont="1" applyFill="1" applyBorder="1" applyAlignment="1">
      <x:alignment vertical="center" wrapText="1"/>
    </x:xf>
    <x:xf numFmtId="0" fontId="19" fillId="4" borderId="12" xfId="0" applyNumberFormat="1" applyFont="1" applyFill="1" applyBorder="1" applyAlignment="1">
      <x:alignment vertical="center" wrapText="1"/>
    </x:xf>
    <x:xf numFmtId="0" fontId="19" fillId="4" borderId="13" xfId="0" applyNumberFormat="1" applyFont="1" applyFill="1" applyBorder="1" applyAlignment="1">
      <x:alignment vertical="center" wrapText="1"/>
    </x:xf>
    <x:xf numFmtId="0" fontId="19" fillId="4" borderId="1" xfId="0" applyNumberFormat="1" applyFont="1" applyFill="1" applyBorder="1" applyAlignment="1">
      <x:alignment vertical="center" wrapText="1"/>
    </x:xf>
    <x:xf numFmtId="0" fontId="19" fillId="4" borderId="14" xfId="0" applyNumberFormat="1" applyFont="1" applyFill="1" applyBorder="1" applyAlignment="1">
      <x:alignment vertical="center" wrapText="1"/>
    </x:xf>
    <x:xf numFmtId="0" fontId="19" fillId="4" borderId="15" xfId="0" applyNumberFormat="1" applyFont="1" applyFill="1" applyBorder="1" applyAlignment="1">
      <x:alignment vertical="center" wrapText="1"/>
    </x:xf>
    <x:xf numFmtId="0" fontId="19" fillId="4" borderId="16" xfId="0" applyNumberFormat="1" applyFont="1" applyFill="1" applyBorder="1" applyAlignment="1">
      <x:alignment vertical="center" wrapText="1"/>
    </x:xf>
    <x:xf numFmtId="0" fontId="19" fillId="4" borderId="17" xfId="0" applyNumberFormat="1" applyFont="1" applyFill="1" applyBorder="1" applyAlignment="1">
      <x:alignment vertical="center" wrapText="1"/>
    </x:xf>
  </x:cellXfs>
  <x:cellStyles count="1">
    <x:cellStyle name="Normal" xfId="0"/>
  </x:cellStyles>
  <x:dxfs count="4">
    <x:dxf>
      <x:font>
        <x:b/>
        <x:color rgb="FF087443"/>
      </x:font>
      <x:fill>
        <x:patternFill patternType="solid">
          <x:bgColor rgb="FFDDF6E8"/>
        </x:patternFill>
      </x:fill>
    </x:dxf>
    <x:dxf>
      <x:font>
        <x:b/>
        <x:color rgb="FFB42335"/>
      </x:font>
      <x:fill>
        <x:patternFill patternType="solid">
          <x:bgColor rgb="FFFDE7E9"/>
        </x:patternFill>
      </x:fill>
    </x:dxf>
    <x:dxf>
      <x:font>
        <x:b/>
        <x:color rgb="FF087443"/>
      </x:font>
      <x:fill>
        <x:patternFill patternType="solid">
          <x:bgColor rgb="FFDDF6E8"/>
        </x:patternFill>
      </x:fill>
    </x:dxf>
    <x:dxf>
      <x:font>
        <x:b/>
        <x:color rgb="FFB42335"/>
      </x:font>
      <x:fill>
        <x:patternFill patternType="solid">
          <x:bgColor rgb="FFFDE7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a10335c76e42fd" /><Relationship Type="http://schemas.openxmlformats.org/officeDocument/2006/relationships/theme" Target="/xl/theme/theme1.xml" Id="Rd39676d45533459e" /><Relationship Type="http://schemas.openxmlformats.org/officeDocument/2006/relationships/sharedStrings" Target="/xl/sharedStrings.xml" Id="R76ddc4aa9a33454d" /><Relationship Type="http://schemas.openxmlformats.org/officeDocument/2006/relationships/worksheet" Target="/xl/worksheets/sheet1.xml" Id="Re1fe1aff28d6414d" /><Relationship Type="http://schemas.openxmlformats.org/officeDocument/2006/relationships/worksheet" Target="/xl/worksheets/sheet2.xml" Id="R224ccb4b99384e39" /><Relationship Type="http://schemas.openxmlformats.org/officeDocument/2006/relationships/worksheet" Target="/xl/worksheets/sheet3.xml" Id="Rb43ca28c544143f1" /><Relationship Type="http://schemas.openxmlformats.org/officeDocument/2006/relationships/worksheet" Target="/xl/worksheets/sheet4.xml" Id="R77689dd7ec2b4a86"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8a70e4e9914721" /><Relationship Type="http://schemas.openxmlformats.org/officeDocument/2006/relationships/chart" Target="/xl/drawings/charts/chart2.xml" Id="Rab5704a7592341c8" /><Relationship Type="http://schemas.openxmlformats.org/officeDocument/2006/relationships/chart" Target="/xl/drawings/charts/chart3.xml" Id="R86bf20cdc71f413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Detection Recall by Scenario</a:t>
            </a:r>
          </a:p>
        </c:rich>
      </c:tx>
    </c:title>
    <c:plotArea>
      <c:barChart>
        <c:barDir val="col"/>
        <c:varyColors val="0"/>
        <c:ser>
          <c:idx val="0"/>
          <c:order val="0"/>
          <c:tx>
            <c:v>Adaptive recall</c:v>
          </c:tx>
          <c:cat>
            <c:strRef>
              <c:f>'Report'!$A$20:$A$26</c:f>
              <c:strCache>
                <c:ptCount val="0"/>
              </c:strCache>
            </c:strRef>
          </c:cat>
          <c:val>
            <c:numRef>
              <c:f>'Report'!$B$20:$B$26</c:f>
              <c:numCache>
                <c:formatCode>0.0%</c:formatCode>
                <c:ptCount val="0"/>
              </c:numCache>
            </c:numRef>
          </c:val>
        </c:ser>
        <c:ser>
          <c:idx val="1"/>
          <c:order val="1"/>
          <c:tx>
            <c:v>OS-CFAR recall</c:v>
          </c:tx>
          <c:cat>
            <c:strRef>
              <c:f>'Report'!$A$20:$A$26</c:f>
              <c:strCache>
                <c:ptCount val="0"/>
              </c:strCache>
            </c:strRef>
          </c:cat>
          <c:val>
            <c:numRef>
              <c:f>'Report'!$C$20:$C$26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Frame False-Alarm Rate by Scenario</a:t>
            </a:r>
          </a:p>
        </c:rich>
      </c:tx>
    </c:title>
    <c:plotArea>
      <c:barChart>
        <c:barDir val="col"/>
        <c:varyColors val="0"/>
        <c:ser>
          <c:idx val="0"/>
          <c:order val="0"/>
          <c:tx>
            <c:v>Adaptive Pfa</c:v>
          </c:tx>
          <c:cat>
            <c:strRef>
              <c:f>'Report'!$A$36:$A$43</c:f>
              <c:strCache>
                <c:ptCount val="0"/>
              </c:strCache>
            </c:strRef>
          </c:cat>
          <c:val>
            <c:numRef>
              <c:f>'Report'!$B$36:$B$43</c:f>
              <c:numCache>
                <c:formatCode>0.0%</c:formatCode>
                <c:ptCount val="0"/>
              </c:numCache>
            </c:numRef>
          </c:val>
        </c:ser>
        <c:ser>
          <c:idx val="1"/>
          <c:order val="1"/>
          <c:tx>
            <c:v>OS-CFAR Pfa</c:v>
          </c:tx>
          <c:cat>
            <c:strRef>
              <c:f>'Report'!$A$36:$A$43</c:f>
              <c:strCache>
                <c:ptCount val="0"/>
              </c:strCache>
            </c:strRef>
          </c:cat>
          <c:val>
            <c:numRef>
              <c:f>'Report'!$C$36:$C$43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95th-Percentile Detector Runtime</a:t>
            </a:r>
          </a:p>
        </c:rich>
      </c:tx>
    </c:title>
    <c:plotArea>
      <c:barChart>
        <c:barDir val="col"/>
        <c:varyColors val="0"/>
        <c:ser>
          <c:idx val="0"/>
          <c:order val="0"/>
          <c:tx>
            <c:v>Adaptive p95 (ms)</c:v>
          </c:tx>
          <c:cat>
            <c:strRef>
              <c:f>'Report'!$A$53:$A$60</c:f>
              <c:strCache>
                <c:ptCount val="0"/>
              </c:strCache>
            </c:strRef>
          </c:cat>
          <c:val>
            <c:numRef>
              <c:f>'Report'!$B$53:$B$60</c:f>
              <c:numCache>
                <c:formatCode>0.000</c:formatCode>
                <c:ptCount val="0"/>
              </c:numCache>
            </c:numRef>
          </c:val>
        </c:ser>
        <c:ser>
          <c:idx val="1"/>
          <c:order val="1"/>
          <c:tx>
            <c:v>OS-CFAR p95 (ms)</c:v>
          </c:tx>
          <c:cat>
            <c:strRef>
              <c:f>'Report'!$A$53:$A$60</c:f>
              <c:strCache>
                <c:ptCount val="0"/>
              </c:strCache>
            </c:strRef>
          </c:cat>
          <c:val>
            <c:numRef>
              <c:f>'Report'!$C$53:$C$60</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18</xdr:row>
      <xdr:rowOff>0</xdr:rowOff>
    </xdr:from>
    <xdr:to>
      <xdr:col>12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8a70e4e9914721"/>
        </a:graphicData>
      </a:graphic>
    </xdr:graphicFrame>
    <xdr:clientData/>
  </xdr:twoCellAnchor>
  <xdr:twoCellAnchor>
    <xdr:from>
      <xdr:col>4</xdr:col>
      <xdr:colOff>0</xdr:colOff>
      <xdr:row>34</xdr:row>
      <xdr:rowOff>0</xdr:rowOff>
    </xdr:from>
    <xdr:to>
      <xdr:col>12</xdr:col>
      <xdr:colOff>0</xdr:colOff>
      <xdr:row>49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b5704a7592341c8"/>
        </a:graphicData>
      </a:graphic>
    </xdr:graphicFrame>
    <xdr:clientData/>
  </xdr:twoCellAnchor>
  <xdr:twoCellAnchor>
    <xdr:from>
      <xdr:col>4</xdr:col>
      <xdr:colOff>0</xdr:colOff>
      <xdr:row>51</xdr:row>
      <xdr:rowOff>0</xdr:rowOff>
    </xdr:from>
    <xdr:to>
      <xdr:col>12</xdr:col>
      <xdr:colOff>0</xdr:colOff>
      <xdr:row>66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bf20cdc71f413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3857e6ed7ddc40a2" /></Relationships>
</file>

<file path=xl/worksheets/sheet1.xml><?xml version="1.0" encoding="utf-8"?>
<x:worksheet xmlns:x="http://schemas.openxmlformats.org/spreadsheetml/2006/main">
  <x:sheetViews>
    <x:sheetView showGridLines="0" workbookViewId="0"/>
  </x:sheetViews>
  <x:sheetFormatPr defaultRowHeight="15"/>
  <x:cols>
    <x:col min="1" max="1" width="7.559999942779541" hidden="0" customWidth="1"/>
    <x:col min="2" max="2" width="9.670000076293945" hidden="0" customWidth="1"/>
    <x:col min="3" max="3" width="7.440000057220459" hidden="0" customWidth="1"/>
    <x:col min="4" max="4" width="5.329999923706055" hidden="0" customWidth="1"/>
    <x:col min="5" max="5" width="13.220000267028809" hidden="0" customWidth="1"/>
    <x:col min="6" max="6" width="6.329999923706055" hidden="0" customWidth="1"/>
    <x:col min="7" max="7" width="8.220000267028809" hidden="0" customWidth="1"/>
    <x:col min="8" max="8" width="9.329999923706055" hidden="0" customWidth="1"/>
    <x:col min="9" max="9" width="4.559999942779541" hidden="0" customWidth="1"/>
    <x:col min="10" max="10" width="9.220000267028809" hidden="0" customWidth="1"/>
    <x:col min="11" max="11" width="9.5600004196167" hidden="0" customWidth="1"/>
    <x:col min="12" max="12" width="9.329999923706055" hidden="0" customWidth="1"/>
    <x:col min="13" max="13" width="11.5600004196167" hidden="0" customWidth="1"/>
    <x:col min="14" max="14" width="12" hidden="0" customWidth="1"/>
    <x:col min="15" max="15" width="12.4399995803833" hidden="0" customWidth="1"/>
    <x:col min="16" max="16" width="13.4399995803833" hidden="0" customWidth="1"/>
    <x:col min="17" max="17" width="27.219999313354492" hidden="0" customWidth="1"/>
    <x:col min="18" max="18" width="7.440000057220459" hidden="0" customWidth="1"/>
    <x:col min="19" max="19" width="16.110000610351562" hidden="0" customWidth="1"/>
  </x:cols>
  <x:sheetData>
    <x:row r="1" ht="42" customHeight="1">
      <x:c r="A1" s="8" t="str">
        <x:v>validation_id</x:v>
      </x:c>
      <x:c r="B1" s="8" t="str">
        <x:v>configuration_id</x:v>
      </x:c>
      <x:c r="C1" s="8" t="str">
        <x:v>timestamp</x:v>
      </x:c>
      <x:c r="D1" s="8" t="str">
        <x:v>detector</x:v>
      </x:c>
      <x:c r="E1" s="8" t="str">
        <x:v>scenario</x:v>
      </x:c>
      <x:c r="F1" s="8" t="str">
        <x:v>trial_index</x:v>
      </x:c>
      <x:c r="G1" s="8" t="str">
        <x:v>random_seed</x:v>
      </x:c>
      <x:c r="H1" s="10" t="str">
        <x:v>sample_rate_hz</x:v>
      </x:c>
      <x:c r="I1" s="10" t="str">
        <x:v>fft_size</x:v>
      </x:c>
      <x:c r="J1" s="10" t="str">
        <x:v>bin_spacing_hz</x:v>
      </x:c>
      <x:c r="K1" s="8" t="str">
        <x:v>expected_count</x:v>
      </x:c>
      <x:c r="L1" s="8" t="str">
        <x:v>detected_count</x:v>
      </x:c>
      <x:c r="M1" s="8" t="str">
        <x:v>true_positive_count</x:v>
      </x:c>
      <x:c r="N1" s="8" t="str">
        <x:v>false_positive_count</x:v>
      </x:c>
      <x:c r="O1" s="8" t="str">
        <x:v>false_negative_count</x:v>
      </x:c>
      <x:c r="P1" s="8" t="str">
        <x:v>frame_has_false_alarm</x:v>
      </x:c>
      <x:c r="Q1" s="8" t="str">
        <x:v>frequency_errors_hz</x:v>
      </x:c>
      <x:c r="R1" s="10" t="str">
        <x:v>runtime_ms</x:v>
      </x:c>
      <x:c r="S1" s="12" t="str">
        <x:v>finite_threshold_median_db</x:v>
      </x:c>
    </x:row>
    <x:row r="2">
      <x:c r="A2" s="2" t="str">
        <x:v>DE-CMP-01</x:v>
      </x:c>
      <x:c r="B2" s="2" t="str">
        <x:v>CFG-C01</x:v>
      </x:c>
      <x:c r="C2" s="2" t="n">
        <x:v>46227.70238086805</x:v>
      </x:c>
      <x:c r="D2" s="2" t="str">
        <x:v>adaptive</x:v>
      </x:c>
      <x:c r="E2" s="2" t="str">
        <x:v>noise_only</x:v>
      </x:c>
      <x:c r="F2" s="2" t="str">
        <x:v>1</x:v>
      </x:c>
      <x:c r="G2" s="2" t="str">
        <x:v>3104204</x:v>
      </x:c>
      <x:c r="H2" s="2" t="str">
        <x:v>2048000.0</x:v>
      </x:c>
      <x:c r="I2" s="2" t="str">
        <x:v>8192</x:v>
      </x:c>
      <x:c r="J2" s="2" t="str">
        <x:v>250.0</x:v>
      </x:c>
      <x:c r="K2" s="2" t="str">
        <x:v>0</x:v>
      </x:c>
      <x:c r="L2" s="2" t="str">
        <x:v>3</x:v>
      </x:c>
      <x:c r="M2" s="2" t="str">
        <x:v>0</x:v>
      </x:c>
      <x:c r="N2" s="2" t="str">
        <x:v>3</x:v>
      </x:c>
      <x:c r="O2" s="2" t="str">
        <x:v>0</x:v>
      </x:c>
      <x:c r="P2" s="2" t="str">
        <x:v>true</x:v>
      </x:c>
      <x:c r="Q2" s="2" t="str">
        <x:v>NA</x:v>
      </x:c>
      <x:c r="R2" s="2" t="str">
        <x:v>0.5539999983739108</x:v>
      </x:c>
      <x:c r="S2" s="2" t="str">
        <x:v>46.33595768344621</x:v>
      </x:c>
    </x:row>
    <x:row r="3">
      <x:c r="A3" s="2" t="str">
        <x:v>DE-CMP-01</x:v>
      </x:c>
      <x:c r="B3" s="2" t="str">
        <x:v>CFG-C01</x:v>
      </x:c>
      <x:c r="C3" s="2" t="n">
        <x:v>46227.70238086805</x:v>
      </x:c>
      <x:c r="D3" s="2" t="str">
        <x:v>os_cfar</x:v>
      </x:c>
      <x:c r="E3" s="2" t="str">
        <x:v>noise_only</x:v>
      </x:c>
      <x:c r="F3" s="2" t="str">
        <x:v>1</x:v>
      </x:c>
      <x:c r="G3" s="2" t="str">
        <x:v>3104204</x:v>
      </x:c>
      <x:c r="H3" s="2" t="str">
        <x:v>2048000.0</x:v>
      </x:c>
      <x:c r="I3" s="2" t="str">
        <x:v>8192</x:v>
      </x:c>
      <x:c r="J3" s="2" t="str">
        <x:v>250.0</x:v>
      </x:c>
      <x:c r="K3" s="2" t="str">
        <x:v>0</x:v>
      </x:c>
      <x:c r="L3" s="2" t="str">
        <x:v>3</x:v>
      </x:c>
      <x:c r="M3" s="2" t="str">
        <x:v>0</x:v>
      </x:c>
      <x:c r="N3" s="2" t="str">
        <x:v>3</x:v>
      </x:c>
      <x:c r="O3" s="2" t="str">
        <x:v>0</x:v>
      </x:c>
      <x:c r="P3" s="2" t="str">
        <x:v>true</x:v>
      </x:c>
      <x:c r="Q3" s="2" t="str">
        <x:v>NA</x:v>
      </x:c>
      <x:c r="R3" s="2" t="str">
        <x:v>14.219667005818337</x:v>
      </x:c>
      <x:c r="S3" s="2" t="str">
        <x:v>48.245669683150076</x:v>
      </x:c>
    </x:row>
    <x:row r="4">
      <x:c r="A4" s="2" t="str">
        <x:v>DE-CMP-01</x:v>
      </x:c>
      <x:c r="B4" s="2" t="str">
        <x:v>CFG-C01</x:v>
      </x:c>
      <x:c r="C4" s="2" t="n">
        <x:v>46227.70238086805</x:v>
      </x:c>
      <x:c r="D4" s="2" t="str">
        <x:v>os_cfar</x:v>
      </x:c>
      <x:c r="E4" s="2" t="str">
        <x:v>noise_only</x:v>
      </x:c>
      <x:c r="F4" s="2" t="str">
        <x:v>2</x:v>
      </x:c>
      <x:c r="G4" s="2" t="str">
        <x:v>3104205</x:v>
      </x:c>
      <x:c r="H4" s="2" t="str">
        <x:v>2048000.0</x:v>
      </x:c>
      <x:c r="I4" s="2" t="str">
        <x:v>8192</x:v>
      </x:c>
      <x:c r="J4" s="2" t="str">
        <x:v>250.0</x:v>
      </x:c>
      <x:c r="K4" s="2" t="str">
        <x:v>0</x:v>
      </x:c>
      <x:c r="L4" s="2" t="str">
        <x:v>3</x:v>
      </x:c>
      <x:c r="M4" s="2" t="str">
        <x:v>0</x:v>
      </x:c>
      <x:c r="N4" s="2" t="str">
        <x:v>3</x:v>
      </x:c>
      <x:c r="O4" s="2" t="str">
        <x:v>0</x:v>
      </x:c>
      <x:c r="P4" s="2" t="str">
        <x:v>true</x:v>
      </x:c>
      <x:c r="Q4" s="2" t="str">
        <x:v>NA</x:v>
      </x:c>
      <x:c r="R4" s="2" t="str">
        <x:v>14.3187920039054</x:v>
      </x:c>
      <x:c r="S4" s="2" t="str">
        <x:v>48.253181487717896</x:v>
      </x:c>
    </x:row>
    <x:row r="5">
      <x:c r="A5" s="2" t="str">
        <x:v>DE-CMP-01</x:v>
      </x:c>
      <x:c r="B5" s="2" t="str">
        <x:v>CFG-C01</x:v>
      </x:c>
      <x:c r="C5" s="2" t="n">
        <x:v>46227.70238086805</x:v>
      </x:c>
      <x:c r="D5" s="2" t="str">
        <x:v>adaptive</x:v>
      </x:c>
      <x:c r="E5" s="2" t="str">
        <x:v>noise_only</x:v>
      </x:c>
      <x:c r="F5" s="2" t="str">
        <x:v>2</x:v>
      </x:c>
      <x:c r="G5" s="2" t="str">
        <x:v>3104205</x:v>
      </x:c>
      <x:c r="H5" s="2" t="str">
        <x:v>2048000.0</x:v>
      </x:c>
      <x:c r="I5" s="2" t="str">
        <x:v>8192</x:v>
      </x:c>
      <x:c r="J5" s="2" t="str">
        <x:v>250.0</x:v>
      </x:c>
      <x:c r="K5" s="2" t="str">
        <x:v>0</x:v>
      </x:c>
      <x:c r="L5" s="2" t="str">
        <x:v>3</x:v>
      </x:c>
      <x:c r="M5" s="2" t="str">
        <x:v>0</x:v>
      </x:c>
      <x:c r="N5" s="2" t="str">
        <x:v>3</x:v>
      </x:c>
      <x:c r="O5" s="2" t="str">
        <x:v>0</x:v>
      </x:c>
      <x:c r="P5" s="2" t="str">
        <x:v>true</x:v>
      </x:c>
      <x:c r="Q5" s="2" t="str">
        <x:v>NA</x:v>
      </x:c>
      <x:c r="R5" s="2" t="str">
        <x:v>0.4344580083852634</x:v>
      </x:c>
      <x:c r="S5" s="2" t="str">
        <x:v>46.415012459083606</x:v>
      </x:c>
    </x:row>
    <x:row r="6">
      <x:c r="A6" s="2" t="str">
        <x:v>DE-CMP-01</x:v>
      </x:c>
      <x:c r="B6" s="2" t="str">
        <x:v>CFG-C01</x:v>
      </x:c>
      <x:c r="C6" s="2" t="n">
        <x:v>46227.70238086805</x:v>
      </x:c>
      <x:c r="D6" s="2" t="str">
        <x:v>adaptive</x:v>
      </x:c>
      <x:c r="E6" s="2" t="str">
        <x:v>noise_only</x:v>
      </x:c>
      <x:c r="F6" s="2" t="str">
        <x:v>3</x:v>
      </x:c>
      <x:c r="G6" s="2" t="str">
        <x:v>3104206</x:v>
      </x:c>
      <x:c r="H6" s="2" t="str">
        <x:v>2048000.0</x:v>
      </x:c>
      <x:c r="I6" s="2" t="str">
        <x:v>8192</x:v>
      </x:c>
      <x:c r="J6" s="2" t="str">
        <x:v>250.0</x:v>
      </x:c>
      <x:c r="K6" s="2" t="str">
        <x:v>0</x:v>
      </x:c>
      <x:c r="L6" s="2" t="str">
        <x:v>3</x:v>
      </x:c>
      <x:c r="M6" s="2" t="str">
        <x:v>0</x:v>
      </x:c>
      <x:c r="N6" s="2" t="str">
        <x:v>3</x:v>
      </x:c>
      <x:c r="O6" s="2" t="str">
        <x:v>0</x:v>
      </x:c>
      <x:c r="P6" s="2" t="str">
        <x:v>true</x:v>
      </x:c>
      <x:c r="Q6" s="2" t="str">
        <x:v>NA</x:v>
      </x:c>
      <x:c r="R6" s="2" t="str">
        <x:v>0.39108400233089924</x:v>
      </x:c>
      <x:c r="S6" s="2" t="str">
        <x:v>46.45196798850855</x:v>
      </x:c>
    </x:row>
    <x:row r="7">
      <x:c r="A7" s="2" t="str">
        <x:v>DE-CMP-01</x:v>
      </x:c>
      <x:c r="B7" s="2" t="str">
        <x:v>CFG-C01</x:v>
      </x:c>
      <x:c r="C7" s="2" t="n">
        <x:v>46227.70238086805</x:v>
      </x:c>
      <x:c r="D7" s="2" t="str">
        <x:v>os_cfar</x:v>
      </x:c>
      <x:c r="E7" s="2" t="str">
        <x:v>noise_only</x:v>
      </x:c>
      <x:c r="F7" s="2" t="str">
        <x:v>3</x:v>
      </x:c>
      <x:c r="G7" s="2" t="str">
        <x:v>3104206</x:v>
      </x:c>
      <x:c r="H7" s="2" t="str">
        <x:v>2048000.0</x:v>
      </x:c>
      <x:c r="I7" s="2" t="str">
        <x:v>8192</x:v>
      </x:c>
      <x:c r="J7" s="2" t="str">
        <x:v>250.0</x:v>
      </x:c>
      <x:c r="K7" s="2" t="str">
        <x:v>0</x:v>
      </x:c>
      <x:c r="L7" s="2" t="str">
        <x:v>3</x:v>
      </x:c>
      <x:c r="M7" s="2" t="str">
        <x:v>0</x:v>
      </x:c>
      <x:c r="N7" s="2" t="str">
        <x:v>3</x:v>
      </x:c>
      <x:c r="O7" s="2" t="str">
        <x:v>0</x:v>
      </x:c>
      <x:c r="P7" s="2" t="str">
        <x:v>true</x:v>
      </x:c>
      <x:c r="Q7" s="2" t="str">
        <x:v>NA</x:v>
      </x:c>
      <x:c r="R7" s="2" t="str">
        <x:v>13.900332996854559</x:v>
      </x:c>
      <x:c r="S7" s="2" t="str">
        <x:v>48.2698731912954</x:v>
      </x:c>
    </x:row>
    <x:row r="8">
      <x:c r="A8" s="2" t="str">
        <x:v>DE-CMP-01</x:v>
      </x:c>
      <x:c r="B8" s="2" t="str">
        <x:v>CFG-C01</x:v>
      </x:c>
      <x:c r="C8" s="2" t="n">
        <x:v>46227.70238086805</x:v>
      </x:c>
      <x:c r="D8" s="2" t="str">
        <x:v>os_cfar</x:v>
      </x:c>
      <x:c r="E8" s="2" t="str">
        <x:v>noise_only</x:v>
      </x:c>
      <x:c r="F8" s="2" t="str">
        <x:v>4</x:v>
      </x:c>
      <x:c r="G8" s="2" t="str">
        <x:v>3104207</x:v>
      </x:c>
      <x:c r="H8" s="2" t="str">
        <x:v>2048000.0</x:v>
      </x:c>
      <x:c r="I8" s="2" t="str">
        <x:v>8192</x:v>
      </x:c>
      <x:c r="J8" s="2" t="str">
        <x:v>250.0</x:v>
      </x:c>
      <x:c r="K8" s="2" t="str">
        <x:v>0</x:v>
      </x:c>
      <x:c r="L8" s="2" t="str">
        <x:v>3</x:v>
      </x:c>
      <x:c r="M8" s="2" t="str">
        <x:v>0</x:v>
      </x:c>
      <x:c r="N8" s="2" t="str">
        <x:v>3</x:v>
      </x:c>
      <x:c r="O8" s="2" t="str">
        <x:v>0</x:v>
      </x:c>
      <x:c r="P8" s="2" t="str">
        <x:v>true</x:v>
      </x:c>
      <x:c r="Q8" s="2" t="str">
        <x:v>NA</x:v>
      </x:c>
      <x:c r="R8" s="2" t="str">
        <x:v>13.917958000092767</x:v>
      </x:c>
      <x:c r="S8" s="2" t="str">
        <x:v>48.11104527317709</x:v>
      </x:c>
    </x:row>
    <x:row r="9">
      <x:c r="A9" s="2" t="str">
        <x:v>DE-CMP-01</x:v>
      </x:c>
      <x:c r="B9" s="2" t="str">
        <x:v>CFG-C01</x:v>
      </x:c>
      <x:c r="C9" s="2" t="n">
        <x:v>46227.70238086805</x:v>
      </x:c>
      <x:c r="D9" s="2" t="str">
        <x:v>adaptive</x:v>
      </x:c>
      <x:c r="E9" s="2" t="str">
        <x:v>noise_only</x:v>
      </x:c>
      <x:c r="F9" s="2" t="str">
        <x:v>4</x:v>
      </x:c>
      <x:c r="G9" s="2" t="str">
        <x:v>3104207</x:v>
      </x:c>
      <x:c r="H9" s="2" t="str">
        <x:v>2048000.0</x:v>
      </x:c>
      <x:c r="I9" s="2" t="str">
        <x:v>8192</x:v>
      </x:c>
      <x:c r="J9" s="2" t="str">
        <x:v>250.0</x:v>
      </x:c>
      <x:c r="K9" s="2" t="str">
        <x:v>0</x:v>
      </x:c>
      <x:c r="L9" s="2" t="str">
        <x:v>3</x:v>
      </x:c>
      <x:c r="M9" s="2" t="str">
        <x:v>0</x:v>
      </x:c>
      <x:c r="N9" s="2" t="str">
        <x:v>3</x:v>
      </x:c>
      <x:c r="O9" s="2" t="str">
        <x:v>0</x:v>
      </x:c>
      <x:c r="P9" s="2" t="str">
        <x:v>true</x:v>
      </x:c>
      <x:c r="Q9" s="2" t="str">
        <x:v>NA</x:v>
      </x:c>
      <x:c r="R9" s="2" t="str">
        <x:v>0.43920899042859674</x:v>
      </x:c>
      <x:c r="S9" s="2" t="str">
        <x:v>46.3782932824951</x:v>
      </x:c>
    </x:row>
    <x:row r="10">
      <x:c r="A10" s="2" t="str">
        <x:v>DE-CMP-01</x:v>
      </x:c>
      <x:c r="B10" s="2" t="str">
        <x:v>CFG-C01</x:v>
      </x:c>
      <x:c r="C10" s="2" t="n">
        <x:v>46227.70238086805</x:v>
      </x:c>
      <x:c r="D10" s="2" t="str">
        <x:v>adaptive</x:v>
      </x:c>
      <x:c r="E10" s="2" t="str">
        <x:v>noise_only</x:v>
      </x:c>
      <x:c r="F10" s="2" t="str">
        <x:v>5</x:v>
      </x:c>
      <x:c r="G10" s="2" t="str">
        <x:v>3104208</x:v>
      </x:c>
      <x:c r="H10" s="2" t="str">
        <x:v>2048000.0</x:v>
      </x:c>
      <x:c r="I10" s="2" t="str">
        <x:v>8192</x:v>
      </x:c>
      <x:c r="J10" s="2" t="str">
        <x:v>250.0</x:v>
      </x:c>
      <x:c r="K10" s="2" t="str">
        <x:v>0</x:v>
      </x:c>
      <x:c r="L10" s="2" t="str">
        <x:v>3</x:v>
      </x:c>
      <x:c r="M10" s="2" t="str">
        <x:v>0</x:v>
      </x:c>
      <x:c r="N10" s="2" t="str">
        <x:v>3</x:v>
      </x:c>
      <x:c r="O10" s="2" t="str">
        <x:v>0</x:v>
      </x:c>
      <x:c r="P10" s="2" t="str">
        <x:v>true</x:v>
      </x:c>
      <x:c r="Q10" s="2" t="str">
        <x:v>NA</x:v>
      </x:c>
      <x:c r="R10" s="2" t="str">
        <x:v>0.5331669963197783</x:v>
      </x:c>
      <x:c r="S10" s="2" t="str">
        <x:v>46.31839197195446</x:v>
      </x:c>
    </x:row>
    <x:row r="11">
      <x:c r="A11" s="2" t="str">
        <x:v>DE-CMP-01</x:v>
      </x:c>
      <x:c r="B11" s="2" t="str">
        <x:v>CFG-C01</x:v>
      </x:c>
      <x:c r="C11" s="2" t="n">
        <x:v>46227.70238086805</x:v>
      </x:c>
      <x:c r="D11" s="2" t="str">
        <x:v>os_cfar</x:v>
      </x:c>
      <x:c r="E11" s="2" t="str">
        <x:v>noise_only</x:v>
      </x:c>
      <x:c r="F11" s="2" t="str">
        <x:v>5</x:v>
      </x:c>
      <x:c r="G11" s="2" t="str">
        <x:v>3104208</x:v>
      </x:c>
      <x:c r="H11" s="2" t="str">
        <x:v>2048000.0</x:v>
      </x:c>
      <x:c r="I11" s="2" t="str">
        <x:v>8192</x:v>
      </x:c>
      <x:c r="J11" s="2" t="str">
        <x:v>250.0</x:v>
      </x:c>
      <x:c r="K11" s="2" t="str">
        <x:v>0</x:v>
      </x:c>
      <x:c r="L11" s="2" t="str">
        <x:v>3</x:v>
      </x:c>
      <x:c r="M11" s="2" t="str">
        <x:v>0</x:v>
      </x:c>
      <x:c r="N11" s="2" t="str">
        <x:v>3</x:v>
      </x:c>
      <x:c r="O11" s="2" t="str">
        <x:v>0</x:v>
      </x:c>
      <x:c r="P11" s="2" t="str">
        <x:v>true</x:v>
      </x:c>
      <x:c r="Q11" s="2" t="str">
        <x:v>NA</x:v>
      </x:c>
      <x:c r="R11" s="2" t="str">
        <x:v>13.625625011627562</x:v>
      </x:c>
      <x:c r="S11" s="2" t="str">
        <x:v>48.10335423606695</x:v>
      </x:c>
    </x:row>
    <x:row r="12">
      <x:c r="A12" s="2" t="str">
        <x:v>DE-CMP-01</x:v>
      </x:c>
      <x:c r="B12" s="2" t="str">
        <x:v>CFG-C01</x:v>
      </x:c>
      <x:c r="C12" s="2" t="n">
        <x:v>46227.70238086805</x:v>
      </x:c>
      <x:c r="D12" s="2" t="str">
        <x:v>os_cfar</x:v>
      </x:c>
      <x:c r="E12" s="2" t="str">
        <x:v>noise_only</x:v>
      </x:c>
      <x:c r="F12" s="2" t="str">
        <x:v>6</x:v>
      </x:c>
      <x:c r="G12" s="2" t="str">
        <x:v>3104209</x:v>
      </x:c>
      <x:c r="H12" s="2" t="str">
        <x:v>2048000.0</x:v>
      </x:c>
      <x:c r="I12" s="2" t="str">
        <x:v>8192</x:v>
      </x:c>
      <x:c r="J12" s="2" t="str">
        <x:v>250.0</x:v>
      </x:c>
      <x:c r="K12" s="2" t="str">
        <x:v>0</x:v>
      </x:c>
      <x:c r="L12" s="2" t="str">
        <x:v>3</x:v>
      </x:c>
      <x:c r="M12" s="2" t="str">
        <x:v>0</x:v>
      </x:c>
      <x:c r="N12" s="2" t="str">
        <x:v>3</x:v>
      </x:c>
      <x:c r="O12" s="2" t="str">
        <x:v>0</x:v>
      </x:c>
      <x:c r="P12" s="2" t="str">
        <x:v>true</x:v>
      </x:c>
      <x:c r="Q12" s="2" t="str">
        <x:v>NA</x:v>
      </x:c>
      <x:c r="R12" s="2" t="str">
        <x:v>13.741332993959077</x:v>
      </x:c>
      <x:c r="S12" s="2" t="str">
        <x:v>48.2338734507006</x:v>
      </x:c>
    </x:row>
    <x:row r="13">
      <x:c r="A13" s="2" t="str">
        <x:v>DE-CMP-01</x:v>
      </x:c>
      <x:c r="B13" s="2" t="str">
        <x:v>CFG-C01</x:v>
      </x:c>
      <x:c r="C13" s="2" t="n">
        <x:v>46227.70238086805</x:v>
      </x:c>
      <x:c r="D13" s="2" t="str">
        <x:v>adaptive</x:v>
      </x:c>
      <x:c r="E13" s="2" t="str">
        <x:v>noise_only</x:v>
      </x:c>
      <x:c r="F13" s="2" t="str">
        <x:v>6</x:v>
      </x:c>
      <x:c r="G13" s="2" t="str">
        <x:v>3104209</x:v>
      </x:c>
      <x:c r="H13" s="2" t="str">
        <x:v>2048000.0</x:v>
      </x:c>
      <x:c r="I13" s="2" t="str">
        <x:v>8192</x:v>
      </x:c>
      <x:c r="J13" s="2" t="str">
        <x:v>250.0</x:v>
      </x:c>
      <x:c r="K13" s="2" t="str">
        <x:v>0</x:v>
      </x:c>
      <x:c r="L13" s="2" t="str">
        <x:v>3</x:v>
      </x:c>
      <x:c r="M13" s="2" t="str">
        <x:v>0</x:v>
      </x:c>
      <x:c r="N13" s="2" t="str">
        <x:v>3</x:v>
      </x:c>
      <x:c r="O13" s="2" t="str">
        <x:v>0</x:v>
      </x:c>
      <x:c r="P13" s="2" t="str">
        <x:v>true</x:v>
      </x:c>
      <x:c r="Q13" s="2" t="str">
        <x:v>NA</x:v>
      </x:c>
      <x:c r="R13" s="2" t="str">
        <x:v>0.4323330067563802</x:v>
      </x:c>
      <x:c r="S13" s="2" t="str">
        <x:v>46.35926835339043</x:v>
      </x:c>
    </x:row>
    <x:row r="14">
      <x:c r="A14" s="2" t="str">
        <x:v>DE-CMP-01</x:v>
      </x:c>
      <x:c r="B14" s="2" t="str">
        <x:v>CFG-C01</x:v>
      </x:c>
      <x:c r="C14" s="2" t="n">
        <x:v>46227.70238086805</x:v>
      </x:c>
      <x:c r="D14" s="2" t="str">
        <x:v>adaptive</x:v>
      </x:c>
      <x:c r="E14" s="2" t="str">
        <x:v>noise_only</x:v>
      </x:c>
      <x:c r="F14" s="2" t="str">
        <x:v>7</x:v>
      </x:c>
      <x:c r="G14" s="2" t="str">
        <x:v>3104210</x:v>
      </x:c>
      <x:c r="H14" s="2" t="str">
        <x:v>2048000.0</x:v>
      </x:c>
      <x:c r="I14" s="2" t="str">
        <x:v>8192</x:v>
      </x:c>
      <x:c r="J14" s="2" t="str">
        <x:v>250.0</x:v>
      </x:c>
      <x:c r="K14" s="2" t="str">
        <x:v>0</x:v>
      </x:c>
      <x:c r="L14" s="2" t="str">
        <x:v>3</x:v>
      </x:c>
      <x:c r="M14" s="2" t="str">
        <x:v>0</x:v>
      </x:c>
      <x:c r="N14" s="2" t="str">
        <x:v>3</x:v>
      </x:c>
      <x:c r="O14" s="2" t="str">
        <x:v>0</x:v>
      </x:c>
      <x:c r="P14" s="2" t="str">
        <x:v>true</x:v>
      </x:c>
      <x:c r="Q14" s="2" t="str">
        <x:v>NA</x:v>
      </x:c>
      <x:c r="R14" s="2" t="str">
        <x:v>0.41183400026056916</x:v>
      </x:c>
      <x:c r="S14" s="2" t="str">
        <x:v>46.382160648427735</x:v>
      </x:c>
    </x:row>
    <x:row r="15">
      <x:c r="A15" s="2" t="str">
        <x:v>DE-CMP-01</x:v>
      </x:c>
      <x:c r="B15" s="2" t="str">
        <x:v>CFG-C01</x:v>
      </x:c>
      <x:c r="C15" s="2" t="n">
        <x:v>46227.70238086805</x:v>
      </x:c>
      <x:c r="D15" s="2" t="str">
        <x:v>os_cfar</x:v>
      </x:c>
      <x:c r="E15" s="2" t="str">
        <x:v>noise_only</x:v>
      </x:c>
      <x:c r="F15" s="2" t="str">
        <x:v>7</x:v>
      </x:c>
      <x:c r="G15" s="2" t="str">
        <x:v>3104210</x:v>
      </x:c>
      <x:c r="H15" s="2" t="str">
        <x:v>2048000.0</x:v>
      </x:c>
      <x:c r="I15" s="2" t="str">
        <x:v>8192</x:v>
      </x:c>
      <x:c r="J15" s="2" t="str">
        <x:v>250.0</x:v>
      </x:c>
      <x:c r="K15" s="2" t="str">
        <x:v>0</x:v>
      </x:c>
      <x:c r="L15" s="2" t="str">
        <x:v>3</x:v>
      </x:c>
      <x:c r="M15" s="2" t="str">
        <x:v>0</x:v>
      </x:c>
      <x:c r="N15" s="2" t="str">
        <x:v>3</x:v>
      </x:c>
      <x:c r="O15" s="2" t="str">
        <x:v>0</x:v>
      </x:c>
      <x:c r="P15" s="2" t="str">
        <x:v>true</x:v>
      </x:c>
      <x:c r="Q15" s="2" t="str">
        <x:v>NA</x:v>
      </x:c>
      <x:c r="R15" s="2" t="str">
        <x:v>13.50341600482352</x:v>
      </x:c>
      <x:c r="S15" s="2" t="str">
        <x:v>48.200181116154795</x:v>
      </x:c>
    </x:row>
    <x:row r="16">
      <x:c r="A16" s="2" t="str">
        <x:v>DE-CMP-01</x:v>
      </x:c>
      <x:c r="B16" s="2" t="str">
        <x:v>CFG-C01</x:v>
      </x:c>
      <x:c r="C16" s="2" t="n">
        <x:v>46227.70238086805</x:v>
      </x:c>
      <x:c r="D16" s="2" t="str">
        <x:v>os_cfar</x:v>
      </x:c>
      <x:c r="E16" s="2" t="str">
        <x:v>noise_only</x:v>
      </x:c>
      <x:c r="F16" s="2" t="str">
        <x:v>8</x:v>
      </x:c>
      <x:c r="G16" s="2" t="str">
        <x:v>3104211</x:v>
      </x:c>
      <x:c r="H16" s="2" t="str">
        <x:v>2048000.0</x:v>
      </x:c>
      <x:c r="I16" s="2" t="str">
        <x:v>8192</x:v>
      </x:c>
      <x:c r="J16" s="2" t="str">
        <x:v>250.0</x:v>
      </x:c>
      <x:c r="K16" s="2" t="str">
        <x:v>0</x:v>
      </x:c>
      <x:c r="L16" s="2" t="str">
        <x:v>3</x:v>
      </x:c>
      <x:c r="M16" s="2" t="str">
        <x:v>0</x:v>
      </x:c>
      <x:c r="N16" s="2" t="str">
        <x:v>3</x:v>
      </x:c>
      <x:c r="O16" s="2" t="str">
        <x:v>0</x:v>
      </x:c>
      <x:c r="P16" s="2" t="str">
        <x:v>true</x:v>
      </x:c>
      <x:c r="Q16" s="2" t="str">
        <x:v>NA</x:v>
      </x:c>
      <x:c r="R16" s="2" t="str">
        <x:v>13.991667001391761</x:v>
      </x:c>
      <x:c r="S16" s="2" t="str">
        <x:v>48.16497776315603</x:v>
      </x:c>
    </x:row>
    <x:row r="17">
      <x:c r="A17" s="2" t="str">
        <x:v>DE-CMP-01</x:v>
      </x:c>
      <x:c r="B17" s="2" t="str">
        <x:v>CFG-C01</x:v>
      </x:c>
      <x:c r="C17" s="2" t="n">
        <x:v>46227.70238086805</x:v>
      </x:c>
      <x:c r="D17" s="2" t="str">
        <x:v>adaptive</x:v>
      </x:c>
      <x:c r="E17" s="2" t="str">
        <x:v>noise_only</x:v>
      </x:c>
      <x:c r="F17" s="2" t="str">
        <x:v>8</x:v>
      </x:c>
      <x:c r="G17" s="2" t="str">
        <x:v>3104211</x:v>
      </x:c>
      <x:c r="H17" s="2" t="str">
        <x:v>2048000.0</x:v>
      </x:c>
      <x:c r="I17" s="2" t="str">
        <x:v>8192</x:v>
      </x:c>
      <x:c r="J17" s="2" t="str">
        <x:v>250.0</x:v>
      </x:c>
      <x:c r="K17" s="2" t="str">
        <x:v>0</x:v>
      </x:c>
      <x:c r="L17" s="2" t="str">
        <x:v>3</x:v>
      </x:c>
      <x:c r="M17" s="2" t="str">
        <x:v>0</x:v>
      </x:c>
      <x:c r="N17" s="2" t="str">
        <x:v>3</x:v>
      </x:c>
      <x:c r="O17" s="2" t="str">
        <x:v>0</x:v>
      </x:c>
      <x:c r="P17" s="2" t="str">
        <x:v>true</x:v>
      </x:c>
      <x:c r="Q17" s="2" t="str">
        <x:v>NA</x:v>
      </x:c>
      <x:c r="R17" s="2" t="str">
        <x:v>0.43237498903181404</x:v>
      </x:c>
      <x:c r="S17" s="2" t="str">
        <x:v>46.26565122643245</x:v>
      </x:c>
    </x:row>
    <x:row r="18">
      <x:c r="A18" s="2" t="str">
        <x:v>DE-CMP-01</x:v>
      </x:c>
      <x:c r="B18" s="2" t="str">
        <x:v>CFG-C01</x:v>
      </x:c>
      <x:c r="C18" s="2" t="n">
        <x:v>46227.70238086805</x:v>
      </x:c>
      <x:c r="D18" s="2" t="str">
        <x:v>adaptive</x:v>
      </x:c>
      <x:c r="E18" s="2" t="str">
        <x:v>noise_only</x:v>
      </x:c>
      <x:c r="F18" s="2" t="str">
        <x:v>9</x:v>
      </x:c>
      <x:c r="G18" s="2" t="str">
        <x:v>3104212</x:v>
      </x:c>
      <x:c r="H18" s="2" t="str">
        <x:v>2048000.0</x:v>
      </x:c>
      <x:c r="I18" s="2" t="str">
        <x:v>8192</x:v>
      </x:c>
      <x:c r="J18" s="2" t="str">
        <x:v>250.0</x:v>
      </x:c>
      <x:c r="K18" s="2" t="str">
        <x:v>0</x:v>
      </x:c>
      <x:c r="L18" s="2" t="str">
        <x:v>3</x:v>
      </x:c>
      <x:c r="M18" s="2" t="str">
        <x:v>0</x:v>
      </x:c>
      <x:c r="N18" s="2" t="str">
        <x:v>3</x:v>
      </x:c>
      <x:c r="O18" s="2" t="str">
        <x:v>0</x:v>
      </x:c>
      <x:c r="P18" s="2" t="str">
        <x:v>true</x:v>
      </x:c>
      <x:c r="Q18" s="2" t="str">
        <x:v>NA</x:v>
      </x:c>
      <x:c r="R18" s="2" t="str">
        <x:v>0.40783399890642613</x:v>
      </x:c>
      <x:c r="S18" s="2" t="str">
        <x:v>46.53728901941138</x:v>
      </x:c>
    </x:row>
    <x:row r="19">
      <x:c r="A19" s="2" t="str">
        <x:v>DE-CMP-01</x:v>
      </x:c>
      <x:c r="B19" s="2" t="str">
        <x:v>CFG-C01</x:v>
      </x:c>
      <x:c r="C19" s="2" t="n">
        <x:v>46227.70238086805</x:v>
      </x:c>
      <x:c r="D19" s="2" t="str">
        <x:v>os_cfar</x:v>
      </x:c>
      <x:c r="E19" s="2" t="str">
        <x:v>noise_only</x:v>
      </x:c>
      <x:c r="F19" s="2" t="str">
        <x:v>9</x:v>
      </x:c>
      <x:c r="G19" s="2" t="str">
        <x:v>3104212</x:v>
      </x:c>
      <x:c r="H19" s="2" t="str">
        <x:v>2048000.0</x:v>
      </x:c>
      <x:c r="I19" s="2" t="str">
        <x:v>8192</x:v>
      </x:c>
      <x:c r="J19" s="2" t="str">
        <x:v>250.0</x:v>
      </x:c>
      <x:c r="K19" s="2" t="str">
        <x:v>0</x:v>
      </x:c>
      <x:c r="L19" s="2" t="str">
        <x:v>3</x:v>
      </x:c>
      <x:c r="M19" s="2" t="str">
        <x:v>0</x:v>
      </x:c>
      <x:c r="N19" s="2" t="str">
        <x:v>3</x:v>
      </x:c>
      <x:c r="O19" s="2" t="str">
        <x:v>0</x:v>
      </x:c>
      <x:c r="P19" s="2" t="str">
        <x:v>true</x:v>
      </x:c>
      <x:c r="Q19" s="2" t="str">
        <x:v>NA</x:v>
      </x:c>
      <x:c r="R19" s="2" t="str">
        <x:v>13.842749991454184</x:v>
      </x:c>
      <x:c r="S19" s="2" t="str">
        <x:v>48.19283826910735</x:v>
      </x:c>
    </x:row>
    <x:row r="20">
      <x:c r="A20" s="2" t="str">
        <x:v>DE-CMP-01</x:v>
      </x:c>
      <x:c r="B20" s="2" t="str">
        <x:v>CFG-C01</x:v>
      </x:c>
      <x:c r="C20" s="2" t="n">
        <x:v>46227.70238086805</x:v>
      </x:c>
      <x:c r="D20" s="2" t="str">
        <x:v>os_cfar</x:v>
      </x:c>
      <x:c r="E20" s="2" t="str">
        <x:v>noise_only</x:v>
      </x:c>
      <x:c r="F20" s="2" t="str">
        <x:v>10</x:v>
      </x:c>
      <x:c r="G20" s="2" t="str">
        <x:v>3104213</x:v>
      </x:c>
      <x:c r="H20" s="2" t="str">
        <x:v>2048000.0</x:v>
      </x:c>
      <x:c r="I20" s="2" t="str">
        <x:v>8192</x:v>
      </x:c>
      <x:c r="J20" s="2" t="str">
        <x:v>250.0</x:v>
      </x:c>
      <x:c r="K20" s="2" t="str">
        <x:v>0</x:v>
      </x:c>
      <x:c r="L20" s="2" t="str">
        <x:v>3</x:v>
      </x:c>
      <x:c r="M20" s="2" t="str">
        <x:v>0</x:v>
      </x:c>
      <x:c r="N20" s="2" t="str">
        <x:v>3</x:v>
      </x:c>
      <x:c r="O20" s="2" t="str">
        <x:v>0</x:v>
      </x:c>
      <x:c r="P20" s="2" t="str">
        <x:v>true</x:v>
      </x:c>
      <x:c r="Q20" s="2" t="str">
        <x:v>NA</x:v>
      </x:c>
      <x:c r="R20" s="2" t="str">
        <x:v>14.00758299860172</x:v>
      </x:c>
      <x:c r="S20" s="2" t="str">
        <x:v>48.23927331459992</x:v>
      </x:c>
    </x:row>
    <x:row r="21">
      <x:c r="A21" s="2" t="str">
        <x:v>DE-CMP-01</x:v>
      </x:c>
      <x:c r="B21" s="2" t="str">
        <x:v>CFG-C01</x:v>
      </x:c>
      <x:c r="C21" s="2" t="n">
        <x:v>46227.70238086805</x:v>
      </x:c>
      <x:c r="D21" s="2" t="str">
        <x:v>adaptive</x:v>
      </x:c>
      <x:c r="E21" s="2" t="str">
        <x:v>noise_only</x:v>
      </x:c>
      <x:c r="F21" s="2" t="str">
        <x:v>10</x:v>
      </x:c>
      <x:c r="G21" s="2" t="str">
        <x:v>3104213</x:v>
      </x:c>
      <x:c r="H21" s="2" t="str">
        <x:v>2048000.0</x:v>
      </x:c>
      <x:c r="I21" s="2" t="str">
        <x:v>8192</x:v>
      </x:c>
      <x:c r="J21" s="2" t="str">
        <x:v>250.0</x:v>
      </x:c>
      <x:c r="K21" s="2" t="str">
        <x:v>0</x:v>
      </x:c>
      <x:c r="L21" s="2" t="str">
        <x:v>3</x:v>
      </x:c>
      <x:c r="M21" s="2" t="str">
        <x:v>0</x:v>
      </x:c>
      <x:c r="N21" s="2" t="str">
        <x:v>3</x:v>
      </x:c>
      <x:c r="O21" s="2" t="str">
        <x:v>0</x:v>
      </x:c>
      <x:c r="P21" s="2" t="str">
        <x:v>true</x:v>
      </x:c>
      <x:c r="Q21" s="2" t="str">
        <x:v>NA</x:v>
      </x:c>
      <x:c r="R21" s="2" t="str">
        <x:v>0.4359169979579747</x:v>
      </x:c>
      <x:c r="S21" s="2" t="str">
        <x:v>46.35872336260348</x:v>
      </x:c>
    </x:row>
    <x:row r="22">
      <x:c r="A22" s="2" t="str">
        <x:v>DE-CMP-01</x:v>
      </x:c>
      <x:c r="B22" s="2" t="str">
        <x:v>CFG-C01</x:v>
      </x:c>
      <x:c r="C22" s="2" t="n">
        <x:v>46227.70238086805</x:v>
      </x:c>
      <x:c r="D22" s="2" t="str">
        <x:v>adaptive</x:v>
      </x:c>
      <x:c r="E22" s="2" t="str">
        <x:v>noise_only</x:v>
      </x:c>
      <x:c r="F22" s="2" t="str">
        <x:v>11</x:v>
      </x:c>
      <x:c r="G22" s="2" t="str">
        <x:v>3104214</x:v>
      </x:c>
      <x:c r="H22" s="2" t="str">
        <x:v>2048000.0</x:v>
      </x:c>
      <x:c r="I22" s="2" t="str">
        <x:v>8192</x:v>
      </x:c>
      <x:c r="J22" s="2" t="str">
        <x:v>250.0</x:v>
      </x:c>
      <x:c r="K22" s="2" t="str">
        <x:v>0</x:v>
      </x:c>
      <x:c r="L22" s="2" t="str">
        <x:v>3</x:v>
      </x:c>
      <x:c r="M22" s="2" t="str">
        <x:v>0</x:v>
      </x:c>
      <x:c r="N22" s="2" t="str">
        <x:v>3</x:v>
      </x:c>
      <x:c r="O22" s="2" t="str">
        <x:v>0</x:v>
      </x:c>
      <x:c r="P22" s="2" t="str">
        <x:v>true</x:v>
      </x:c>
      <x:c r="Q22" s="2" t="str">
        <x:v>NA</x:v>
      </x:c>
      <x:c r="R22" s="2" t="str">
        <x:v>0.4489999992074445</x:v>
      </x:c>
      <x:c r="S22" s="2" t="str">
        <x:v>46.353430823768434</x:v>
      </x:c>
    </x:row>
    <x:row r="23">
      <x:c r="A23" s="2" t="str">
        <x:v>DE-CMP-01</x:v>
      </x:c>
      <x:c r="B23" s="2" t="str">
        <x:v>CFG-C01</x:v>
      </x:c>
      <x:c r="C23" s="2" t="n">
        <x:v>46227.70238086805</x:v>
      </x:c>
      <x:c r="D23" s="2" t="str">
        <x:v>os_cfar</x:v>
      </x:c>
      <x:c r="E23" s="2" t="str">
        <x:v>noise_only</x:v>
      </x:c>
      <x:c r="F23" s="2" t="str">
        <x:v>11</x:v>
      </x:c>
      <x:c r="G23" s="2" t="str">
        <x:v>3104214</x:v>
      </x:c>
      <x:c r="H23" s="2" t="str">
        <x:v>2048000.0</x:v>
      </x:c>
      <x:c r="I23" s="2" t="str">
        <x:v>8192</x:v>
      </x:c>
      <x:c r="J23" s="2" t="str">
        <x:v>250.0</x:v>
      </x:c>
      <x:c r="K23" s="2" t="str">
        <x:v>0</x:v>
      </x:c>
      <x:c r="L23" s="2" t="str">
        <x:v>3</x:v>
      </x:c>
      <x:c r="M23" s="2" t="str">
        <x:v>0</x:v>
      </x:c>
      <x:c r="N23" s="2" t="str">
        <x:v>3</x:v>
      </x:c>
      <x:c r="O23" s="2" t="str">
        <x:v>0</x:v>
      </x:c>
      <x:c r="P23" s="2" t="str">
        <x:v>true</x:v>
      </x:c>
      <x:c r="Q23" s="2" t="str">
        <x:v>NA</x:v>
      </x:c>
      <x:c r="R23" s="2" t="str">
        <x:v>14.012957995873876</x:v>
      </x:c>
      <x:c r="S23" s="2" t="str">
        <x:v>48.23603132534383</x:v>
      </x:c>
    </x:row>
    <x:row r="24">
      <x:c r="A24" s="2" t="str">
        <x:v>DE-CMP-01</x:v>
      </x:c>
      <x:c r="B24" s="2" t="str">
        <x:v>CFG-C01</x:v>
      </x:c>
      <x:c r="C24" s="2" t="n">
        <x:v>46227.70238086805</x:v>
      </x:c>
      <x:c r="D24" s="2" t="str">
        <x:v>os_cfar</x:v>
      </x:c>
      <x:c r="E24" s="2" t="str">
        <x:v>noise_only</x:v>
      </x:c>
      <x:c r="F24" s="2" t="str">
        <x:v>12</x:v>
      </x:c>
      <x:c r="G24" s="2" t="str">
        <x:v>3104215</x:v>
      </x:c>
      <x:c r="H24" s="2" t="str">
        <x:v>2048000.0</x:v>
      </x:c>
      <x:c r="I24" s="2" t="str">
        <x:v>8192</x:v>
      </x:c>
      <x:c r="J24" s="2" t="str">
        <x:v>250.0</x:v>
      </x:c>
      <x:c r="K24" s="2" t="str">
        <x:v>0</x:v>
      </x:c>
      <x:c r="L24" s="2" t="str">
        <x:v>3</x:v>
      </x:c>
      <x:c r="M24" s="2" t="str">
        <x:v>0</x:v>
      </x:c>
      <x:c r="N24" s="2" t="str">
        <x:v>3</x:v>
      </x:c>
      <x:c r="O24" s="2" t="str">
        <x:v>0</x:v>
      </x:c>
      <x:c r="P24" s="2" t="str">
        <x:v>true</x:v>
      </x:c>
      <x:c r="Q24" s="2" t="str">
        <x:v>NA</x:v>
      </x:c>
      <x:c r="R24" s="2" t="str">
        <x:v>13.537916995119303</x:v>
      </x:c>
      <x:c r="S24" s="2" t="str">
        <x:v>48.09471211696989</x:v>
      </x:c>
    </x:row>
    <x:row r="25">
      <x:c r="A25" s="2" t="str">
        <x:v>DE-CMP-01</x:v>
      </x:c>
      <x:c r="B25" s="2" t="str">
        <x:v>CFG-C01</x:v>
      </x:c>
      <x:c r="C25" s="2" t="n">
        <x:v>46227.70238086805</x:v>
      </x:c>
      <x:c r="D25" s="2" t="str">
        <x:v>adaptive</x:v>
      </x:c>
      <x:c r="E25" s="2" t="str">
        <x:v>noise_only</x:v>
      </x:c>
      <x:c r="F25" s="2" t="str">
        <x:v>12</x:v>
      </x:c>
      <x:c r="G25" s="2" t="str">
        <x:v>3104215</x:v>
      </x:c>
      <x:c r="H25" s="2" t="str">
        <x:v>2048000.0</x:v>
      </x:c>
      <x:c r="I25" s="2" t="str">
        <x:v>8192</x:v>
      </x:c>
      <x:c r="J25" s="2" t="str">
        <x:v>250.0</x:v>
      </x:c>
      <x:c r="K25" s="2" t="str">
        <x:v>0</x:v>
      </x:c>
      <x:c r="L25" s="2" t="str">
        <x:v>3</x:v>
      </x:c>
      <x:c r="M25" s="2" t="str">
        <x:v>0</x:v>
      </x:c>
      <x:c r="N25" s="2" t="str">
        <x:v>3</x:v>
      </x:c>
      <x:c r="O25" s="2" t="str">
        <x:v>0</x:v>
      </x:c>
      <x:c r="P25" s="2" t="str">
        <x:v>true</x:v>
      </x:c>
      <x:c r="Q25" s="2" t="str">
        <x:v>NA</x:v>
      </x:c>
      <x:c r="R25" s="2" t="str">
        <x:v>0.44270799844525754</x:v>
      </x:c>
      <x:c r="S25" s="2" t="str">
        <x:v>46.43344844652101</x:v>
      </x:c>
    </x:row>
    <x:row r="26">
      <x:c r="A26" s="2" t="str">
        <x:v>DE-CMP-01</x:v>
      </x:c>
      <x:c r="B26" s="2" t="str">
        <x:v>CFG-C01</x:v>
      </x:c>
      <x:c r="C26" s="2" t="n">
        <x:v>46227.70238086805</x:v>
      </x:c>
      <x:c r="D26" s="2" t="str">
        <x:v>adaptive</x:v>
      </x:c>
      <x:c r="E26" s="2" t="str">
        <x:v>noise_only</x:v>
      </x:c>
      <x:c r="F26" s="2" t="str">
        <x:v>13</x:v>
      </x:c>
      <x:c r="G26" s="2" t="str">
        <x:v>3104216</x:v>
      </x:c>
      <x:c r="H26" s="2" t="str">
        <x:v>2048000.0</x:v>
      </x:c>
      <x:c r="I26" s="2" t="str">
        <x:v>8192</x:v>
      </x:c>
      <x:c r="J26" s="2" t="str">
        <x:v>250.0</x:v>
      </x:c>
      <x:c r="K26" s="2" t="str">
        <x:v>0</x:v>
      </x:c>
      <x:c r="L26" s="2" t="str">
        <x:v>3</x:v>
      </x:c>
      <x:c r="M26" s="2" t="str">
        <x:v>0</x:v>
      </x:c>
      <x:c r="N26" s="2" t="str">
        <x:v>3</x:v>
      </x:c>
      <x:c r="O26" s="2" t="str">
        <x:v>0</x:v>
      </x:c>
      <x:c r="P26" s="2" t="str">
        <x:v>true</x:v>
      </x:c>
      <x:c r="Q26" s="2" t="str">
        <x:v>NA</x:v>
      </x:c>
      <x:c r="R26" s="2" t="str">
        <x:v>0.4048749979119748</x:v>
      </x:c>
      <x:c r="S26" s="2" t="str">
        <x:v>46.448062766764686</x:v>
      </x:c>
    </x:row>
    <x:row r="27">
      <x:c r="A27" s="2" t="str">
        <x:v>DE-CMP-01</x:v>
      </x:c>
      <x:c r="B27" s="2" t="str">
        <x:v>CFG-C01</x:v>
      </x:c>
      <x:c r="C27" s="2" t="n">
        <x:v>46227.70238086805</x:v>
      </x:c>
      <x:c r="D27" s="2" t="str">
        <x:v>os_cfar</x:v>
      </x:c>
      <x:c r="E27" s="2" t="str">
        <x:v>noise_only</x:v>
      </x:c>
      <x:c r="F27" s="2" t="str">
        <x:v>13</x:v>
      </x:c>
      <x:c r="G27" s="2" t="str">
        <x:v>3104216</x:v>
      </x:c>
      <x:c r="H27" s="2" t="str">
        <x:v>2048000.0</x:v>
      </x:c>
      <x:c r="I27" s="2" t="str">
        <x:v>8192</x:v>
      </x:c>
      <x:c r="J27" s="2" t="str">
        <x:v>250.0</x:v>
      </x:c>
      <x:c r="K27" s="2" t="str">
        <x:v>0</x:v>
      </x:c>
      <x:c r="L27" s="2" t="str">
        <x:v>3</x:v>
      </x:c>
      <x:c r="M27" s="2" t="str">
        <x:v>0</x:v>
      </x:c>
      <x:c r="N27" s="2" t="str">
        <x:v>3</x:v>
      </x:c>
      <x:c r="O27" s="2" t="str">
        <x:v>0</x:v>
      </x:c>
      <x:c r="P27" s="2" t="str">
        <x:v>true</x:v>
      </x:c>
      <x:c r="Q27" s="2" t="str">
        <x:v>NA</x:v>
      </x:c>
      <x:c r="R27" s="2" t="str">
        <x:v>13.685958008863963</x:v>
      </x:c>
      <x:c r="S27" s="2" t="str">
        <x:v>48.14996836421392</x:v>
      </x:c>
    </x:row>
    <x:row r="28">
      <x:c r="A28" s="2" t="str">
        <x:v>DE-CMP-01</x:v>
      </x:c>
      <x:c r="B28" s="2" t="str">
        <x:v>CFG-C01</x:v>
      </x:c>
      <x:c r="C28" s="2" t="n">
        <x:v>46227.70238086805</x:v>
      </x:c>
      <x:c r="D28" s="2" t="str">
        <x:v>os_cfar</x:v>
      </x:c>
      <x:c r="E28" s="2" t="str">
        <x:v>noise_only</x:v>
      </x:c>
      <x:c r="F28" s="2" t="str">
        <x:v>14</x:v>
      </x:c>
      <x:c r="G28" s="2" t="str">
        <x:v>3104217</x:v>
      </x:c>
      <x:c r="H28" s="2" t="str">
        <x:v>2048000.0</x:v>
      </x:c>
      <x:c r="I28" s="2" t="str">
        <x:v>8192</x:v>
      </x:c>
      <x:c r="J28" s="2" t="str">
        <x:v>250.0</x:v>
      </x:c>
      <x:c r="K28" s="2" t="str">
        <x:v>0</x:v>
      </x:c>
      <x:c r="L28" s="2" t="str">
        <x:v>3</x:v>
      </x:c>
      <x:c r="M28" s="2" t="str">
        <x:v>0</x:v>
      </x:c>
      <x:c r="N28" s="2" t="str">
        <x:v>3</x:v>
      </x:c>
      <x:c r="O28" s="2" t="str">
        <x:v>0</x:v>
      </x:c>
      <x:c r="P28" s="2" t="str">
        <x:v>true</x:v>
      </x:c>
      <x:c r="Q28" s="2" t="str">
        <x:v>NA</x:v>
      </x:c>
      <x:c r="R28" s="2" t="str">
        <x:v>13.875915989046916</x:v>
      </x:c>
      <x:c r="S28" s="2" t="str">
        <x:v>48.21516859553163</x:v>
      </x:c>
    </x:row>
    <x:row r="29">
      <x:c r="A29" s="2" t="str">
        <x:v>DE-CMP-01</x:v>
      </x:c>
      <x:c r="B29" s="2" t="str">
        <x:v>CFG-C01</x:v>
      </x:c>
      <x:c r="C29" s="2" t="n">
        <x:v>46227.70238086805</x:v>
      </x:c>
      <x:c r="D29" s="2" t="str">
        <x:v>adaptive</x:v>
      </x:c>
      <x:c r="E29" s="2" t="str">
        <x:v>noise_only</x:v>
      </x:c>
      <x:c r="F29" s="2" t="str">
        <x:v>14</x:v>
      </x:c>
      <x:c r="G29" s="2" t="str">
        <x:v>3104217</x:v>
      </x:c>
      <x:c r="H29" s="2" t="str">
        <x:v>2048000.0</x:v>
      </x:c>
      <x:c r="I29" s="2" t="str">
        <x:v>8192</x:v>
      </x:c>
      <x:c r="J29" s="2" t="str">
        <x:v>250.0</x:v>
      </x:c>
      <x:c r="K29" s="2" t="str">
        <x:v>0</x:v>
      </x:c>
      <x:c r="L29" s="2" t="str">
        <x:v>3</x:v>
      </x:c>
      <x:c r="M29" s="2" t="str">
        <x:v>0</x:v>
      </x:c>
      <x:c r="N29" s="2" t="str">
        <x:v>3</x:v>
      </x:c>
      <x:c r="O29" s="2" t="str">
        <x:v>0</x:v>
      </x:c>
      <x:c r="P29" s="2" t="str">
        <x:v>true</x:v>
      </x:c>
      <x:c r="Q29" s="2" t="str">
        <x:v>NA</x:v>
      </x:c>
      <x:c r="R29" s="2" t="str">
        <x:v>0.4190420004306361</x:v>
      </x:c>
      <x:c r="S29" s="2" t="str">
        <x:v>46.40613107670229</x:v>
      </x:c>
    </x:row>
    <x:row r="30">
      <x:c r="A30" s="2" t="str">
        <x:v>DE-CMP-01</x:v>
      </x:c>
      <x:c r="B30" s="2" t="str">
        <x:v>CFG-C01</x:v>
      </x:c>
      <x:c r="C30" s="2" t="n">
        <x:v>46227.70238086805</x:v>
      </x:c>
      <x:c r="D30" s="2" t="str">
        <x:v>adaptive</x:v>
      </x:c>
      <x:c r="E30" s="2" t="str">
        <x:v>noise_only</x:v>
      </x:c>
      <x:c r="F30" s="2" t="str">
        <x:v>15</x:v>
      </x:c>
      <x:c r="G30" s="2" t="str">
        <x:v>3104218</x:v>
      </x:c>
      <x:c r="H30" s="2" t="str">
        <x:v>2048000.0</x:v>
      </x:c>
      <x:c r="I30" s="2" t="str">
        <x:v>8192</x:v>
      </x:c>
      <x:c r="J30" s="2" t="str">
        <x:v>250.0</x:v>
      </x:c>
      <x:c r="K30" s="2" t="str">
        <x:v>0</x:v>
      </x:c>
      <x:c r="L30" s="2" t="str">
        <x:v>3</x:v>
      </x:c>
      <x:c r="M30" s="2" t="str">
        <x:v>0</x:v>
      </x:c>
      <x:c r="N30" s="2" t="str">
        <x:v>3</x:v>
      </x:c>
      <x:c r="O30" s="2" t="str">
        <x:v>0</x:v>
      </x:c>
      <x:c r="P30" s="2" t="str">
        <x:v>true</x:v>
      </x:c>
      <x:c r="Q30" s="2" t="str">
        <x:v>NA</x:v>
      </x:c>
      <x:c r="R30" s="2" t="str">
        <x:v>0.4115839983569458</x:v>
      </x:c>
      <x:c r="S30" s="2" t="str">
        <x:v>46.395586405284035</x:v>
      </x:c>
    </x:row>
    <x:row r="31">
      <x:c r="A31" s="2" t="str">
        <x:v>DE-CMP-01</x:v>
      </x:c>
      <x:c r="B31" s="2" t="str">
        <x:v>CFG-C01</x:v>
      </x:c>
      <x:c r="C31" s="2" t="n">
        <x:v>46227.70238086805</x:v>
      </x:c>
      <x:c r="D31" s="2" t="str">
        <x:v>os_cfar</x:v>
      </x:c>
      <x:c r="E31" s="2" t="str">
        <x:v>noise_only</x:v>
      </x:c>
      <x:c r="F31" s="2" t="str">
        <x:v>15</x:v>
      </x:c>
      <x:c r="G31" s="2" t="str">
        <x:v>3104218</x:v>
      </x:c>
      <x:c r="H31" s="2" t="str">
        <x:v>2048000.0</x:v>
      </x:c>
      <x:c r="I31" s="2" t="str">
        <x:v>8192</x:v>
      </x:c>
      <x:c r="J31" s="2" t="str">
        <x:v>250.0</x:v>
      </x:c>
      <x:c r="K31" s="2" t="str">
        <x:v>0</x:v>
      </x:c>
      <x:c r="L31" s="2" t="str">
        <x:v>3</x:v>
      </x:c>
      <x:c r="M31" s="2" t="str">
        <x:v>0</x:v>
      </x:c>
      <x:c r="N31" s="2" t="str">
        <x:v>3</x:v>
      </x:c>
      <x:c r="O31" s="2" t="str">
        <x:v>0</x:v>
      </x:c>
      <x:c r="P31" s="2" t="str">
        <x:v>true</x:v>
      </x:c>
      <x:c r="Q31" s="2" t="str">
        <x:v>NA</x:v>
      </x:c>
      <x:c r="R31" s="2" t="str">
        <x:v>13.743124989559874</x:v>
      </x:c>
      <x:c r="S31" s="2" t="str">
        <x:v>48.16174154298666</x:v>
      </x:c>
    </x:row>
    <x:row r="32">
      <x:c r="A32" s="2" t="str">
        <x:v>DE-CMP-01</x:v>
      </x:c>
      <x:c r="B32" s="2" t="str">
        <x:v>CFG-C01</x:v>
      </x:c>
      <x:c r="C32" s="2" t="n">
        <x:v>46227.70238086805</x:v>
      </x:c>
      <x:c r="D32" s="2" t="str">
        <x:v>os_cfar</x:v>
      </x:c>
      <x:c r="E32" s="2" t="str">
        <x:v>noise_only</x:v>
      </x:c>
      <x:c r="F32" s="2" t="str">
        <x:v>16</x:v>
      </x:c>
      <x:c r="G32" s="2" t="str">
        <x:v>3104219</x:v>
      </x:c>
      <x:c r="H32" s="2" t="str">
        <x:v>2048000.0</x:v>
      </x:c>
      <x:c r="I32" s="2" t="str">
        <x:v>8192</x:v>
      </x:c>
      <x:c r="J32" s="2" t="str">
        <x:v>250.0</x:v>
      </x:c>
      <x:c r="K32" s="2" t="str">
        <x:v>0</x:v>
      </x:c>
      <x:c r="L32" s="2" t="str">
        <x:v>3</x:v>
      </x:c>
      <x:c r="M32" s="2" t="str">
        <x:v>0</x:v>
      </x:c>
      <x:c r="N32" s="2" t="str">
        <x:v>3</x:v>
      </x:c>
      <x:c r="O32" s="2" t="str">
        <x:v>0</x:v>
      </x:c>
      <x:c r="P32" s="2" t="str">
        <x:v>true</x:v>
      </x:c>
      <x:c r="Q32" s="2" t="str">
        <x:v>NA</x:v>
      </x:c>
      <x:c r="R32" s="2" t="str">
        <x:v>13.816207996569574</x:v>
      </x:c>
      <x:c r="S32" s="2" t="str">
        <x:v>48.275663664226585</x:v>
      </x:c>
    </x:row>
    <x:row r="33">
      <x:c r="A33" s="2" t="str">
        <x:v>DE-CMP-01</x:v>
      </x:c>
      <x:c r="B33" s="2" t="str">
        <x:v>CFG-C01</x:v>
      </x:c>
      <x:c r="C33" s="2" t="n">
        <x:v>46227.70238086805</x:v>
      </x:c>
      <x:c r="D33" s="2" t="str">
        <x:v>adaptive</x:v>
      </x:c>
      <x:c r="E33" s="2" t="str">
        <x:v>noise_only</x:v>
      </x:c>
      <x:c r="F33" s="2" t="str">
        <x:v>16</x:v>
      </x:c>
      <x:c r="G33" s="2" t="str">
        <x:v>3104219</x:v>
      </x:c>
      <x:c r="H33" s="2" t="str">
        <x:v>2048000.0</x:v>
      </x:c>
      <x:c r="I33" s="2" t="str">
        <x:v>8192</x:v>
      </x:c>
      <x:c r="J33" s="2" t="str">
        <x:v>250.0</x:v>
      </x:c>
      <x:c r="K33" s="2" t="str">
        <x:v>0</x:v>
      </x:c>
      <x:c r="L33" s="2" t="str">
        <x:v>3</x:v>
      </x:c>
      <x:c r="M33" s="2" t="str">
        <x:v>0</x:v>
      </x:c>
      <x:c r="N33" s="2" t="str">
        <x:v>3</x:v>
      </x:c>
      <x:c r="O33" s="2" t="str">
        <x:v>0</x:v>
      </x:c>
      <x:c r="P33" s="2" t="str">
        <x:v>true</x:v>
      </x:c>
      <x:c r="Q33" s="2" t="str">
        <x:v>NA</x:v>
      </x:c>
      <x:c r="R33" s="2" t="str">
        <x:v>0.3853750095004216</x:v>
      </x:c>
      <x:c r="S33" s="2" t="str">
        <x:v>46.37434106903801</x:v>
      </x:c>
    </x:row>
    <x:row r="34">
      <x:c r="A34" s="2" t="str">
        <x:v>DE-CMP-01</x:v>
      </x:c>
      <x:c r="B34" s="2" t="str">
        <x:v>CFG-C01</x:v>
      </x:c>
      <x:c r="C34" s="2" t="n">
        <x:v>46227.70238086805</x:v>
      </x:c>
      <x:c r="D34" s="2" t="str">
        <x:v>adaptive</x:v>
      </x:c>
      <x:c r="E34" s="2" t="str">
        <x:v>noise_only</x:v>
      </x:c>
      <x:c r="F34" s="2" t="str">
        <x:v>17</x:v>
      </x:c>
      <x:c r="G34" s="2" t="str">
        <x:v>3104220</x:v>
      </x:c>
      <x:c r="H34" s="2" t="str">
        <x:v>2048000.0</x:v>
      </x:c>
      <x:c r="I34" s="2" t="str">
        <x:v>8192</x:v>
      </x:c>
      <x:c r="J34" s="2" t="str">
        <x:v>250.0</x:v>
      </x:c>
      <x:c r="K34" s="2" t="str">
        <x:v>0</x:v>
      </x:c>
      <x:c r="L34" s="2" t="str">
        <x:v>3</x:v>
      </x:c>
      <x:c r="M34" s="2" t="str">
        <x:v>0</x:v>
      </x:c>
      <x:c r="N34" s="2" t="str">
        <x:v>3</x:v>
      </x:c>
      <x:c r="O34" s="2" t="str">
        <x:v>0</x:v>
      </x:c>
      <x:c r="P34" s="2" t="str">
        <x:v>true</x:v>
      </x:c>
      <x:c r="Q34" s="2" t="str">
        <x:v>NA</x:v>
      </x:c>
      <x:c r="R34" s="2" t="str">
        <x:v>0.4090830043423921</x:v>
      </x:c>
      <x:c r="S34" s="2" t="str">
        <x:v>46.48134415252584</x:v>
      </x:c>
    </x:row>
    <x:row r="35">
      <x:c r="A35" s="2" t="str">
        <x:v>DE-CMP-01</x:v>
      </x:c>
      <x:c r="B35" s="2" t="str">
        <x:v>CFG-C01</x:v>
      </x:c>
      <x:c r="C35" s="2" t="n">
        <x:v>46227.70238086805</x:v>
      </x:c>
      <x:c r="D35" s="2" t="str">
        <x:v>os_cfar</x:v>
      </x:c>
      <x:c r="E35" s="2" t="str">
        <x:v>noise_only</x:v>
      </x:c>
      <x:c r="F35" s="2" t="str">
        <x:v>17</x:v>
      </x:c>
      <x:c r="G35" s="2" t="str">
        <x:v>3104220</x:v>
      </x:c>
      <x:c r="H35" s="2" t="str">
        <x:v>2048000.0</x:v>
      </x:c>
      <x:c r="I35" s="2" t="str">
        <x:v>8192</x:v>
      </x:c>
      <x:c r="J35" s="2" t="str">
        <x:v>250.0</x:v>
      </x:c>
      <x:c r="K35" s="2" t="str">
        <x:v>0</x:v>
      </x:c>
      <x:c r="L35" s="2" t="str">
        <x:v>3</x:v>
      </x:c>
      <x:c r="M35" s="2" t="str">
        <x:v>0</x:v>
      </x:c>
      <x:c r="N35" s="2" t="str">
        <x:v>3</x:v>
      </x:c>
      <x:c r="O35" s="2" t="str">
        <x:v>0</x:v>
      </x:c>
      <x:c r="P35" s="2" t="str">
        <x:v>true</x:v>
      </x:c>
      <x:c r="Q35" s="2" t="str">
        <x:v>NA</x:v>
      </x:c>
      <x:c r="R35" s="2" t="str">
        <x:v>13.833917008014396</x:v>
      </x:c>
      <x:c r="S35" s="2" t="str">
        <x:v>48.18370576141536</x:v>
      </x:c>
    </x:row>
    <x:row r="36">
      <x:c r="A36" s="2" t="str">
        <x:v>DE-CMP-01</x:v>
      </x:c>
      <x:c r="B36" s="2" t="str">
        <x:v>CFG-C01</x:v>
      </x:c>
      <x:c r="C36" s="2" t="n">
        <x:v>46227.70238086805</x:v>
      </x:c>
      <x:c r="D36" s="2" t="str">
        <x:v>os_cfar</x:v>
      </x:c>
      <x:c r="E36" s="2" t="str">
        <x:v>noise_only</x:v>
      </x:c>
      <x:c r="F36" s="2" t="str">
        <x:v>18</x:v>
      </x:c>
      <x:c r="G36" s="2" t="str">
        <x:v>3104221</x:v>
      </x:c>
      <x:c r="H36" s="2" t="str">
        <x:v>2048000.0</x:v>
      </x:c>
      <x:c r="I36" s="2" t="str">
        <x:v>8192</x:v>
      </x:c>
      <x:c r="J36" s="2" t="str">
        <x:v>250.0</x:v>
      </x:c>
      <x:c r="K36" s="2" t="str">
        <x:v>0</x:v>
      </x:c>
      <x:c r="L36" s="2" t="str">
        <x:v>3</x:v>
      </x:c>
      <x:c r="M36" s="2" t="str">
        <x:v>0</x:v>
      </x:c>
      <x:c r="N36" s="2" t="str">
        <x:v>3</x:v>
      </x:c>
      <x:c r="O36" s="2" t="str">
        <x:v>0</x:v>
      </x:c>
      <x:c r="P36" s="2" t="str">
        <x:v>true</x:v>
      </x:c>
      <x:c r="Q36" s="2" t="str">
        <x:v>NA</x:v>
      </x:c>
      <x:c r="R36" s="2" t="str">
        <x:v>13.610709007480182</x:v>
      </x:c>
      <x:c r="S36" s="2" t="str">
        <x:v>48.3737328272051</x:v>
      </x:c>
    </x:row>
    <x:row r="37">
      <x:c r="A37" s="2" t="str">
        <x:v>DE-CMP-01</x:v>
      </x:c>
      <x:c r="B37" s="2" t="str">
        <x:v>CFG-C01</x:v>
      </x:c>
      <x:c r="C37" s="2" t="n">
        <x:v>46227.70238086805</x:v>
      </x:c>
      <x:c r="D37" s="2" t="str">
        <x:v>adaptive</x:v>
      </x:c>
      <x:c r="E37" s="2" t="str">
        <x:v>noise_only</x:v>
      </x:c>
      <x:c r="F37" s="2" t="str">
        <x:v>18</x:v>
      </x:c>
      <x:c r="G37" s="2" t="str">
        <x:v>3104221</x:v>
      </x:c>
      <x:c r="H37" s="2" t="str">
        <x:v>2048000.0</x:v>
      </x:c>
      <x:c r="I37" s="2" t="str">
        <x:v>8192</x:v>
      </x:c>
      <x:c r="J37" s="2" t="str">
        <x:v>250.0</x:v>
      </x:c>
      <x:c r="K37" s="2" t="str">
        <x:v>0</x:v>
      </x:c>
      <x:c r="L37" s="2" t="str">
        <x:v>3</x:v>
      </x:c>
      <x:c r="M37" s="2" t="str">
        <x:v>0</x:v>
      </x:c>
      <x:c r="N37" s="2" t="str">
        <x:v>3</x:v>
      </x:c>
      <x:c r="O37" s="2" t="str">
        <x:v>0</x:v>
      </x:c>
      <x:c r="P37" s="2" t="str">
        <x:v>true</x:v>
      </x:c>
      <x:c r="Q37" s="2" t="str">
        <x:v>NA</x:v>
      </x:c>
      <x:c r="R37" s="2" t="str">
        <x:v>0.40674999763723463</x:v>
      </x:c>
      <x:c r="S37" s="2" t="str">
        <x:v>46.61020729687006</x:v>
      </x:c>
    </x:row>
    <x:row r="38">
      <x:c r="A38" s="2" t="str">
        <x:v>DE-CMP-01</x:v>
      </x:c>
      <x:c r="B38" s="2" t="str">
        <x:v>CFG-C01</x:v>
      </x:c>
      <x:c r="C38" s="2" t="n">
        <x:v>46227.70238086805</x:v>
      </x:c>
      <x:c r="D38" s="2" t="str">
        <x:v>adaptive</x:v>
      </x:c>
      <x:c r="E38" s="2" t="str">
        <x:v>noise_only</x:v>
      </x:c>
      <x:c r="F38" s="2" t="str">
        <x:v>19</x:v>
      </x:c>
      <x:c r="G38" s="2" t="str">
        <x:v>3104222</x:v>
      </x:c>
      <x:c r="H38" s="2" t="str">
        <x:v>2048000.0</x:v>
      </x:c>
      <x:c r="I38" s="2" t="str">
        <x:v>8192</x:v>
      </x:c>
      <x:c r="J38" s="2" t="str">
        <x:v>250.0</x:v>
      </x:c>
      <x:c r="K38" s="2" t="str">
        <x:v>0</x:v>
      </x:c>
      <x:c r="L38" s="2" t="str">
        <x:v>3</x:v>
      </x:c>
      <x:c r="M38" s="2" t="str">
        <x:v>0</x:v>
      </x:c>
      <x:c r="N38" s="2" t="str">
        <x:v>3</x:v>
      </x:c>
      <x:c r="O38" s="2" t="str">
        <x:v>0</x:v>
      </x:c>
      <x:c r="P38" s="2" t="str">
        <x:v>true</x:v>
      </x:c>
      <x:c r="Q38" s="2" t="str">
        <x:v>NA</x:v>
      </x:c>
      <x:c r="R38" s="2" t="str">
        <x:v>0.46099998871795833</x:v>
      </x:c>
      <x:c r="S38" s="2" t="str">
        <x:v>46.53881213117255</x:v>
      </x:c>
    </x:row>
    <x:row r="39">
      <x:c r="A39" s="2" t="str">
        <x:v>DE-CMP-01</x:v>
      </x:c>
      <x:c r="B39" s="2" t="str">
        <x:v>CFG-C01</x:v>
      </x:c>
      <x:c r="C39" s="2" t="n">
        <x:v>46227.70238086805</x:v>
      </x:c>
      <x:c r="D39" s="2" t="str">
        <x:v>os_cfar</x:v>
      </x:c>
      <x:c r="E39" s="2" t="str">
        <x:v>noise_only</x:v>
      </x:c>
      <x:c r="F39" s="2" t="str">
        <x:v>19</x:v>
      </x:c>
      <x:c r="G39" s="2" t="str">
        <x:v>3104222</x:v>
      </x:c>
      <x:c r="H39" s="2" t="str">
        <x:v>2048000.0</x:v>
      </x:c>
      <x:c r="I39" s="2" t="str">
        <x:v>8192</x:v>
      </x:c>
      <x:c r="J39" s="2" t="str">
        <x:v>250.0</x:v>
      </x:c>
      <x:c r="K39" s="2" t="str">
        <x:v>0</x:v>
      </x:c>
      <x:c r="L39" s="2" t="str">
        <x:v>3</x:v>
      </x:c>
      <x:c r="M39" s="2" t="str">
        <x:v>0</x:v>
      </x:c>
      <x:c r="N39" s="2" t="str">
        <x:v>3</x:v>
      </x:c>
      <x:c r="O39" s="2" t="str">
        <x:v>0</x:v>
      </x:c>
      <x:c r="P39" s="2" t="str">
        <x:v>true</x:v>
      </x:c>
      <x:c r="Q39" s="2" t="str">
        <x:v>NA</x:v>
      </x:c>
      <x:c r="R39" s="2" t="str">
        <x:v>14.267917009419762</x:v>
      </x:c>
      <x:c r="S39" s="2" t="str">
        <x:v>48.29807295252869</x:v>
      </x:c>
    </x:row>
    <x:row r="40">
      <x:c r="A40" s="2" t="str">
        <x:v>DE-CMP-01</x:v>
      </x:c>
      <x:c r="B40" s="2" t="str">
        <x:v>CFG-C01</x:v>
      </x:c>
      <x:c r="C40" s="2" t="n">
        <x:v>46227.70238086805</x:v>
      </x:c>
      <x:c r="D40" s="2" t="str">
        <x:v>os_cfar</x:v>
      </x:c>
      <x:c r="E40" s="2" t="str">
        <x:v>noise_only</x:v>
      </x:c>
      <x:c r="F40" s="2" t="str">
        <x:v>20</x:v>
      </x:c>
      <x:c r="G40" s="2" t="str">
        <x:v>3104223</x:v>
      </x:c>
      <x:c r="H40" s="2" t="str">
        <x:v>2048000.0</x:v>
      </x:c>
      <x:c r="I40" s="2" t="str">
        <x:v>8192</x:v>
      </x:c>
      <x:c r="J40" s="2" t="str">
        <x:v>250.0</x:v>
      </x:c>
      <x:c r="K40" s="2" t="str">
        <x:v>0</x:v>
      </x:c>
      <x:c r="L40" s="2" t="str">
        <x:v>3</x:v>
      </x:c>
      <x:c r="M40" s="2" t="str">
        <x:v>0</x:v>
      </x:c>
      <x:c r="N40" s="2" t="str">
        <x:v>3</x:v>
      </x:c>
      <x:c r="O40" s="2" t="str">
        <x:v>0</x:v>
      </x:c>
      <x:c r="P40" s="2" t="str">
        <x:v>true</x:v>
      </x:c>
      <x:c r="Q40" s="2" t="str">
        <x:v>NA</x:v>
      </x:c>
      <x:c r="R40" s="2" t="str">
        <x:v>14.53041700005997</x:v>
      </x:c>
      <x:c r="S40" s="2" t="str">
        <x:v>48.268145902559006</x:v>
      </x:c>
    </x:row>
    <x:row r="41">
      <x:c r="A41" s="2" t="str">
        <x:v>DE-CMP-01</x:v>
      </x:c>
      <x:c r="B41" s="2" t="str">
        <x:v>CFG-C01</x:v>
      </x:c>
      <x:c r="C41" s="2" t="n">
        <x:v>46227.70238086805</x:v>
      </x:c>
      <x:c r="D41" s="2" t="str">
        <x:v>adaptive</x:v>
      </x:c>
      <x:c r="E41" s="2" t="str">
        <x:v>noise_only</x:v>
      </x:c>
      <x:c r="F41" s="2" t="str">
        <x:v>20</x:v>
      </x:c>
      <x:c r="G41" s="2" t="str">
        <x:v>3104223</x:v>
      </x:c>
      <x:c r="H41" s="2" t="str">
        <x:v>2048000.0</x:v>
      </x:c>
      <x:c r="I41" s="2" t="str">
        <x:v>8192</x:v>
      </x:c>
      <x:c r="J41" s="2" t="str">
        <x:v>250.0</x:v>
      </x:c>
      <x:c r="K41" s="2" t="str">
        <x:v>0</x:v>
      </x:c>
      <x:c r="L41" s="2" t="str">
        <x:v>3</x:v>
      </x:c>
      <x:c r="M41" s="2" t="str">
        <x:v>0</x:v>
      </x:c>
      <x:c r="N41" s="2" t="str">
        <x:v>3</x:v>
      </x:c>
      <x:c r="O41" s="2" t="str">
        <x:v>0</x:v>
      </x:c>
      <x:c r="P41" s="2" t="str">
        <x:v>true</x:v>
      </x:c>
      <x:c r="Q41" s="2" t="str">
        <x:v>NA</x:v>
      </x:c>
      <x:c r="R41" s="2" t="str">
        <x:v>0.5062499985797331</x:v>
      </x:c>
      <x:c r="S41" s="2" t="str">
        <x:v>46.64393600274507</x:v>
      </x:c>
    </x:row>
    <x:row r="42">
      <x:c r="A42" s="2" t="str">
        <x:v>DE-CMP-01</x:v>
      </x:c>
      <x:c r="B42" s="2" t="str">
        <x:v>CFG-C01</x:v>
      </x:c>
      <x:c r="C42" s="2" t="n">
        <x:v>46227.70238086805</x:v>
      </x:c>
      <x:c r="D42" s="2" t="str">
        <x:v>adaptive</x:v>
      </x:c>
      <x:c r="E42" s="2" t="str">
        <x:v>noise_only</x:v>
      </x:c>
      <x:c r="F42" s="2" t="str">
        <x:v>21</x:v>
      </x:c>
      <x:c r="G42" s="2" t="str">
        <x:v>3104224</x:v>
      </x:c>
      <x:c r="H42" s="2" t="str">
        <x:v>2048000.0</x:v>
      </x:c>
      <x:c r="I42" s="2" t="str">
        <x:v>8192</x:v>
      </x:c>
      <x:c r="J42" s="2" t="str">
        <x:v>250.0</x:v>
      </x:c>
      <x:c r="K42" s="2" t="str">
        <x:v>0</x:v>
      </x:c>
      <x:c r="L42" s="2" t="str">
        <x:v>3</x:v>
      </x:c>
      <x:c r="M42" s="2" t="str">
        <x:v>0</x:v>
      </x:c>
      <x:c r="N42" s="2" t="str">
        <x:v>3</x:v>
      </x:c>
      <x:c r="O42" s="2" t="str">
        <x:v>0</x:v>
      </x:c>
      <x:c r="P42" s="2" t="str">
        <x:v>true</x:v>
      </x:c>
      <x:c r="Q42" s="2" t="str">
        <x:v>NA</x:v>
      </x:c>
      <x:c r="R42" s="2" t="str">
        <x:v>0.49420799768995494</x:v>
      </x:c>
      <x:c r="S42" s="2" t="str">
        <x:v>46.3928525000696</x:v>
      </x:c>
    </x:row>
    <x:row r="43">
      <x:c r="A43" s="2" t="str">
        <x:v>DE-CMP-01</x:v>
      </x:c>
      <x:c r="B43" s="2" t="str">
        <x:v>CFG-C01</x:v>
      </x:c>
      <x:c r="C43" s="2" t="n">
        <x:v>46227.70238086805</x:v>
      </x:c>
      <x:c r="D43" s="2" t="str">
        <x:v>os_cfar</x:v>
      </x:c>
      <x:c r="E43" s="2" t="str">
        <x:v>noise_only</x:v>
      </x:c>
      <x:c r="F43" s="2" t="str">
        <x:v>21</x:v>
      </x:c>
      <x:c r="G43" s="2" t="str">
        <x:v>3104224</x:v>
      </x:c>
      <x:c r="H43" s="2" t="str">
        <x:v>2048000.0</x:v>
      </x:c>
      <x:c r="I43" s="2" t="str">
        <x:v>8192</x:v>
      </x:c>
      <x:c r="J43" s="2" t="str">
        <x:v>250.0</x:v>
      </x:c>
      <x:c r="K43" s="2" t="str">
        <x:v>0</x:v>
      </x:c>
      <x:c r="L43" s="2" t="str">
        <x:v>3</x:v>
      </x:c>
      <x:c r="M43" s="2" t="str">
        <x:v>0</x:v>
      </x:c>
      <x:c r="N43" s="2" t="str">
        <x:v>3</x:v>
      </x:c>
      <x:c r="O43" s="2" t="str">
        <x:v>0</x:v>
      </x:c>
      <x:c r="P43" s="2" t="str">
        <x:v>true</x:v>
      </x:c>
      <x:c r="Q43" s="2" t="str">
        <x:v>NA</x:v>
      </x:c>
      <x:c r="R43" s="2" t="str">
        <x:v>13.779333996353671</x:v>
      </x:c>
      <x:c r="S43" s="2" t="str">
        <x:v>48.21874599088048</x:v>
      </x:c>
    </x:row>
    <x:row r="44">
      <x:c r="A44" s="2" t="str">
        <x:v>DE-CMP-01</x:v>
      </x:c>
      <x:c r="B44" s="2" t="str">
        <x:v>CFG-C01</x:v>
      </x:c>
      <x:c r="C44" s="2" t="n">
        <x:v>46227.70238086805</x:v>
      </x:c>
      <x:c r="D44" s="2" t="str">
        <x:v>os_cfar</x:v>
      </x:c>
      <x:c r="E44" s="2" t="str">
        <x:v>noise_only</x:v>
      </x:c>
      <x:c r="F44" s="2" t="str">
        <x:v>22</x:v>
      </x:c>
      <x:c r="G44" s="2" t="str">
        <x:v>3104225</x:v>
      </x:c>
      <x:c r="H44" s="2" t="str">
        <x:v>2048000.0</x:v>
      </x:c>
      <x:c r="I44" s="2" t="str">
        <x:v>8192</x:v>
      </x:c>
      <x:c r="J44" s="2" t="str">
        <x:v>250.0</x:v>
      </x:c>
      <x:c r="K44" s="2" t="str">
        <x:v>0</x:v>
      </x:c>
      <x:c r="L44" s="2" t="str">
        <x:v>3</x:v>
      </x:c>
      <x:c r="M44" s="2" t="str">
        <x:v>0</x:v>
      </x:c>
      <x:c r="N44" s="2" t="str">
        <x:v>3</x:v>
      </x:c>
      <x:c r="O44" s="2" t="str">
        <x:v>0</x:v>
      </x:c>
      <x:c r="P44" s="2" t="str">
        <x:v>true</x:v>
      </x:c>
      <x:c r="Q44" s="2" t="str">
        <x:v>NA</x:v>
      </x:c>
      <x:c r="R44" s="2" t="str">
        <x:v>14.138541999273002</x:v>
      </x:c>
      <x:c r="S44" s="2" t="str">
        <x:v>48.12880853147231</x:v>
      </x:c>
    </x:row>
    <x:row r="45">
      <x:c r="A45" s="2" t="str">
        <x:v>DE-CMP-01</x:v>
      </x:c>
      <x:c r="B45" s="2" t="str">
        <x:v>CFG-C01</x:v>
      </x:c>
      <x:c r="C45" s="2" t="n">
        <x:v>46227.70238086805</x:v>
      </x:c>
      <x:c r="D45" s="2" t="str">
        <x:v>adaptive</x:v>
      </x:c>
      <x:c r="E45" s="2" t="str">
        <x:v>noise_only</x:v>
      </x:c>
      <x:c r="F45" s="2" t="str">
        <x:v>22</x:v>
      </x:c>
      <x:c r="G45" s="2" t="str">
        <x:v>3104225</x:v>
      </x:c>
      <x:c r="H45" s="2" t="str">
        <x:v>2048000.0</x:v>
      </x:c>
      <x:c r="I45" s="2" t="str">
        <x:v>8192</x:v>
      </x:c>
      <x:c r="J45" s="2" t="str">
        <x:v>250.0</x:v>
      </x:c>
      <x:c r="K45" s="2" t="str">
        <x:v>0</x:v>
      </x:c>
      <x:c r="L45" s="2" t="str">
        <x:v>3</x:v>
      </x:c>
      <x:c r="M45" s="2" t="str">
        <x:v>0</x:v>
      </x:c>
      <x:c r="N45" s="2" t="str">
        <x:v>3</x:v>
      </x:c>
      <x:c r="O45" s="2" t="str">
        <x:v>0</x:v>
      </x:c>
      <x:c r="P45" s="2" t="str">
        <x:v>true</x:v>
      </x:c>
      <x:c r="Q45" s="2" t="str">
        <x:v>NA</x:v>
      </x:c>
      <x:c r="R45" s="2" t="str">
        <x:v>0.4462079959921539</x:v>
      </x:c>
      <x:c r="S45" s="2" t="str">
        <x:v>46.288307281335676</x:v>
      </x:c>
    </x:row>
    <x:row r="46">
      <x:c r="A46" s="2" t="str">
        <x:v>DE-CMP-01</x:v>
      </x:c>
      <x:c r="B46" s="2" t="str">
        <x:v>CFG-C01</x:v>
      </x:c>
      <x:c r="C46" s="2" t="n">
        <x:v>46227.70238086805</x:v>
      </x:c>
      <x:c r="D46" s="2" t="str">
        <x:v>adaptive</x:v>
      </x:c>
      <x:c r="E46" s="2" t="str">
        <x:v>noise_only</x:v>
      </x:c>
      <x:c r="F46" s="2" t="str">
        <x:v>23</x:v>
      </x:c>
      <x:c r="G46" s="2" t="str">
        <x:v>3104226</x:v>
      </x:c>
      <x:c r="H46" s="2" t="str">
        <x:v>2048000.0</x:v>
      </x:c>
      <x:c r="I46" s="2" t="str">
        <x:v>8192</x:v>
      </x:c>
      <x:c r="J46" s="2" t="str">
        <x:v>250.0</x:v>
      </x:c>
      <x:c r="K46" s="2" t="str">
        <x:v>0</x:v>
      </x:c>
      <x:c r="L46" s="2" t="str">
        <x:v>3</x:v>
      </x:c>
      <x:c r="M46" s="2" t="str">
        <x:v>0</x:v>
      </x:c>
      <x:c r="N46" s="2" t="str">
        <x:v>3</x:v>
      </x:c>
      <x:c r="O46" s="2" t="str">
        <x:v>0</x:v>
      </x:c>
      <x:c r="P46" s="2" t="str">
        <x:v>true</x:v>
      </x:c>
      <x:c r="Q46" s="2" t="str">
        <x:v>NA</x:v>
      </x:c>
      <x:c r="R46" s="2" t="str">
        <x:v>0.4193749919068068</x:v>
      </x:c>
      <x:c r="S46" s="2" t="str">
        <x:v>46.49681700536213</x:v>
      </x:c>
    </x:row>
    <x:row r="47">
      <x:c r="A47" s="2" t="str">
        <x:v>DE-CMP-01</x:v>
      </x:c>
      <x:c r="B47" s="2" t="str">
        <x:v>CFG-C01</x:v>
      </x:c>
      <x:c r="C47" s="2" t="n">
        <x:v>46227.70238086805</x:v>
      </x:c>
      <x:c r="D47" s="2" t="str">
        <x:v>os_cfar</x:v>
      </x:c>
      <x:c r="E47" s="2" t="str">
        <x:v>noise_only</x:v>
      </x:c>
      <x:c r="F47" s="2" t="str">
        <x:v>23</x:v>
      </x:c>
      <x:c r="G47" s="2" t="str">
        <x:v>3104226</x:v>
      </x:c>
      <x:c r="H47" s="2" t="str">
        <x:v>2048000.0</x:v>
      </x:c>
      <x:c r="I47" s="2" t="str">
        <x:v>8192</x:v>
      </x:c>
      <x:c r="J47" s="2" t="str">
        <x:v>250.0</x:v>
      </x:c>
      <x:c r="K47" s="2" t="str">
        <x:v>0</x:v>
      </x:c>
      <x:c r="L47" s="2" t="str">
        <x:v>3</x:v>
      </x:c>
      <x:c r="M47" s="2" t="str">
        <x:v>0</x:v>
      </x:c>
      <x:c r="N47" s="2" t="str">
        <x:v>3</x:v>
      </x:c>
      <x:c r="O47" s="2" t="str">
        <x:v>0</x:v>
      </x:c>
      <x:c r="P47" s="2" t="str">
        <x:v>true</x:v>
      </x:c>
      <x:c r="Q47" s="2" t="str">
        <x:v>NA</x:v>
      </x:c>
      <x:c r="R47" s="2" t="str">
        <x:v>14.423625005292706</x:v>
      </x:c>
      <x:c r="S47" s="2" t="str">
        <x:v>48.23646190724344</x:v>
      </x:c>
    </x:row>
    <x:row r="48">
      <x:c r="A48" s="2" t="str">
        <x:v>DE-CMP-01</x:v>
      </x:c>
      <x:c r="B48" s="2" t="str">
        <x:v>CFG-C01</x:v>
      </x:c>
      <x:c r="C48" s="2" t="n">
        <x:v>46227.70238086805</x:v>
      </x:c>
      <x:c r="D48" s="2" t="str">
        <x:v>os_cfar</x:v>
      </x:c>
      <x:c r="E48" s="2" t="str">
        <x:v>noise_only</x:v>
      </x:c>
      <x:c r="F48" s="2" t="str">
        <x:v>24</x:v>
      </x:c>
      <x:c r="G48" s="2" t="str">
        <x:v>3104227</x:v>
      </x:c>
      <x:c r="H48" s="2" t="str">
        <x:v>2048000.0</x:v>
      </x:c>
      <x:c r="I48" s="2" t="str">
        <x:v>8192</x:v>
      </x:c>
      <x:c r="J48" s="2" t="str">
        <x:v>250.0</x:v>
      </x:c>
      <x:c r="K48" s="2" t="str">
        <x:v>0</x:v>
      </x:c>
      <x:c r="L48" s="2" t="str">
        <x:v>3</x:v>
      </x:c>
      <x:c r="M48" s="2" t="str">
        <x:v>0</x:v>
      </x:c>
      <x:c r="N48" s="2" t="str">
        <x:v>3</x:v>
      </x:c>
      <x:c r="O48" s="2" t="str">
        <x:v>0</x:v>
      </x:c>
      <x:c r="P48" s="2" t="str">
        <x:v>true</x:v>
      </x:c>
      <x:c r="Q48" s="2" t="str">
        <x:v>NA</x:v>
      </x:c>
      <x:c r="R48" s="2" t="str">
        <x:v>14.404667002963834</x:v>
      </x:c>
      <x:c r="S48" s="2" t="str">
        <x:v>48.29492086738975</x:v>
      </x:c>
    </x:row>
    <x:row r="49">
      <x:c r="A49" s="2" t="str">
        <x:v>DE-CMP-01</x:v>
      </x:c>
      <x:c r="B49" s="2" t="str">
        <x:v>CFG-C01</x:v>
      </x:c>
      <x:c r="C49" s="2" t="n">
        <x:v>46227.70238086805</x:v>
      </x:c>
      <x:c r="D49" s="2" t="str">
        <x:v>adaptive</x:v>
      </x:c>
      <x:c r="E49" s="2" t="str">
        <x:v>noise_only</x:v>
      </x:c>
      <x:c r="F49" s="2" t="str">
        <x:v>24</x:v>
      </x:c>
      <x:c r="G49" s="2" t="str">
        <x:v>3104227</x:v>
      </x:c>
      <x:c r="H49" s="2" t="str">
        <x:v>2048000.0</x:v>
      </x:c>
      <x:c r="I49" s="2" t="str">
        <x:v>8192</x:v>
      </x:c>
      <x:c r="J49" s="2" t="str">
        <x:v>250.0</x:v>
      </x:c>
      <x:c r="K49" s="2" t="str">
        <x:v>0</x:v>
      </x:c>
      <x:c r="L49" s="2" t="str">
        <x:v>3</x:v>
      </x:c>
      <x:c r="M49" s="2" t="str">
        <x:v>0</x:v>
      </x:c>
      <x:c r="N49" s="2" t="str">
        <x:v>3</x:v>
      </x:c>
      <x:c r="O49" s="2" t="str">
        <x:v>0</x:v>
      </x:c>
      <x:c r="P49" s="2" t="str">
        <x:v>true</x:v>
      </x:c>
      <x:c r="Q49" s="2" t="str">
        <x:v>NA</x:v>
      </x:c>
      <x:c r="R49" s="2" t="str">
        <x:v>0.47899999481160194</x:v>
      </x:c>
      <x:c r="S49" s="2" t="str">
        <x:v>46.502172078322445</x:v>
      </x:c>
    </x:row>
    <x:row r="50">
      <x:c r="A50" s="2" t="str">
        <x:v>DE-CMP-01</x:v>
      </x:c>
      <x:c r="B50" s="2" t="str">
        <x:v>CFG-C01</x:v>
      </x:c>
      <x:c r="C50" s="2" t="n">
        <x:v>46227.70238086805</x:v>
      </x:c>
      <x:c r="D50" s="2" t="str">
        <x:v>adaptive</x:v>
      </x:c>
      <x:c r="E50" s="2" t="str">
        <x:v>noise_only</x:v>
      </x:c>
      <x:c r="F50" s="2" t="str">
        <x:v>25</x:v>
      </x:c>
      <x:c r="G50" s="2" t="str">
        <x:v>3104228</x:v>
      </x:c>
      <x:c r="H50" s="2" t="str">
        <x:v>2048000.0</x:v>
      </x:c>
      <x:c r="I50" s="2" t="str">
        <x:v>8192</x:v>
      </x:c>
      <x:c r="J50" s="2" t="str">
        <x:v>250.0</x:v>
      </x:c>
      <x:c r="K50" s="2" t="str">
        <x:v>0</x:v>
      </x:c>
      <x:c r="L50" s="2" t="str">
        <x:v>3</x:v>
      </x:c>
      <x:c r="M50" s="2" t="str">
        <x:v>0</x:v>
      </x:c>
      <x:c r="N50" s="2" t="str">
        <x:v>3</x:v>
      </x:c>
      <x:c r="O50" s="2" t="str">
        <x:v>0</x:v>
      </x:c>
      <x:c r="P50" s="2" t="str">
        <x:v>true</x:v>
      </x:c>
      <x:c r="Q50" s="2" t="str">
        <x:v>NA</x:v>
      </x:c>
      <x:c r="R50" s="2" t="str">
        <x:v>0.436166999861598</x:v>
      </x:c>
      <x:c r="S50" s="2" t="str">
        <x:v>46.44756095067166</x:v>
      </x:c>
    </x:row>
    <x:row r="51">
      <x:c r="A51" s="2" t="str">
        <x:v>DE-CMP-01</x:v>
      </x:c>
      <x:c r="B51" s="2" t="str">
        <x:v>CFG-C01</x:v>
      </x:c>
      <x:c r="C51" s="2" t="n">
        <x:v>46227.70238086805</x:v>
      </x:c>
      <x:c r="D51" s="2" t="str">
        <x:v>os_cfar</x:v>
      </x:c>
      <x:c r="E51" s="2" t="str">
        <x:v>noise_only</x:v>
      </x:c>
      <x:c r="F51" s="2" t="str">
        <x:v>25</x:v>
      </x:c>
      <x:c r="G51" s="2" t="str">
        <x:v>3104228</x:v>
      </x:c>
      <x:c r="H51" s="2" t="str">
        <x:v>2048000.0</x:v>
      </x:c>
      <x:c r="I51" s="2" t="str">
        <x:v>8192</x:v>
      </x:c>
      <x:c r="J51" s="2" t="str">
        <x:v>250.0</x:v>
      </x:c>
      <x:c r="K51" s="2" t="str">
        <x:v>0</x:v>
      </x:c>
      <x:c r="L51" s="2" t="str">
        <x:v>3</x:v>
      </x:c>
      <x:c r="M51" s="2" t="str">
        <x:v>0</x:v>
      </x:c>
      <x:c r="N51" s="2" t="str">
        <x:v>3</x:v>
      </x:c>
      <x:c r="O51" s="2" t="str">
        <x:v>0</x:v>
      </x:c>
      <x:c r="P51" s="2" t="str">
        <x:v>true</x:v>
      </x:c>
      <x:c r="Q51" s="2" t="str">
        <x:v>NA</x:v>
      </x:c>
      <x:c r="R51" s="2" t="str">
        <x:v>14.151666007819586</x:v>
      </x:c>
      <x:c r="S51" s="2" t="str">
        <x:v>48.317999814130786</x:v>
      </x:c>
    </x:row>
    <x:row r="52">
      <x:c r="A52" s="2" t="str">
        <x:v>DE-CMP-01</x:v>
      </x:c>
      <x:c r="B52" s="2" t="str">
        <x:v>CFG-C01</x:v>
      </x:c>
      <x:c r="C52" s="2" t="n">
        <x:v>46227.70238086805</x:v>
      </x:c>
      <x:c r="D52" s="2" t="str">
        <x:v>os_cfar</x:v>
      </x:c>
      <x:c r="E52" s="2" t="str">
        <x:v>noise_only</x:v>
      </x:c>
      <x:c r="F52" s="2" t="str">
        <x:v>26</x:v>
      </x:c>
      <x:c r="G52" s="2" t="str">
        <x:v>3104229</x:v>
      </x:c>
      <x:c r="H52" s="2" t="str">
        <x:v>2048000.0</x:v>
      </x:c>
      <x:c r="I52" s="2" t="str">
        <x:v>8192</x:v>
      </x:c>
      <x:c r="J52" s="2" t="str">
        <x:v>250.0</x:v>
      </x:c>
      <x:c r="K52" s="2" t="str">
        <x:v>0</x:v>
      </x:c>
      <x:c r="L52" s="2" t="str">
        <x:v>3</x:v>
      </x:c>
      <x:c r="M52" s="2" t="str">
        <x:v>0</x:v>
      </x:c>
      <x:c r="N52" s="2" t="str">
        <x:v>3</x:v>
      </x:c>
      <x:c r="O52" s="2" t="str">
        <x:v>0</x:v>
      </x:c>
      <x:c r="P52" s="2" t="str">
        <x:v>true</x:v>
      </x:c>
      <x:c r="Q52" s="2" t="str">
        <x:v>NA</x:v>
      </x:c>
      <x:c r="R52" s="2" t="str">
        <x:v>14.203957995050587</x:v>
      </x:c>
      <x:c r="S52" s="2" t="str">
        <x:v>48.095751589028445</x:v>
      </x:c>
    </x:row>
    <x:row r="53">
      <x:c r="A53" s="2" t="str">
        <x:v>DE-CMP-01</x:v>
      </x:c>
      <x:c r="B53" s="2" t="str">
        <x:v>CFG-C01</x:v>
      </x:c>
      <x:c r="C53" s="2" t="n">
        <x:v>46227.70238086805</x:v>
      </x:c>
      <x:c r="D53" s="2" t="str">
        <x:v>adaptive</x:v>
      </x:c>
      <x:c r="E53" s="2" t="str">
        <x:v>noise_only</x:v>
      </x:c>
      <x:c r="F53" s="2" t="str">
        <x:v>26</x:v>
      </x:c>
      <x:c r="G53" s="2" t="str">
        <x:v>3104229</x:v>
      </x:c>
      <x:c r="H53" s="2" t="str">
        <x:v>2048000.0</x:v>
      </x:c>
      <x:c r="I53" s="2" t="str">
        <x:v>8192</x:v>
      </x:c>
      <x:c r="J53" s="2" t="str">
        <x:v>250.0</x:v>
      </x:c>
      <x:c r="K53" s="2" t="str">
        <x:v>0</x:v>
      </x:c>
      <x:c r="L53" s="2" t="str">
        <x:v>3</x:v>
      </x:c>
      <x:c r="M53" s="2" t="str">
        <x:v>0</x:v>
      </x:c>
      <x:c r="N53" s="2" t="str">
        <x:v>3</x:v>
      </x:c>
      <x:c r="O53" s="2" t="str">
        <x:v>0</x:v>
      </x:c>
      <x:c r="P53" s="2" t="str">
        <x:v>true</x:v>
      </x:c>
      <x:c r="Q53" s="2" t="str">
        <x:v>NA</x:v>
      </x:c>
      <x:c r="R53" s="2" t="str">
        <x:v>0.4538750072242692</x:v>
      </x:c>
      <x:c r="S53" s="2" t="str">
        <x:v>46.477916024236436</x:v>
      </x:c>
    </x:row>
    <x:row r="54">
      <x:c r="A54" s="2" t="str">
        <x:v>DE-CMP-01</x:v>
      </x:c>
      <x:c r="B54" s="2" t="str">
        <x:v>CFG-C01</x:v>
      </x:c>
      <x:c r="C54" s="2" t="n">
        <x:v>46227.70238086805</x:v>
      </x:c>
      <x:c r="D54" s="2" t="str">
        <x:v>adaptive</x:v>
      </x:c>
      <x:c r="E54" s="2" t="str">
        <x:v>noise_only</x:v>
      </x:c>
      <x:c r="F54" s="2" t="str">
        <x:v>27</x:v>
      </x:c>
      <x:c r="G54" s="2" t="str">
        <x:v>3104230</x:v>
      </x:c>
      <x:c r="H54" s="2" t="str">
        <x:v>2048000.0</x:v>
      </x:c>
      <x:c r="I54" s="2" t="str">
        <x:v>8192</x:v>
      </x:c>
      <x:c r="J54" s="2" t="str">
        <x:v>250.0</x:v>
      </x:c>
      <x:c r="K54" s="2" t="str">
        <x:v>0</x:v>
      </x:c>
      <x:c r="L54" s="2" t="str">
        <x:v>3</x:v>
      </x:c>
      <x:c r="M54" s="2" t="str">
        <x:v>0</x:v>
      </x:c>
      <x:c r="N54" s="2" t="str">
        <x:v>3</x:v>
      </x:c>
      <x:c r="O54" s="2" t="str">
        <x:v>0</x:v>
      </x:c>
      <x:c r="P54" s="2" t="str">
        <x:v>true</x:v>
      </x:c>
      <x:c r="Q54" s="2" t="str">
        <x:v>NA</x:v>
      </x:c>
      <x:c r="R54" s="2" t="str">
        <x:v>0.43500000901985914</x:v>
      </x:c>
      <x:c r="S54" s="2" t="str">
        <x:v>46.378155264007525</x:v>
      </x:c>
    </x:row>
    <x:row r="55">
      <x:c r="A55" s="2" t="str">
        <x:v>DE-CMP-01</x:v>
      </x:c>
      <x:c r="B55" s="2" t="str">
        <x:v>CFG-C01</x:v>
      </x:c>
      <x:c r="C55" s="2" t="n">
        <x:v>46227.70238086805</x:v>
      </x:c>
      <x:c r="D55" s="2" t="str">
        <x:v>os_cfar</x:v>
      </x:c>
      <x:c r="E55" s="2" t="str">
        <x:v>noise_only</x:v>
      </x:c>
      <x:c r="F55" s="2" t="str">
        <x:v>27</x:v>
      </x:c>
      <x:c r="G55" s="2" t="str">
        <x:v>3104230</x:v>
      </x:c>
      <x:c r="H55" s="2" t="str">
        <x:v>2048000.0</x:v>
      </x:c>
      <x:c r="I55" s="2" t="str">
        <x:v>8192</x:v>
      </x:c>
      <x:c r="J55" s="2" t="str">
        <x:v>250.0</x:v>
      </x:c>
      <x:c r="K55" s="2" t="str">
        <x:v>0</x:v>
      </x:c>
      <x:c r="L55" s="2" t="str">
        <x:v>3</x:v>
      </x:c>
      <x:c r="M55" s="2" t="str">
        <x:v>0</x:v>
      </x:c>
      <x:c r="N55" s="2" t="str">
        <x:v>3</x:v>
      </x:c>
      <x:c r="O55" s="2" t="str">
        <x:v>0</x:v>
      </x:c>
      <x:c r="P55" s="2" t="str">
        <x:v>true</x:v>
      </x:c>
      <x:c r="Q55" s="2" t="str">
        <x:v>NA</x:v>
      </x:c>
      <x:c r="R55" s="2" t="str">
        <x:v>13.983500000904314</x:v>
      </x:c>
      <x:c r="S55" s="2" t="str">
        <x:v>48.18427401307762</x:v>
      </x:c>
    </x:row>
    <x:row r="56">
      <x:c r="A56" s="2" t="str">
        <x:v>DE-CMP-01</x:v>
      </x:c>
      <x:c r="B56" s="2" t="str">
        <x:v>CFG-C01</x:v>
      </x:c>
      <x:c r="C56" s="2" t="n">
        <x:v>46227.70238086805</x:v>
      </x:c>
      <x:c r="D56" s="2" t="str">
        <x:v>os_cfar</x:v>
      </x:c>
      <x:c r="E56" s="2" t="str">
        <x:v>noise_only</x:v>
      </x:c>
      <x:c r="F56" s="2" t="str">
        <x:v>28</x:v>
      </x:c>
      <x:c r="G56" s="2" t="str">
        <x:v>3104231</x:v>
      </x:c>
      <x:c r="H56" s="2" t="str">
        <x:v>2048000.0</x:v>
      </x:c>
      <x:c r="I56" s="2" t="str">
        <x:v>8192</x:v>
      </x:c>
      <x:c r="J56" s="2" t="str">
        <x:v>250.0</x:v>
      </x:c>
      <x:c r="K56" s="2" t="str">
        <x:v>0</x:v>
      </x:c>
      <x:c r="L56" s="2" t="str">
        <x:v>3</x:v>
      </x:c>
      <x:c r="M56" s="2" t="str">
        <x:v>0</x:v>
      </x:c>
      <x:c r="N56" s="2" t="str">
        <x:v>3</x:v>
      </x:c>
      <x:c r="O56" s="2" t="str">
        <x:v>0</x:v>
      </x:c>
      <x:c r="P56" s="2" t="str">
        <x:v>true</x:v>
      </x:c>
      <x:c r="Q56" s="2" t="str">
        <x:v>NA</x:v>
      </x:c>
      <x:c r="R56" s="2" t="str">
        <x:v>14.40045800700318</x:v>
      </x:c>
      <x:c r="S56" s="2" t="str">
        <x:v>48.1737309054347</x:v>
      </x:c>
    </x:row>
    <x:row r="57">
      <x:c r="A57" s="2" t="str">
        <x:v>DE-CMP-01</x:v>
      </x:c>
      <x:c r="B57" s="2" t="str">
        <x:v>CFG-C01</x:v>
      </x:c>
      <x:c r="C57" s="2" t="n">
        <x:v>46227.70238086805</x:v>
      </x:c>
      <x:c r="D57" s="2" t="str">
        <x:v>adaptive</x:v>
      </x:c>
      <x:c r="E57" s="2" t="str">
        <x:v>noise_only</x:v>
      </x:c>
      <x:c r="F57" s="2" t="str">
        <x:v>28</x:v>
      </x:c>
      <x:c r="G57" s="2" t="str">
        <x:v>3104231</x:v>
      </x:c>
      <x:c r="H57" s="2" t="str">
        <x:v>2048000.0</x:v>
      </x:c>
      <x:c r="I57" s="2" t="str">
        <x:v>8192</x:v>
      </x:c>
      <x:c r="J57" s="2" t="str">
        <x:v>250.0</x:v>
      </x:c>
      <x:c r="K57" s="2" t="str">
        <x:v>0</x:v>
      </x:c>
      <x:c r="L57" s="2" t="str">
        <x:v>3</x:v>
      </x:c>
      <x:c r="M57" s="2" t="str">
        <x:v>0</x:v>
      </x:c>
      <x:c r="N57" s="2" t="str">
        <x:v>3</x:v>
      </x:c>
      <x:c r="O57" s="2" t="str">
        <x:v>0</x:v>
      </x:c>
      <x:c r="P57" s="2" t="str">
        <x:v>true</x:v>
      </x:c>
      <x:c r="Q57" s="2" t="str">
        <x:v>NA</x:v>
      </x:c>
      <x:c r="R57" s="2" t="str">
        <x:v>0.4541249945759773</x:v>
      </x:c>
      <x:c r="S57" s="2" t="str">
        <x:v>46.36036823235862</x:v>
      </x:c>
    </x:row>
    <x:row r="58">
      <x:c r="A58" s="2" t="str">
        <x:v>DE-CMP-01</x:v>
      </x:c>
      <x:c r="B58" s="2" t="str">
        <x:v>CFG-C01</x:v>
      </x:c>
      <x:c r="C58" s="2" t="n">
        <x:v>46227.70238086805</x:v>
      </x:c>
      <x:c r="D58" s="2" t="str">
        <x:v>adaptive</x:v>
      </x:c>
      <x:c r="E58" s="2" t="str">
        <x:v>noise_only</x:v>
      </x:c>
      <x:c r="F58" s="2" t="str">
        <x:v>29</x:v>
      </x:c>
      <x:c r="G58" s="2" t="str">
        <x:v>3104232</x:v>
      </x:c>
      <x:c r="H58" s="2" t="str">
        <x:v>2048000.0</x:v>
      </x:c>
      <x:c r="I58" s="2" t="str">
        <x:v>8192</x:v>
      </x:c>
      <x:c r="J58" s="2" t="str">
        <x:v>250.0</x:v>
      </x:c>
      <x:c r="K58" s="2" t="str">
        <x:v>0</x:v>
      </x:c>
      <x:c r="L58" s="2" t="str">
        <x:v>3</x:v>
      </x:c>
      <x:c r="M58" s="2" t="str">
        <x:v>0</x:v>
      </x:c>
      <x:c r="N58" s="2" t="str">
        <x:v>3</x:v>
      </x:c>
      <x:c r="O58" s="2" t="str">
        <x:v>0</x:v>
      </x:c>
      <x:c r="P58" s="2" t="str">
        <x:v>true</x:v>
      </x:c>
      <x:c r="Q58" s="2" t="str">
        <x:v>NA</x:v>
      </x:c>
      <x:c r="R58" s="2" t="str">
        <x:v>0.42699999175965786</x:v>
      </x:c>
      <x:c r="S58" s="2" t="str">
        <x:v>46.445494577955934</x:v>
      </x:c>
    </x:row>
    <x:row r="59">
      <x:c r="A59" s="2" t="str">
        <x:v>DE-CMP-01</x:v>
      </x:c>
      <x:c r="B59" s="2" t="str">
        <x:v>CFG-C01</x:v>
      </x:c>
      <x:c r="C59" s="2" t="n">
        <x:v>46227.70238086805</x:v>
      </x:c>
      <x:c r="D59" s="2" t="str">
        <x:v>os_cfar</x:v>
      </x:c>
      <x:c r="E59" s="2" t="str">
        <x:v>noise_only</x:v>
      </x:c>
      <x:c r="F59" s="2" t="str">
        <x:v>29</x:v>
      </x:c>
      <x:c r="G59" s="2" t="str">
        <x:v>3104232</x:v>
      </x:c>
      <x:c r="H59" s="2" t="str">
        <x:v>2048000.0</x:v>
      </x:c>
      <x:c r="I59" s="2" t="str">
        <x:v>8192</x:v>
      </x:c>
      <x:c r="J59" s="2" t="str">
        <x:v>250.0</x:v>
      </x:c>
      <x:c r="K59" s="2" t="str">
        <x:v>0</x:v>
      </x:c>
      <x:c r="L59" s="2" t="str">
        <x:v>3</x:v>
      </x:c>
      <x:c r="M59" s="2" t="str">
        <x:v>0</x:v>
      </x:c>
      <x:c r="N59" s="2" t="str">
        <x:v>3</x:v>
      </x:c>
      <x:c r="O59" s="2" t="str">
        <x:v>0</x:v>
      </x:c>
      <x:c r="P59" s="2" t="str">
        <x:v>true</x:v>
      </x:c>
      <x:c r="Q59" s="2" t="str">
        <x:v>NA</x:v>
      </x:c>
      <x:c r="R59" s="2" t="str">
        <x:v>14.275749999796972</x:v>
      </x:c>
      <x:c r="S59" s="2" t="str">
        <x:v>48.20510105987842</x:v>
      </x:c>
    </x:row>
    <x:row r="60">
      <x:c r="A60" s="2" t="str">
        <x:v>DE-CMP-01</x:v>
      </x:c>
      <x:c r="B60" s="2" t="str">
        <x:v>CFG-C01</x:v>
      </x:c>
      <x:c r="C60" s="2" t="n">
        <x:v>46227.70238086805</x:v>
      </x:c>
      <x:c r="D60" s="2" t="str">
        <x:v>os_cfar</x:v>
      </x:c>
      <x:c r="E60" s="2" t="str">
        <x:v>noise_only</x:v>
      </x:c>
      <x:c r="F60" s="2" t="str">
        <x:v>30</x:v>
      </x:c>
      <x:c r="G60" s="2" t="str">
        <x:v>3104233</x:v>
      </x:c>
      <x:c r="H60" s="2" t="str">
        <x:v>2048000.0</x:v>
      </x:c>
      <x:c r="I60" s="2" t="str">
        <x:v>8192</x:v>
      </x:c>
      <x:c r="J60" s="2" t="str">
        <x:v>250.0</x:v>
      </x:c>
      <x:c r="K60" s="2" t="str">
        <x:v>0</x:v>
      </x:c>
      <x:c r="L60" s="2" t="str">
        <x:v>3</x:v>
      </x:c>
      <x:c r="M60" s="2" t="str">
        <x:v>0</x:v>
      </x:c>
      <x:c r="N60" s="2" t="str">
        <x:v>3</x:v>
      </x:c>
      <x:c r="O60" s="2" t="str">
        <x:v>0</x:v>
      </x:c>
      <x:c r="P60" s="2" t="str">
        <x:v>true</x:v>
      </x:c>
      <x:c r="Q60" s="2" t="str">
        <x:v>NA</x:v>
      </x:c>
      <x:c r="R60" s="2" t="str">
        <x:v>14.199083001585677</x:v>
      </x:c>
      <x:c r="S60" s="2" t="str">
        <x:v>48.29872080925347</x:v>
      </x:c>
    </x:row>
    <x:row r="61">
      <x:c r="A61" s="2" t="str">
        <x:v>DE-CMP-01</x:v>
      </x:c>
      <x:c r="B61" s="2" t="str">
        <x:v>CFG-C01</x:v>
      </x:c>
      <x:c r="C61" s="2" t="n">
        <x:v>46227.70238086805</x:v>
      </x:c>
      <x:c r="D61" s="2" t="str">
        <x:v>adaptive</x:v>
      </x:c>
      <x:c r="E61" s="2" t="str">
        <x:v>noise_only</x:v>
      </x:c>
      <x:c r="F61" s="2" t="str">
        <x:v>30</x:v>
      </x:c>
      <x:c r="G61" s="2" t="str">
        <x:v>3104233</x:v>
      </x:c>
      <x:c r="H61" s="2" t="str">
        <x:v>2048000.0</x:v>
      </x:c>
      <x:c r="I61" s="2" t="str">
        <x:v>8192</x:v>
      </x:c>
      <x:c r="J61" s="2" t="str">
        <x:v>250.0</x:v>
      </x:c>
      <x:c r="K61" s="2" t="str">
        <x:v>0</x:v>
      </x:c>
      <x:c r="L61" s="2" t="str">
        <x:v>3</x:v>
      </x:c>
      <x:c r="M61" s="2" t="str">
        <x:v>0</x:v>
      </x:c>
      <x:c r="N61" s="2" t="str">
        <x:v>3</x:v>
      </x:c>
      <x:c r="O61" s="2" t="str">
        <x:v>0</x:v>
      </x:c>
      <x:c r="P61" s="2" t="str">
        <x:v>true</x:v>
      </x:c>
      <x:c r="Q61" s="2" t="str">
        <x:v>NA</x:v>
      </x:c>
      <x:c r="R61" s="2" t="str">
        <x:v>0.4726659972220659</x:v>
      </x:c>
      <x:c r="S61" s="2" t="str">
        <x:v>46.454451015476444</x:v>
      </x:c>
    </x:row>
    <x:row r="62">
      <x:c r="A62" s="2" t="str">
        <x:v>DE-CMP-01</x:v>
      </x:c>
      <x:c r="B62" s="2" t="str">
        <x:v>CFG-C01</x:v>
      </x:c>
      <x:c r="C62" s="2" t="n">
        <x:v>46227.70238086805</x:v>
      </x:c>
      <x:c r="D62" s="2" t="str">
        <x:v>adaptive</x:v>
      </x:c>
      <x:c r="E62" s="2" t="str">
        <x:v>noise_only</x:v>
      </x:c>
      <x:c r="F62" s="2" t="str">
        <x:v>31</x:v>
      </x:c>
      <x:c r="G62" s="2" t="str">
        <x:v>3104234</x:v>
      </x:c>
      <x:c r="H62" s="2" t="str">
        <x:v>2048000.0</x:v>
      </x:c>
      <x:c r="I62" s="2" t="str">
        <x:v>8192</x:v>
      </x:c>
      <x:c r="J62" s="2" t="str">
        <x:v>250.0</x:v>
      </x:c>
      <x:c r="K62" s="2" t="str">
        <x:v>0</x:v>
      </x:c>
      <x:c r="L62" s="2" t="str">
        <x:v>3</x:v>
      </x:c>
      <x:c r="M62" s="2" t="str">
        <x:v>0</x:v>
      </x:c>
      <x:c r="N62" s="2" t="str">
        <x:v>3</x:v>
      </x:c>
      <x:c r="O62" s="2" t="str">
        <x:v>0</x:v>
      </x:c>
      <x:c r="P62" s="2" t="str">
        <x:v>true</x:v>
      </x:c>
      <x:c r="Q62" s="2" t="str">
        <x:v>NA</x:v>
      </x:c>
      <x:c r="R62" s="2" t="str">
        <x:v>0.4645420121960342</x:v>
      </x:c>
      <x:c r="S62" s="2" t="str">
        <x:v>46.5746077564993</x:v>
      </x:c>
    </x:row>
    <x:row r="63">
      <x:c r="A63" s="2" t="str">
        <x:v>DE-CMP-01</x:v>
      </x:c>
      <x:c r="B63" s="2" t="str">
        <x:v>CFG-C01</x:v>
      </x:c>
      <x:c r="C63" s="2" t="n">
        <x:v>46227.70238086805</x:v>
      </x:c>
      <x:c r="D63" s="2" t="str">
        <x:v>os_cfar</x:v>
      </x:c>
      <x:c r="E63" s="2" t="str">
        <x:v>noise_only</x:v>
      </x:c>
      <x:c r="F63" s="2" t="str">
        <x:v>31</x:v>
      </x:c>
      <x:c r="G63" s="2" t="str">
        <x:v>3104234</x:v>
      </x:c>
      <x:c r="H63" s="2" t="str">
        <x:v>2048000.0</x:v>
      </x:c>
      <x:c r="I63" s="2" t="str">
        <x:v>8192</x:v>
      </x:c>
      <x:c r="J63" s="2" t="str">
        <x:v>250.0</x:v>
      </x:c>
      <x:c r="K63" s="2" t="str">
        <x:v>0</x:v>
      </x:c>
      <x:c r="L63" s="2" t="str">
        <x:v>3</x:v>
      </x:c>
      <x:c r="M63" s="2" t="str">
        <x:v>0</x:v>
      </x:c>
      <x:c r="N63" s="2" t="str">
        <x:v>3</x:v>
      </x:c>
      <x:c r="O63" s="2" t="str">
        <x:v>0</x:v>
      </x:c>
      <x:c r="P63" s="2" t="str">
        <x:v>true</x:v>
      </x:c>
      <x:c r="Q63" s="2" t="str">
        <x:v>NA</x:v>
      </x:c>
      <x:c r="R63" s="2" t="str">
        <x:v>14.329375000670552</x:v>
      </x:c>
      <x:c r="S63" s="2" t="str">
        <x:v>48.17944549262654</x:v>
      </x:c>
    </x:row>
    <x:row r="64">
      <x:c r="A64" s="2" t="str">
        <x:v>DE-CMP-01</x:v>
      </x:c>
      <x:c r="B64" s="2" t="str">
        <x:v>CFG-C01</x:v>
      </x:c>
      <x:c r="C64" s="2" t="n">
        <x:v>46227.70238086805</x:v>
      </x:c>
      <x:c r="D64" s="2" t="str">
        <x:v>os_cfar</x:v>
      </x:c>
      <x:c r="E64" s="2" t="str">
        <x:v>noise_only</x:v>
      </x:c>
      <x:c r="F64" s="2" t="str">
        <x:v>32</x:v>
      </x:c>
      <x:c r="G64" s="2" t="str">
        <x:v>3104235</x:v>
      </x:c>
      <x:c r="H64" s="2" t="str">
        <x:v>2048000.0</x:v>
      </x:c>
      <x:c r="I64" s="2" t="str">
        <x:v>8192</x:v>
      </x:c>
      <x:c r="J64" s="2" t="str">
        <x:v>250.0</x:v>
      </x:c>
      <x:c r="K64" s="2" t="str">
        <x:v>0</x:v>
      </x:c>
      <x:c r="L64" s="2" t="str">
        <x:v>3</x:v>
      </x:c>
      <x:c r="M64" s="2" t="str">
        <x:v>0</x:v>
      </x:c>
      <x:c r="N64" s="2" t="str">
        <x:v>3</x:v>
      </x:c>
      <x:c r="O64" s="2" t="str">
        <x:v>0</x:v>
      </x:c>
      <x:c r="P64" s="2" t="str">
        <x:v>true</x:v>
      </x:c>
      <x:c r="Q64" s="2" t="str">
        <x:v>NA</x:v>
      </x:c>
      <x:c r="R64" s="2" t="str">
        <x:v>14.202249993104488</x:v>
      </x:c>
      <x:c r="S64" s="2" t="str">
        <x:v>48.17150512773051</x:v>
      </x:c>
    </x:row>
    <x:row r="65">
      <x:c r="A65" s="2" t="str">
        <x:v>DE-CMP-01</x:v>
      </x:c>
      <x:c r="B65" s="2" t="str">
        <x:v>CFG-C01</x:v>
      </x:c>
      <x:c r="C65" s="2" t="n">
        <x:v>46227.70238086805</x:v>
      </x:c>
      <x:c r="D65" s="2" t="str">
        <x:v>adaptive</x:v>
      </x:c>
      <x:c r="E65" s="2" t="str">
        <x:v>noise_only</x:v>
      </x:c>
      <x:c r="F65" s="2" t="str">
        <x:v>32</x:v>
      </x:c>
      <x:c r="G65" s="2" t="str">
        <x:v>3104235</x:v>
      </x:c>
      <x:c r="H65" s="2" t="str">
        <x:v>2048000.0</x:v>
      </x:c>
      <x:c r="I65" s="2" t="str">
        <x:v>8192</x:v>
      </x:c>
      <x:c r="J65" s="2" t="str">
        <x:v>250.0</x:v>
      </x:c>
      <x:c r="K65" s="2" t="str">
        <x:v>0</x:v>
      </x:c>
      <x:c r="L65" s="2" t="str">
        <x:v>3</x:v>
      </x:c>
      <x:c r="M65" s="2" t="str">
        <x:v>0</x:v>
      </x:c>
      <x:c r="N65" s="2" t="str">
        <x:v>3</x:v>
      </x:c>
      <x:c r="O65" s="2" t="str">
        <x:v>0</x:v>
      </x:c>
      <x:c r="P65" s="2" t="str">
        <x:v>true</x:v>
      </x:c>
      <x:c r="Q65" s="2" t="str">
        <x:v>NA</x:v>
      </x:c>
      <x:c r="R65" s="2" t="str">
        <x:v>0.46795798698440194</x:v>
      </x:c>
      <x:c r="S65" s="2" t="str">
        <x:v>46.501298877229424</x:v>
      </x:c>
    </x:row>
    <x:row r="66">
      <x:c r="A66" s="2" t="str">
        <x:v>DE-CMP-01</x:v>
      </x:c>
      <x:c r="B66" s="2" t="str">
        <x:v>CFG-C01</x:v>
      </x:c>
      <x:c r="C66" s="2" t="n">
        <x:v>46227.70238086805</x:v>
      </x:c>
      <x:c r="D66" s="2" t="str">
        <x:v>adaptive</x:v>
      </x:c>
      <x:c r="E66" s="2" t="str">
        <x:v>noise_only</x:v>
      </x:c>
      <x:c r="F66" s="2" t="str">
        <x:v>33</x:v>
      </x:c>
      <x:c r="G66" s="2" t="str">
        <x:v>3104236</x:v>
      </x:c>
      <x:c r="H66" s="2" t="str">
        <x:v>2048000.0</x:v>
      </x:c>
      <x:c r="I66" s="2" t="str">
        <x:v>8192</x:v>
      </x:c>
      <x:c r="J66" s="2" t="str">
        <x:v>250.0</x:v>
      </x:c>
      <x:c r="K66" s="2" t="str">
        <x:v>0</x:v>
      </x:c>
      <x:c r="L66" s="2" t="str">
        <x:v>3</x:v>
      </x:c>
      <x:c r="M66" s="2" t="str">
        <x:v>0</x:v>
      </x:c>
      <x:c r="N66" s="2" t="str">
        <x:v>3</x:v>
      </x:c>
      <x:c r="O66" s="2" t="str">
        <x:v>0</x:v>
      </x:c>
      <x:c r="P66" s="2" t="str">
        <x:v>true</x:v>
      </x:c>
      <x:c r="Q66" s="2" t="str">
        <x:v>NA</x:v>
      </x:c>
      <x:c r="R66" s="2" t="str">
        <x:v>0.4470420099096373</x:v>
      </x:c>
      <x:c r="S66" s="2" t="str">
        <x:v>46.37297061327337</x:v>
      </x:c>
    </x:row>
    <x:row r="67">
      <x:c r="A67" s="2" t="str">
        <x:v>DE-CMP-01</x:v>
      </x:c>
      <x:c r="B67" s="2" t="str">
        <x:v>CFG-C01</x:v>
      </x:c>
      <x:c r="C67" s="2" t="n">
        <x:v>46227.70238086805</x:v>
      </x:c>
      <x:c r="D67" s="2" t="str">
        <x:v>os_cfar</x:v>
      </x:c>
      <x:c r="E67" s="2" t="str">
        <x:v>noise_only</x:v>
      </x:c>
      <x:c r="F67" s="2" t="str">
        <x:v>33</x:v>
      </x:c>
      <x:c r="G67" s="2" t="str">
        <x:v>3104236</x:v>
      </x:c>
      <x:c r="H67" s="2" t="str">
        <x:v>2048000.0</x:v>
      </x:c>
      <x:c r="I67" s="2" t="str">
        <x:v>8192</x:v>
      </x:c>
      <x:c r="J67" s="2" t="str">
        <x:v>250.0</x:v>
      </x:c>
      <x:c r="K67" s="2" t="str">
        <x:v>0</x:v>
      </x:c>
      <x:c r="L67" s="2" t="str">
        <x:v>3</x:v>
      </x:c>
      <x:c r="M67" s="2" t="str">
        <x:v>0</x:v>
      </x:c>
      <x:c r="N67" s="2" t="str">
        <x:v>3</x:v>
      </x:c>
      <x:c r="O67" s="2" t="str">
        <x:v>0</x:v>
      </x:c>
      <x:c r="P67" s="2" t="str">
        <x:v>true</x:v>
      </x:c>
      <x:c r="Q67" s="2" t="str">
        <x:v>NA</x:v>
      </x:c>
      <x:c r="R67" s="2" t="str">
        <x:v>14.254665991757065</x:v>
      </x:c>
      <x:c r="S67" s="2" t="str">
        <x:v>48.14850427263273</x:v>
      </x:c>
    </x:row>
    <x:row r="68">
      <x:c r="A68" s="2" t="str">
        <x:v>DE-CMP-01</x:v>
      </x:c>
      <x:c r="B68" s="2" t="str">
        <x:v>CFG-C01</x:v>
      </x:c>
      <x:c r="C68" s="2" t="n">
        <x:v>46227.70238086805</x:v>
      </x:c>
      <x:c r="D68" s="2" t="str">
        <x:v>os_cfar</x:v>
      </x:c>
      <x:c r="E68" s="2" t="str">
        <x:v>noise_only</x:v>
      </x:c>
      <x:c r="F68" s="2" t="str">
        <x:v>34</x:v>
      </x:c>
      <x:c r="G68" s="2" t="str">
        <x:v>3104237</x:v>
      </x:c>
      <x:c r="H68" s="2" t="str">
        <x:v>2048000.0</x:v>
      </x:c>
      <x:c r="I68" s="2" t="str">
        <x:v>8192</x:v>
      </x:c>
      <x:c r="J68" s="2" t="str">
        <x:v>250.0</x:v>
      </x:c>
      <x:c r="K68" s="2" t="str">
        <x:v>0</x:v>
      </x:c>
      <x:c r="L68" s="2" t="str">
        <x:v>3</x:v>
      </x:c>
      <x:c r="M68" s="2" t="str">
        <x:v>0</x:v>
      </x:c>
      <x:c r="N68" s="2" t="str">
        <x:v>3</x:v>
      </x:c>
      <x:c r="O68" s="2" t="str">
        <x:v>0</x:v>
      </x:c>
      <x:c r="P68" s="2" t="str">
        <x:v>true</x:v>
      </x:c>
      <x:c r="Q68" s="2" t="str">
        <x:v>NA</x:v>
      </x:c>
      <x:c r="R68" s="2" t="str">
        <x:v>14.278709000791423</x:v>
      </x:c>
      <x:c r="S68" s="2" t="str">
        <x:v>48.31949783831738</x:v>
      </x:c>
    </x:row>
    <x:row r="69">
      <x:c r="A69" s="2" t="str">
        <x:v>DE-CMP-01</x:v>
      </x:c>
      <x:c r="B69" s="2" t="str">
        <x:v>CFG-C01</x:v>
      </x:c>
      <x:c r="C69" s="2" t="n">
        <x:v>46227.70238086805</x:v>
      </x:c>
      <x:c r="D69" s="2" t="str">
        <x:v>adaptive</x:v>
      </x:c>
      <x:c r="E69" s="2" t="str">
        <x:v>noise_only</x:v>
      </x:c>
      <x:c r="F69" s="2" t="str">
        <x:v>34</x:v>
      </x:c>
      <x:c r="G69" s="2" t="str">
        <x:v>3104237</x:v>
      </x:c>
      <x:c r="H69" s="2" t="str">
        <x:v>2048000.0</x:v>
      </x:c>
      <x:c r="I69" s="2" t="str">
        <x:v>8192</x:v>
      </x:c>
      <x:c r="J69" s="2" t="str">
        <x:v>250.0</x:v>
      </x:c>
      <x:c r="K69" s="2" t="str">
        <x:v>0</x:v>
      </x:c>
      <x:c r="L69" s="2" t="str">
        <x:v>3</x:v>
      </x:c>
      <x:c r="M69" s="2" t="str">
        <x:v>0</x:v>
      </x:c>
      <x:c r="N69" s="2" t="str">
        <x:v>3</x:v>
      </x:c>
      <x:c r="O69" s="2" t="str">
        <x:v>0</x:v>
      </x:c>
      <x:c r="P69" s="2" t="str">
        <x:v>true</x:v>
      </x:c>
      <x:c r="Q69" s="2" t="str">
        <x:v>NA</x:v>
      </x:c>
      <x:c r="R69" s="2" t="str">
        <x:v>0.4497090121731162</x:v>
      </x:c>
      <x:c r="S69" s="2" t="str">
        <x:v>46.61560090785387</x:v>
      </x:c>
    </x:row>
    <x:row r="70">
      <x:c r="A70" s="2" t="str">
        <x:v>DE-CMP-01</x:v>
      </x:c>
      <x:c r="B70" s="2" t="str">
        <x:v>CFG-C01</x:v>
      </x:c>
      <x:c r="C70" s="2" t="n">
        <x:v>46227.70238086805</x:v>
      </x:c>
      <x:c r="D70" s="2" t="str">
        <x:v>adaptive</x:v>
      </x:c>
      <x:c r="E70" s="2" t="str">
        <x:v>noise_only</x:v>
      </x:c>
      <x:c r="F70" s="2" t="str">
        <x:v>35</x:v>
      </x:c>
      <x:c r="G70" s="2" t="str">
        <x:v>3104238</x:v>
      </x:c>
      <x:c r="H70" s="2" t="str">
        <x:v>2048000.0</x:v>
      </x:c>
      <x:c r="I70" s="2" t="str">
        <x:v>8192</x:v>
      </x:c>
      <x:c r="J70" s="2" t="str">
        <x:v>250.0</x:v>
      </x:c>
      <x:c r="K70" s="2" t="str">
        <x:v>0</x:v>
      </x:c>
      <x:c r="L70" s="2" t="str">
        <x:v>3</x:v>
      </x:c>
      <x:c r="M70" s="2" t="str">
        <x:v>0</x:v>
      </x:c>
      <x:c r="N70" s="2" t="str">
        <x:v>3</x:v>
      </x:c>
      <x:c r="O70" s="2" t="str">
        <x:v>0</x:v>
      </x:c>
      <x:c r="P70" s="2" t="str">
        <x:v>true</x:v>
      </x:c>
      <x:c r="Q70" s="2" t="str">
        <x:v>NA</x:v>
      </x:c>
      <x:c r="R70" s="2" t="str">
        <x:v>0.41799999598879367</x:v>
      </x:c>
      <x:c r="S70" s="2" t="str">
        <x:v>46.4491374355835</x:v>
      </x:c>
    </x:row>
    <x:row r="71">
      <x:c r="A71" s="2" t="str">
        <x:v>DE-CMP-01</x:v>
      </x:c>
      <x:c r="B71" s="2" t="str">
        <x:v>CFG-C01</x:v>
      </x:c>
      <x:c r="C71" s="2" t="n">
        <x:v>46227.70238086805</x:v>
      </x:c>
      <x:c r="D71" s="2" t="str">
        <x:v>os_cfar</x:v>
      </x:c>
      <x:c r="E71" s="2" t="str">
        <x:v>noise_only</x:v>
      </x:c>
      <x:c r="F71" s="2" t="str">
        <x:v>35</x:v>
      </x:c>
      <x:c r="G71" s="2" t="str">
        <x:v>3104238</x:v>
      </x:c>
      <x:c r="H71" s="2" t="str">
        <x:v>2048000.0</x:v>
      </x:c>
      <x:c r="I71" s="2" t="str">
        <x:v>8192</x:v>
      </x:c>
      <x:c r="J71" s="2" t="str">
        <x:v>250.0</x:v>
      </x:c>
      <x:c r="K71" s="2" t="str">
        <x:v>0</x:v>
      </x:c>
      <x:c r="L71" s="2" t="str">
        <x:v>3</x:v>
      </x:c>
      <x:c r="M71" s="2" t="str">
        <x:v>0</x:v>
      </x:c>
      <x:c r="N71" s="2" t="str">
        <x:v>3</x:v>
      </x:c>
      <x:c r="O71" s="2" t="str">
        <x:v>0</x:v>
      </x:c>
      <x:c r="P71" s="2" t="str">
        <x:v>true</x:v>
      </x:c>
      <x:c r="Q71" s="2" t="str">
        <x:v>NA</x:v>
      </x:c>
      <x:c r="R71" s="2" t="str">
        <x:v>13.934791000792757</x:v>
      </x:c>
      <x:c r="S71" s="2" t="str">
        <x:v>48.2246920473049</x:v>
      </x:c>
    </x:row>
    <x:row r="72">
      <x:c r="A72" s="2" t="str">
        <x:v>DE-CMP-01</x:v>
      </x:c>
      <x:c r="B72" s="2" t="str">
        <x:v>CFG-C01</x:v>
      </x:c>
      <x:c r="C72" s="2" t="n">
        <x:v>46227.70238086805</x:v>
      </x:c>
      <x:c r="D72" s="2" t="str">
        <x:v>os_cfar</x:v>
      </x:c>
      <x:c r="E72" s="2" t="str">
        <x:v>noise_only</x:v>
      </x:c>
      <x:c r="F72" s="2" t="str">
        <x:v>36</x:v>
      </x:c>
      <x:c r="G72" s="2" t="str">
        <x:v>3104239</x:v>
      </x:c>
      <x:c r="H72" s="2" t="str">
        <x:v>2048000.0</x:v>
      </x:c>
      <x:c r="I72" s="2" t="str">
        <x:v>8192</x:v>
      </x:c>
      <x:c r="J72" s="2" t="str">
        <x:v>250.0</x:v>
      </x:c>
      <x:c r="K72" s="2" t="str">
        <x:v>0</x:v>
      </x:c>
      <x:c r="L72" s="2" t="str">
        <x:v>3</x:v>
      </x:c>
      <x:c r="M72" s="2" t="str">
        <x:v>0</x:v>
      </x:c>
      <x:c r="N72" s="2" t="str">
        <x:v>3</x:v>
      </x:c>
      <x:c r="O72" s="2" t="str">
        <x:v>0</x:v>
      </x:c>
      <x:c r="P72" s="2" t="str">
        <x:v>true</x:v>
      </x:c>
      <x:c r="Q72" s="2" t="str">
        <x:v>NA</x:v>
      </x:c>
      <x:c r="R72" s="2" t="str">
        <x:v>13.774833001662046</x:v>
      </x:c>
      <x:c r="S72" s="2" t="str">
        <x:v>48.08322151506825</x:v>
      </x:c>
    </x:row>
    <x:row r="73">
      <x:c r="A73" s="2" t="str">
        <x:v>DE-CMP-01</x:v>
      </x:c>
      <x:c r="B73" s="2" t="str">
        <x:v>CFG-C01</x:v>
      </x:c>
      <x:c r="C73" s="2" t="n">
        <x:v>46227.70238086805</x:v>
      </x:c>
      <x:c r="D73" s="2" t="str">
        <x:v>adaptive</x:v>
      </x:c>
      <x:c r="E73" s="2" t="str">
        <x:v>noise_only</x:v>
      </x:c>
      <x:c r="F73" s="2" t="str">
        <x:v>36</x:v>
      </x:c>
      <x:c r="G73" s="2" t="str">
        <x:v>3104239</x:v>
      </x:c>
      <x:c r="H73" s="2" t="str">
        <x:v>2048000.0</x:v>
      </x:c>
      <x:c r="I73" s="2" t="str">
        <x:v>8192</x:v>
      </x:c>
      <x:c r="J73" s="2" t="str">
        <x:v>250.0</x:v>
      </x:c>
      <x:c r="K73" s="2" t="str">
        <x:v>0</x:v>
      </x:c>
      <x:c r="L73" s="2" t="str">
        <x:v>3</x:v>
      </x:c>
      <x:c r="M73" s="2" t="str">
        <x:v>0</x:v>
      </x:c>
      <x:c r="N73" s="2" t="str">
        <x:v>3</x:v>
      </x:c>
      <x:c r="O73" s="2" t="str">
        <x:v>0</x:v>
      </x:c>
      <x:c r="P73" s="2" t="str">
        <x:v>true</x:v>
      </x:c>
      <x:c r="Q73" s="2" t="str">
        <x:v>NA</x:v>
      </x:c>
      <x:c r="R73" s="2" t="str">
        <x:v>0.46166699030436575</x:v>
      </x:c>
      <x:c r="S73" s="2" t="str">
        <x:v>46.296984388530134</x:v>
      </x:c>
    </x:row>
    <x:row r="74">
      <x:c r="A74" s="2" t="str">
        <x:v>DE-CMP-01</x:v>
      </x:c>
      <x:c r="B74" s="2" t="str">
        <x:v>CFG-C01</x:v>
      </x:c>
      <x:c r="C74" s="2" t="n">
        <x:v>46227.70238086805</x:v>
      </x:c>
      <x:c r="D74" s="2" t="str">
        <x:v>adaptive</x:v>
      </x:c>
      <x:c r="E74" s="2" t="str">
        <x:v>noise_only</x:v>
      </x:c>
      <x:c r="F74" s="2" t="str">
        <x:v>37</x:v>
      </x:c>
      <x:c r="G74" s="2" t="str">
        <x:v>3104240</x:v>
      </x:c>
      <x:c r="H74" s="2" t="str">
        <x:v>2048000.0</x:v>
      </x:c>
      <x:c r="I74" s="2" t="str">
        <x:v>8192</x:v>
      </x:c>
      <x:c r="J74" s="2" t="str">
        <x:v>250.0</x:v>
      </x:c>
      <x:c r="K74" s="2" t="str">
        <x:v>0</x:v>
      </x:c>
      <x:c r="L74" s="2" t="str">
        <x:v>3</x:v>
      </x:c>
      <x:c r="M74" s="2" t="str">
        <x:v>0</x:v>
      </x:c>
      <x:c r="N74" s="2" t="str">
        <x:v>3</x:v>
      </x:c>
      <x:c r="O74" s="2" t="str">
        <x:v>0</x:v>
      </x:c>
      <x:c r="P74" s="2" t="str">
        <x:v>true</x:v>
      </x:c>
      <x:c r="Q74" s="2" t="str">
        <x:v>NA</x:v>
      </x:c>
      <x:c r="R74" s="2" t="str">
        <x:v>0.4341669991845265</x:v>
      </x:c>
      <x:c r="S74" s="2" t="str">
        <x:v>46.52323384926759</x:v>
      </x:c>
    </x:row>
    <x:row r="75">
      <x:c r="A75" s="2" t="str">
        <x:v>DE-CMP-01</x:v>
      </x:c>
      <x:c r="B75" s="2" t="str">
        <x:v>CFG-C01</x:v>
      </x:c>
      <x:c r="C75" s="2" t="n">
        <x:v>46227.70238086805</x:v>
      </x:c>
      <x:c r="D75" s="2" t="str">
        <x:v>os_cfar</x:v>
      </x:c>
      <x:c r="E75" s="2" t="str">
        <x:v>noise_only</x:v>
      </x:c>
      <x:c r="F75" s="2" t="str">
        <x:v>37</x:v>
      </x:c>
      <x:c r="G75" s="2" t="str">
        <x:v>3104240</x:v>
      </x:c>
      <x:c r="H75" s="2" t="str">
        <x:v>2048000.0</x:v>
      </x:c>
      <x:c r="I75" s="2" t="str">
        <x:v>8192</x:v>
      </x:c>
      <x:c r="J75" s="2" t="str">
        <x:v>250.0</x:v>
      </x:c>
      <x:c r="K75" s="2" t="str">
        <x:v>0</x:v>
      </x:c>
      <x:c r="L75" s="2" t="str">
        <x:v>3</x:v>
      </x:c>
      <x:c r="M75" s="2" t="str">
        <x:v>0</x:v>
      </x:c>
      <x:c r="N75" s="2" t="str">
        <x:v>3</x:v>
      </x:c>
      <x:c r="O75" s="2" t="str">
        <x:v>0</x:v>
      </x:c>
      <x:c r="P75" s="2" t="str">
        <x:v>true</x:v>
      </x:c>
      <x:c r="Q75" s="2" t="str">
        <x:v>NA</x:v>
      </x:c>
      <x:c r="R75" s="2" t="str">
        <x:v>13.94254200567957</x:v>
      </x:c>
      <x:c r="S75" s="2" t="str">
        <x:v>48.16400459029798</x:v>
      </x:c>
    </x:row>
    <x:row r="76">
      <x:c r="A76" s="2" t="str">
        <x:v>DE-CMP-01</x:v>
      </x:c>
      <x:c r="B76" s="2" t="str">
        <x:v>CFG-C01</x:v>
      </x:c>
      <x:c r="C76" s="2" t="n">
        <x:v>46227.70238086805</x:v>
      </x:c>
      <x:c r="D76" s="2" t="str">
        <x:v>os_cfar</x:v>
      </x:c>
      <x:c r="E76" s="2" t="str">
        <x:v>noise_only</x:v>
      </x:c>
      <x:c r="F76" s="2" t="str">
        <x:v>38</x:v>
      </x:c>
      <x:c r="G76" s="2" t="str">
        <x:v>3104241</x:v>
      </x:c>
      <x:c r="H76" s="2" t="str">
        <x:v>2048000.0</x:v>
      </x:c>
      <x:c r="I76" s="2" t="str">
        <x:v>8192</x:v>
      </x:c>
      <x:c r="J76" s="2" t="str">
        <x:v>250.0</x:v>
      </x:c>
      <x:c r="K76" s="2" t="str">
        <x:v>0</x:v>
      </x:c>
      <x:c r="L76" s="2" t="str">
        <x:v>3</x:v>
      </x:c>
      <x:c r="M76" s="2" t="str">
        <x:v>0</x:v>
      </x:c>
      <x:c r="N76" s="2" t="str">
        <x:v>3</x:v>
      </x:c>
      <x:c r="O76" s="2" t="str">
        <x:v>0</x:v>
      </x:c>
      <x:c r="P76" s="2" t="str">
        <x:v>true</x:v>
      </x:c>
      <x:c r="Q76" s="2" t="str">
        <x:v>NA</x:v>
      </x:c>
      <x:c r="R76" s="2" t="str">
        <x:v>14.007250007125549</x:v>
      </x:c>
      <x:c r="S76" s="2" t="str">
        <x:v>48.251253361184396</x:v>
      </x:c>
    </x:row>
    <x:row r="77">
      <x:c r="A77" s="2" t="str">
        <x:v>DE-CMP-01</x:v>
      </x:c>
      <x:c r="B77" s="2" t="str">
        <x:v>CFG-C01</x:v>
      </x:c>
      <x:c r="C77" s="2" t="n">
        <x:v>46227.70238086805</x:v>
      </x:c>
      <x:c r="D77" s="2" t="str">
        <x:v>adaptive</x:v>
      </x:c>
      <x:c r="E77" s="2" t="str">
        <x:v>noise_only</x:v>
      </x:c>
      <x:c r="F77" s="2" t="str">
        <x:v>38</x:v>
      </x:c>
      <x:c r="G77" s="2" t="str">
        <x:v>3104241</x:v>
      </x:c>
      <x:c r="H77" s="2" t="str">
        <x:v>2048000.0</x:v>
      </x:c>
      <x:c r="I77" s="2" t="str">
        <x:v>8192</x:v>
      </x:c>
      <x:c r="J77" s="2" t="str">
        <x:v>250.0</x:v>
      </x:c>
      <x:c r="K77" s="2" t="str">
        <x:v>0</x:v>
      </x:c>
      <x:c r="L77" s="2" t="str">
        <x:v>3</x:v>
      </x:c>
      <x:c r="M77" s="2" t="str">
        <x:v>0</x:v>
      </x:c>
      <x:c r="N77" s="2" t="str">
        <x:v>3</x:v>
      </x:c>
      <x:c r="O77" s="2" t="str">
        <x:v>0</x:v>
      </x:c>
      <x:c r="P77" s="2" t="str">
        <x:v>true</x:v>
      </x:c>
      <x:c r="Q77" s="2" t="str">
        <x:v>NA</x:v>
      </x:c>
      <x:c r="R77" s="2" t="str">
        <x:v>0.43400000140536577</x:v>
      </x:c>
      <x:c r="S77" s="2" t="str">
        <x:v>46.3955361412155</x:v>
      </x:c>
    </x:row>
    <x:row r="78">
      <x:c r="A78" s="2" t="str">
        <x:v>DE-CMP-01</x:v>
      </x:c>
      <x:c r="B78" s="2" t="str">
        <x:v>CFG-C01</x:v>
      </x:c>
      <x:c r="C78" s="2" t="n">
        <x:v>46227.70238086805</x:v>
      </x:c>
      <x:c r="D78" s="2" t="str">
        <x:v>adaptive</x:v>
      </x:c>
      <x:c r="E78" s="2" t="str">
        <x:v>noise_only</x:v>
      </x:c>
      <x:c r="F78" s="2" t="str">
        <x:v>39</x:v>
      </x:c>
      <x:c r="G78" s="2" t="str">
        <x:v>3104242</x:v>
      </x:c>
      <x:c r="H78" s="2" t="str">
        <x:v>2048000.0</x:v>
      </x:c>
      <x:c r="I78" s="2" t="str">
        <x:v>8192</x:v>
      </x:c>
      <x:c r="J78" s="2" t="str">
        <x:v>250.0</x:v>
      </x:c>
      <x:c r="K78" s="2" t="str">
        <x:v>0</x:v>
      </x:c>
      <x:c r="L78" s="2" t="str">
        <x:v>3</x:v>
      </x:c>
      <x:c r="M78" s="2" t="str">
        <x:v>0</x:v>
      </x:c>
      <x:c r="N78" s="2" t="str">
        <x:v>3</x:v>
      </x:c>
      <x:c r="O78" s="2" t="str">
        <x:v>0</x:v>
      </x:c>
      <x:c r="P78" s="2" t="str">
        <x:v>true</x:v>
      </x:c>
      <x:c r="Q78" s="2" t="str">
        <x:v>NA</x:v>
      </x:c>
      <x:c r="R78" s="2" t="str">
        <x:v>0.4290830111131072</x:v>
      </x:c>
      <x:c r="S78" s="2" t="str">
        <x:v>46.44651877741917</x:v>
      </x:c>
    </x:row>
    <x:row r="79">
      <x:c r="A79" s="2" t="str">
        <x:v>DE-CMP-01</x:v>
      </x:c>
      <x:c r="B79" s="2" t="str">
        <x:v>CFG-C01</x:v>
      </x:c>
      <x:c r="C79" s="2" t="n">
        <x:v>46227.70238086805</x:v>
      </x:c>
      <x:c r="D79" s="2" t="str">
        <x:v>os_cfar</x:v>
      </x:c>
      <x:c r="E79" s="2" t="str">
        <x:v>noise_only</x:v>
      </x:c>
      <x:c r="F79" s="2" t="str">
        <x:v>39</x:v>
      </x:c>
      <x:c r="G79" s="2" t="str">
        <x:v>3104242</x:v>
      </x:c>
      <x:c r="H79" s="2" t="str">
        <x:v>2048000.0</x:v>
      </x:c>
      <x:c r="I79" s="2" t="str">
        <x:v>8192</x:v>
      </x:c>
      <x:c r="J79" s="2" t="str">
        <x:v>250.0</x:v>
      </x:c>
      <x:c r="K79" s="2" t="str">
        <x:v>0</x:v>
      </x:c>
      <x:c r="L79" s="2" t="str">
        <x:v>3</x:v>
      </x:c>
      <x:c r="M79" s="2" t="str">
        <x:v>0</x:v>
      </x:c>
      <x:c r="N79" s="2" t="str">
        <x:v>3</x:v>
      </x:c>
      <x:c r="O79" s="2" t="str">
        <x:v>0</x:v>
      </x:c>
      <x:c r="P79" s="2" t="str">
        <x:v>true</x:v>
      </x:c>
      <x:c r="Q79" s="2" t="str">
        <x:v>NA</x:v>
      </x:c>
      <x:c r="R79" s="2" t="str">
        <x:v>13.628875007270835</x:v>
      </x:c>
      <x:c r="S79" s="2" t="str">
        <x:v>48.25362895701704</x:v>
      </x:c>
    </x:row>
    <x:row r="80">
      <x:c r="A80" s="2" t="str">
        <x:v>DE-CMP-01</x:v>
      </x:c>
      <x:c r="B80" s="2" t="str">
        <x:v>CFG-C01</x:v>
      </x:c>
      <x:c r="C80" s="2" t="n">
        <x:v>46227.70238086805</x:v>
      </x:c>
      <x:c r="D80" s="2" t="str">
        <x:v>os_cfar</x:v>
      </x:c>
      <x:c r="E80" s="2" t="str">
        <x:v>noise_only</x:v>
      </x:c>
      <x:c r="F80" s="2" t="str">
        <x:v>40</x:v>
      </x:c>
      <x:c r="G80" s="2" t="str">
        <x:v>3104243</x:v>
      </x:c>
      <x:c r="H80" s="2" t="str">
        <x:v>2048000.0</x:v>
      </x:c>
      <x:c r="I80" s="2" t="str">
        <x:v>8192</x:v>
      </x:c>
      <x:c r="J80" s="2" t="str">
        <x:v>250.0</x:v>
      </x:c>
      <x:c r="K80" s="2" t="str">
        <x:v>0</x:v>
      </x:c>
      <x:c r="L80" s="2" t="str">
        <x:v>3</x:v>
      </x:c>
      <x:c r="M80" s="2" t="str">
        <x:v>0</x:v>
      </x:c>
      <x:c r="N80" s="2" t="str">
        <x:v>3</x:v>
      </x:c>
      <x:c r="O80" s="2" t="str">
        <x:v>0</x:v>
      </x:c>
      <x:c r="P80" s="2" t="str">
        <x:v>true</x:v>
      </x:c>
      <x:c r="Q80" s="2" t="str">
        <x:v>NA</x:v>
      </x:c>
      <x:c r="R80" s="2" t="str">
        <x:v>13.831834003212862</x:v>
      </x:c>
      <x:c r="S80" s="2" t="str">
        <x:v>48.20520877791559</x:v>
      </x:c>
    </x:row>
    <x:row r="81">
      <x:c r="A81" s="2" t="str">
        <x:v>DE-CMP-01</x:v>
      </x:c>
      <x:c r="B81" s="2" t="str">
        <x:v>CFG-C01</x:v>
      </x:c>
      <x:c r="C81" s="2" t="n">
        <x:v>46227.70238086805</x:v>
      </x:c>
      <x:c r="D81" s="2" t="str">
        <x:v>adaptive</x:v>
      </x:c>
      <x:c r="E81" s="2" t="str">
        <x:v>noise_only</x:v>
      </x:c>
      <x:c r="F81" s="2" t="str">
        <x:v>40</x:v>
      </x:c>
      <x:c r="G81" s="2" t="str">
        <x:v>3104243</x:v>
      </x:c>
      <x:c r="H81" s="2" t="str">
        <x:v>2048000.0</x:v>
      </x:c>
      <x:c r="I81" s="2" t="str">
        <x:v>8192</x:v>
      </x:c>
      <x:c r="J81" s="2" t="str">
        <x:v>250.0</x:v>
      </x:c>
      <x:c r="K81" s="2" t="str">
        <x:v>0</x:v>
      </x:c>
      <x:c r="L81" s="2" t="str">
        <x:v>3</x:v>
      </x:c>
      <x:c r="M81" s="2" t="str">
        <x:v>0</x:v>
      </x:c>
      <x:c r="N81" s="2" t="str">
        <x:v>3</x:v>
      </x:c>
      <x:c r="O81" s="2" t="str">
        <x:v>0</x:v>
      </x:c>
      <x:c r="P81" s="2" t="str">
        <x:v>true</x:v>
      </x:c>
      <x:c r="Q81" s="2" t="str">
        <x:v>NA</x:v>
      </x:c>
      <x:c r="R81" s="2" t="str">
        <x:v>0.43195900798309594</x:v>
      </x:c>
      <x:c r="S81" s="2" t="str">
        <x:v>46.462578454545174</x:v>
      </x:c>
    </x:row>
    <x:row r="82">
      <x:c r="A82" s="2" t="str">
        <x:v>DE-CMP-01</x:v>
      </x:c>
      <x:c r="B82" s="2" t="str">
        <x:v>CFG-C01</x:v>
      </x:c>
      <x:c r="C82" s="2" t="n">
        <x:v>46227.70238086805</x:v>
      </x:c>
      <x:c r="D82" s="2" t="str">
        <x:v>adaptive</x:v>
      </x:c>
      <x:c r="E82" s="2" t="str">
        <x:v>noise_only</x:v>
      </x:c>
      <x:c r="F82" s="2" t="str">
        <x:v>41</x:v>
      </x:c>
      <x:c r="G82" s="2" t="str">
        <x:v>3104244</x:v>
      </x:c>
      <x:c r="H82" s="2" t="str">
        <x:v>2048000.0</x:v>
      </x:c>
      <x:c r="I82" s="2" t="str">
        <x:v>8192</x:v>
      </x:c>
      <x:c r="J82" s="2" t="str">
        <x:v>250.0</x:v>
      </x:c>
      <x:c r="K82" s="2" t="str">
        <x:v>0</x:v>
      </x:c>
      <x:c r="L82" s="2" t="str">
        <x:v>3</x:v>
      </x:c>
      <x:c r="M82" s="2" t="str">
        <x:v>0</x:v>
      </x:c>
      <x:c r="N82" s="2" t="str">
        <x:v>3</x:v>
      </x:c>
      <x:c r="O82" s="2" t="str">
        <x:v>0</x:v>
      </x:c>
      <x:c r="P82" s="2" t="str">
        <x:v>true</x:v>
      </x:c>
      <x:c r="Q82" s="2" t="str">
        <x:v>NA</x:v>
      </x:c>
      <x:c r="R82" s="2" t="str">
        <x:v>0.41429100383538753</x:v>
      </x:c>
      <x:c r="S82" s="2" t="str">
        <x:v>46.51003142607307</x:v>
      </x:c>
    </x:row>
    <x:row r="83">
      <x:c r="A83" s="2" t="str">
        <x:v>DE-CMP-01</x:v>
      </x:c>
      <x:c r="B83" s="2" t="str">
        <x:v>CFG-C01</x:v>
      </x:c>
      <x:c r="C83" s="2" t="n">
        <x:v>46227.70238086805</x:v>
      </x:c>
      <x:c r="D83" s="2" t="str">
        <x:v>os_cfar</x:v>
      </x:c>
      <x:c r="E83" s="2" t="str">
        <x:v>noise_only</x:v>
      </x:c>
      <x:c r="F83" s="2" t="str">
        <x:v>41</x:v>
      </x:c>
      <x:c r="G83" s="2" t="str">
        <x:v>3104244</x:v>
      </x:c>
      <x:c r="H83" s="2" t="str">
        <x:v>2048000.0</x:v>
      </x:c>
      <x:c r="I83" s="2" t="str">
        <x:v>8192</x:v>
      </x:c>
      <x:c r="J83" s="2" t="str">
        <x:v>250.0</x:v>
      </x:c>
      <x:c r="K83" s="2" t="str">
        <x:v>0</x:v>
      </x:c>
      <x:c r="L83" s="2" t="str">
        <x:v>3</x:v>
      </x:c>
      <x:c r="M83" s="2" t="str">
        <x:v>0</x:v>
      </x:c>
      <x:c r="N83" s="2" t="str">
        <x:v>3</x:v>
      </x:c>
      <x:c r="O83" s="2" t="str">
        <x:v>0</x:v>
      </x:c>
      <x:c r="P83" s="2" t="str">
        <x:v>true</x:v>
      </x:c>
      <x:c r="Q83" s="2" t="str">
        <x:v>NA</x:v>
      </x:c>
      <x:c r="R83" s="2" t="str">
        <x:v>13.747167002293281</x:v>
      </x:c>
      <x:c r="S83" s="2" t="str">
        <x:v>48.29089926917138</x:v>
      </x:c>
    </x:row>
    <x:row r="84">
      <x:c r="A84" s="2" t="str">
        <x:v>DE-CMP-01</x:v>
      </x:c>
      <x:c r="B84" s="2" t="str">
        <x:v>CFG-C01</x:v>
      </x:c>
      <x:c r="C84" s="2" t="n">
        <x:v>46227.70238086805</x:v>
      </x:c>
      <x:c r="D84" s="2" t="str">
        <x:v>os_cfar</x:v>
      </x:c>
      <x:c r="E84" s="2" t="str">
        <x:v>noise_only</x:v>
      </x:c>
      <x:c r="F84" s="2" t="str">
        <x:v>42</x:v>
      </x:c>
      <x:c r="G84" s="2" t="str">
        <x:v>3104245</x:v>
      </x:c>
      <x:c r="H84" s="2" t="str">
        <x:v>2048000.0</x:v>
      </x:c>
      <x:c r="I84" s="2" t="str">
        <x:v>8192</x:v>
      </x:c>
      <x:c r="J84" s="2" t="str">
        <x:v>250.0</x:v>
      </x:c>
      <x:c r="K84" s="2" t="str">
        <x:v>0</x:v>
      </x:c>
      <x:c r="L84" s="2" t="str">
        <x:v>3</x:v>
      </x:c>
      <x:c r="M84" s="2" t="str">
        <x:v>0</x:v>
      </x:c>
      <x:c r="N84" s="2" t="str">
        <x:v>3</x:v>
      </x:c>
      <x:c r="O84" s="2" t="str">
        <x:v>0</x:v>
      </x:c>
      <x:c r="P84" s="2" t="str">
        <x:v>true</x:v>
      </x:c>
      <x:c r="Q84" s="2" t="str">
        <x:v>NA</x:v>
      </x:c>
      <x:c r="R84" s="2" t="str">
        <x:v>13.80441700166557</x:v>
      </x:c>
      <x:c r="S84" s="2" t="str">
        <x:v>48.2372151058004</x:v>
      </x:c>
    </x:row>
    <x:row r="85">
      <x:c r="A85" s="2" t="str">
        <x:v>DE-CMP-01</x:v>
      </x:c>
      <x:c r="B85" s="2" t="str">
        <x:v>CFG-C01</x:v>
      </x:c>
      <x:c r="C85" s="2" t="n">
        <x:v>46227.70238086805</x:v>
      </x:c>
      <x:c r="D85" s="2" t="str">
        <x:v>adaptive</x:v>
      </x:c>
      <x:c r="E85" s="2" t="str">
        <x:v>noise_only</x:v>
      </x:c>
      <x:c r="F85" s="2" t="str">
        <x:v>42</x:v>
      </x:c>
      <x:c r="G85" s="2" t="str">
        <x:v>3104245</x:v>
      </x:c>
      <x:c r="H85" s="2" t="str">
        <x:v>2048000.0</x:v>
      </x:c>
      <x:c r="I85" s="2" t="str">
        <x:v>8192</x:v>
      </x:c>
      <x:c r="J85" s="2" t="str">
        <x:v>250.0</x:v>
      </x:c>
      <x:c r="K85" s="2" t="str">
        <x:v>0</x:v>
      </x:c>
      <x:c r="L85" s="2" t="str">
        <x:v>3</x:v>
      </x:c>
      <x:c r="M85" s="2" t="str">
        <x:v>0</x:v>
      </x:c>
      <x:c r="N85" s="2" t="str">
        <x:v>3</x:v>
      </x:c>
      <x:c r="O85" s="2" t="str">
        <x:v>0</x:v>
      </x:c>
      <x:c r="P85" s="2" t="str">
        <x:v>true</x:v>
      </x:c>
      <x:c r="Q85" s="2" t="str">
        <x:v>NA</x:v>
      </x:c>
      <x:c r="R85" s="2" t="str">
        <x:v>0.40716701187193394</x:v>
      </x:c>
      <x:c r="S85" s="2" t="str">
        <x:v>46.39664568787697</x:v>
      </x:c>
    </x:row>
    <x:row r="86">
      <x:c r="A86" s="2" t="str">
        <x:v>DE-CMP-01</x:v>
      </x:c>
      <x:c r="B86" s="2" t="str">
        <x:v>CFG-C01</x:v>
      </x:c>
      <x:c r="C86" s="2" t="n">
        <x:v>46227.70238086805</x:v>
      </x:c>
      <x:c r="D86" s="2" t="str">
        <x:v>adaptive</x:v>
      </x:c>
      <x:c r="E86" s="2" t="str">
        <x:v>noise_only</x:v>
      </x:c>
      <x:c r="F86" s="2" t="str">
        <x:v>43</x:v>
      </x:c>
      <x:c r="G86" s="2" t="str">
        <x:v>3104246</x:v>
      </x:c>
      <x:c r="H86" s="2" t="str">
        <x:v>2048000.0</x:v>
      </x:c>
      <x:c r="I86" s="2" t="str">
        <x:v>8192</x:v>
      </x:c>
      <x:c r="J86" s="2" t="str">
        <x:v>250.0</x:v>
      </x:c>
      <x:c r="K86" s="2" t="str">
        <x:v>0</x:v>
      </x:c>
      <x:c r="L86" s="2" t="str">
        <x:v>3</x:v>
      </x:c>
      <x:c r="M86" s="2" t="str">
        <x:v>0</x:v>
      </x:c>
      <x:c r="N86" s="2" t="str">
        <x:v>3</x:v>
      </x:c>
      <x:c r="O86" s="2" t="str">
        <x:v>0</x:v>
      </x:c>
      <x:c r="P86" s="2" t="str">
        <x:v>true</x:v>
      </x:c>
      <x:c r="Q86" s="2" t="str">
        <x:v>NA</x:v>
      </x:c>
      <x:c r="R86" s="2" t="str">
        <x:v>0.3827920008916408</x:v>
      </x:c>
      <x:c r="S86" s="2" t="str">
        <x:v>46.28659108463788</x:v>
      </x:c>
    </x:row>
    <x:row r="87">
      <x:c r="A87" s="2" t="str">
        <x:v>DE-CMP-01</x:v>
      </x:c>
      <x:c r="B87" s="2" t="str">
        <x:v>CFG-C01</x:v>
      </x:c>
      <x:c r="C87" s="2" t="n">
        <x:v>46227.70238086805</x:v>
      </x:c>
      <x:c r="D87" s="2" t="str">
        <x:v>os_cfar</x:v>
      </x:c>
      <x:c r="E87" s="2" t="str">
        <x:v>noise_only</x:v>
      </x:c>
      <x:c r="F87" s="2" t="str">
        <x:v>43</x:v>
      </x:c>
      <x:c r="G87" s="2" t="str">
        <x:v>3104246</x:v>
      </x:c>
      <x:c r="H87" s="2" t="str">
        <x:v>2048000.0</x:v>
      </x:c>
      <x:c r="I87" s="2" t="str">
        <x:v>8192</x:v>
      </x:c>
      <x:c r="J87" s="2" t="str">
        <x:v>250.0</x:v>
      </x:c>
      <x:c r="K87" s="2" t="str">
        <x:v>0</x:v>
      </x:c>
      <x:c r="L87" s="2" t="str">
        <x:v>3</x:v>
      </x:c>
      <x:c r="M87" s="2" t="str">
        <x:v>0</x:v>
      </x:c>
      <x:c r="N87" s="2" t="str">
        <x:v>3</x:v>
      </x:c>
      <x:c r="O87" s="2" t="str">
        <x:v>0</x:v>
      </x:c>
      <x:c r="P87" s="2" t="str">
        <x:v>true</x:v>
      </x:c>
      <x:c r="Q87" s="2" t="str">
        <x:v>NA</x:v>
      </x:c>
      <x:c r="R87" s="2" t="str">
        <x:v>13.551999989431351</x:v>
      </x:c>
      <x:c r="S87" s="2" t="str">
        <x:v>48.15904492270182</x:v>
      </x:c>
    </x:row>
    <x:row r="88">
      <x:c r="A88" s="2" t="str">
        <x:v>DE-CMP-01</x:v>
      </x:c>
      <x:c r="B88" s="2" t="str">
        <x:v>CFG-C01</x:v>
      </x:c>
      <x:c r="C88" s="2" t="n">
        <x:v>46227.70238086805</x:v>
      </x:c>
      <x:c r="D88" s="2" t="str">
        <x:v>os_cfar</x:v>
      </x:c>
      <x:c r="E88" s="2" t="str">
        <x:v>noise_only</x:v>
      </x:c>
      <x:c r="F88" s="2" t="str">
        <x:v>44</x:v>
      </x:c>
      <x:c r="G88" s="2" t="str">
        <x:v>3104247</x:v>
      </x:c>
      <x:c r="H88" s="2" t="str">
        <x:v>2048000.0</x:v>
      </x:c>
      <x:c r="I88" s="2" t="str">
        <x:v>8192</x:v>
      </x:c>
      <x:c r="J88" s="2" t="str">
        <x:v>250.0</x:v>
      </x:c>
      <x:c r="K88" s="2" t="str">
        <x:v>0</x:v>
      </x:c>
      <x:c r="L88" s="2" t="str">
        <x:v>3</x:v>
      </x:c>
      <x:c r="M88" s="2" t="str">
        <x:v>0</x:v>
      </x:c>
      <x:c r="N88" s="2" t="str">
        <x:v>3</x:v>
      </x:c>
      <x:c r="O88" s="2" t="str">
        <x:v>0</x:v>
      </x:c>
      <x:c r="P88" s="2" t="str">
        <x:v>true</x:v>
      </x:c>
      <x:c r="Q88" s="2" t="str">
        <x:v>NA</x:v>
      </x:c>
      <x:c r="R88" s="2" t="str">
        <x:v>13.55504100502003</x:v>
      </x:c>
      <x:c r="S88" s="2" t="str">
        <x:v>48.07339356520052</x:v>
      </x:c>
    </x:row>
    <x:row r="89">
      <x:c r="A89" s="2" t="str">
        <x:v>DE-CMP-01</x:v>
      </x:c>
      <x:c r="B89" s="2" t="str">
        <x:v>CFG-C01</x:v>
      </x:c>
      <x:c r="C89" s="2" t="n">
        <x:v>46227.70238086805</x:v>
      </x:c>
      <x:c r="D89" s="2" t="str">
        <x:v>adaptive</x:v>
      </x:c>
      <x:c r="E89" s="2" t="str">
        <x:v>noise_only</x:v>
      </x:c>
      <x:c r="F89" s="2" t="str">
        <x:v>44</x:v>
      </x:c>
      <x:c r="G89" s="2" t="str">
        <x:v>3104247</x:v>
      </x:c>
      <x:c r="H89" s="2" t="str">
        <x:v>2048000.0</x:v>
      </x:c>
      <x:c r="I89" s="2" t="str">
        <x:v>8192</x:v>
      </x:c>
      <x:c r="J89" s="2" t="str">
        <x:v>250.0</x:v>
      </x:c>
      <x:c r="K89" s="2" t="str">
        <x:v>0</x:v>
      </x:c>
      <x:c r="L89" s="2" t="str">
        <x:v>3</x:v>
      </x:c>
      <x:c r="M89" s="2" t="str">
        <x:v>0</x:v>
      </x:c>
      <x:c r="N89" s="2" t="str">
        <x:v>3</x:v>
      </x:c>
      <x:c r="O89" s="2" t="str">
        <x:v>0</x:v>
      </x:c>
      <x:c r="P89" s="2" t="str">
        <x:v>true</x:v>
      </x:c>
      <x:c r="Q89" s="2" t="str">
        <x:v>NA</x:v>
      </x:c>
      <x:c r="R89" s="2" t="str">
        <x:v>0.42862498958129436</x:v>
      </x:c>
      <x:c r="S89" s="2" t="str">
        <x:v>46.43117121370126</x:v>
      </x:c>
    </x:row>
    <x:row r="90">
      <x:c r="A90" s="2" t="str">
        <x:v>DE-CMP-01</x:v>
      </x:c>
      <x:c r="B90" s="2" t="str">
        <x:v>CFG-C01</x:v>
      </x:c>
      <x:c r="C90" s="2" t="n">
        <x:v>46227.70238086805</x:v>
      </x:c>
      <x:c r="D90" s="2" t="str">
        <x:v>adaptive</x:v>
      </x:c>
      <x:c r="E90" s="2" t="str">
        <x:v>noise_only</x:v>
      </x:c>
      <x:c r="F90" s="2" t="str">
        <x:v>45</x:v>
      </x:c>
      <x:c r="G90" s="2" t="str">
        <x:v>3104248</x:v>
      </x:c>
      <x:c r="H90" s="2" t="str">
        <x:v>2048000.0</x:v>
      </x:c>
      <x:c r="I90" s="2" t="str">
        <x:v>8192</x:v>
      </x:c>
      <x:c r="J90" s="2" t="str">
        <x:v>250.0</x:v>
      </x:c>
      <x:c r="K90" s="2" t="str">
        <x:v>0</x:v>
      </x:c>
      <x:c r="L90" s="2" t="str">
        <x:v>3</x:v>
      </x:c>
      <x:c r="M90" s="2" t="str">
        <x:v>0</x:v>
      </x:c>
      <x:c r="N90" s="2" t="str">
        <x:v>3</x:v>
      </x:c>
      <x:c r="O90" s="2" t="str">
        <x:v>0</x:v>
      </x:c>
      <x:c r="P90" s="2" t="str">
        <x:v>true</x:v>
      </x:c>
      <x:c r="Q90" s="2" t="str">
        <x:v>NA</x:v>
      </x:c>
      <x:c r="R90" s="2" t="str">
        <x:v>0.4087910056114197</x:v>
      </x:c>
      <x:c r="S90" s="2" t="str">
        <x:v>46.471070167610684</x:v>
      </x:c>
    </x:row>
    <x:row r="91">
      <x:c r="A91" s="2" t="str">
        <x:v>DE-CMP-01</x:v>
      </x:c>
      <x:c r="B91" s="2" t="str">
        <x:v>CFG-C01</x:v>
      </x:c>
      <x:c r="C91" s="2" t="n">
        <x:v>46227.70238086805</x:v>
      </x:c>
      <x:c r="D91" s="2" t="str">
        <x:v>os_cfar</x:v>
      </x:c>
      <x:c r="E91" s="2" t="str">
        <x:v>noise_only</x:v>
      </x:c>
      <x:c r="F91" s="2" t="str">
        <x:v>45</x:v>
      </x:c>
      <x:c r="G91" s="2" t="str">
        <x:v>3104248</x:v>
      </x:c>
      <x:c r="H91" s="2" t="str">
        <x:v>2048000.0</x:v>
      </x:c>
      <x:c r="I91" s="2" t="str">
        <x:v>8192</x:v>
      </x:c>
      <x:c r="J91" s="2" t="str">
        <x:v>250.0</x:v>
      </x:c>
      <x:c r="K91" s="2" t="str">
        <x:v>0</x:v>
      </x:c>
      <x:c r="L91" s="2" t="str">
        <x:v>3</x:v>
      </x:c>
      <x:c r="M91" s="2" t="str">
        <x:v>0</x:v>
      </x:c>
      <x:c r="N91" s="2" t="str">
        <x:v>3</x:v>
      </x:c>
      <x:c r="O91" s="2" t="str">
        <x:v>0</x:v>
      </x:c>
      <x:c r="P91" s="2" t="str">
        <x:v>true</x:v>
      </x:c>
      <x:c r="Q91" s="2" t="str">
        <x:v>NA</x:v>
      </x:c>
      <x:c r="R91" s="2" t="str">
        <x:v>13.46029200067278</x:v>
      </x:c>
      <x:c r="S91" s="2" t="str">
        <x:v>48.250323069966676</x:v>
      </x:c>
    </x:row>
    <x:row r="92">
      <x:c r="A92" s="2" t="str">
        <x:v>DE-CMP-01</x:v>
      </x:c>
      <x:c r="B92" s="2" t="str">
        <x:v>CFG-C01</x:v>
      </x:c>
      <x:c r="C92" s="2" t="n">
        <x:v>46227.70238086805</x:v>
      </x:c>
      <x:c r="D92" s="2" t="str">
        <x:v>os_cfar</x:v>
      </x:c>
      <x:c r="E92" s="2" t="str">
        <x:v>noise_only</x:v>
      </x:c>
      <x:c r="F92" s="2" t="str">
        <x:v>46</x:v>
      </x:c>
      <x:c r="G92" s="2" t="str">
        <x:v>3104249</x:v>
      </x:c>
      <x:c r="H92" s="2" t="str">
        <x:v>2048000.0</x:v>
      </x:c>
      <x:c r="I92" s="2" t="str">
        <x:v>8192</x:v>
      </x:c>
      <x:c r="J92" s="2" t="str">
        <x:v>250.0</x:v>
      </x:c>
      <x:c r="K92" s="2" t="str">
        <x:v>0</x:v>
      </x:c>
      <x:c r="L92" s="2" t="str">
        <x:v>3</x:v>
      </x:c>
      <x:c r="M92" s="2" t="str">
        <x:v>0</x:v>
      </x:c>
      <x:c r="N92" s="2" t="str">
        <x:v>3</x:v>
      </x:c>
      <x:c r="O92" s="2" t="str">
        <x:v>0</x:v>
      </x:c>
      <x:c r="P92" s="2" t="str">
        <x:v>true</x:v>
      </x:c>
      <x:c r="Q92" s="2" t="str">
        <x:v>NA</x:v>
      </x:c>
      <x:c r="R92" s="2" t="str">
        <x:v>13.74237499840092</x:v>
      </x:c>
      <x:c r="S92" s="2" t="str">
        <x:v>48.060084029698444</x:v>
      </x:c>
    </x:row>
    <x:row r="93">
      <x:c r="A93" s="2" t="str">
        <x:v>DE-CMP-01</x:v>
      </x:c>
      <x:c r="B93" s="2" t="str">
        <x:v>CFG-C01</x:v>
      </x:c>
      <x:c r="C93" s="2" t="n">
        <x:v>46227.70238086805</x:v>
      </x:c>
      <x:c r="D93" s="2" t="str">
        <x:v>adaptive</x:v>
      </x:c>
      <x:c r="E93" s="2" t="str">
        <x:v>noise_only</x:v>
      </x:c>
      <x:c r="F93" s="2" t="str">
        <x:v>46</x:v>
      </x:c>
      <x:c r="G93" s="2" t="str">
        <x:v>3104249</x:v>
      </x:c>
      <x:c r="H93" s="2" t="str">
        <x:v>2048000.0</x:v>
      </x:c>
      <x:c r="I93" s="2" t="str">
        <x:v>8192</x:v>
      </x:c>
      <x:c r="J93" s="2" t="str">
        <x:v>250.0</x:v>
      </x:c>
      <x:c r="K93" s="2" t="str">
        <x:v>0</x:v>
      </x:c>
      <x:c r="L93" s="2" t="str">
        <x:v>3</x:v>
      </x:c>
      <x:c r="M93" s="2" t="str">
        <x:v>0</x:v>
      </x:c>
      <x:c r="N93" s="2" t="str">
        <x:v>3</x:v>
      </x:c>
      <x:c r="O93" s="2" t="str">
        <x:v>0</x:v>
      </x:c>
      <x:c r="P93" s="2" t="str">
        <x:v>true</x:v>
      </x:c>
      <x:c r="Q93" s="2" t="str">
        <x:v>NA</x:v>
      </x:c>
      <x:c r="R93" s="2" t="str">
        <x:v>0.4327080096118152</x:v>
      </x:c>
      <x:c r="S93" s="2" t="str">
        <x:v>46.317252256251614</x:v>
      </x:c>
    </x:row>
    <x:row r="94">
      <x:c r="A94" s="2" t="str">
        <x:v>DE-CMP-01</x:v>
      </x:c>
      <x:c r="B94" s="2" t="str">
        <x:v>CFG-C01</x:v>
      </x:c>
      <x:c r="C94" s="2" t="n">
        <x:v>46227.70238086805</x:v>
      </x:c>
      <x:c r="D94" s="2" t="str">
        <x:v>adaptive</x:v>
      </x:c>
      <x:c r="E94" s="2" t="str">
        <x:v>noise_only</x:v>
      </x:c>
      <x:c r="F94" s="2" t="str">
        <x:v>47</x:v>
      </x:c>
      <x:c r="G94" s="2" t="str">
        <x:v>3104250</x:v>
      </x:c>
      <x:c r="H94" s="2" t="str">
        <x:v>2048000.0</x:v>
      </x:c>
      <x:c r="I94" s="2" t="str">
        <x:v>8192</x:v>
      </x:c>
      <x:c r="J94" s="2" t="str">
        <x:v>250.0</x:v>
      </x:c>
      <x:c r="K94" s="2" t="str">
        <x:v>0</x:v>
      </x:c>
      <x:c r="L94" s="2" t="str">
        <x:v>3</x:v>
      </x:c>
      <x:c r="M94" s="2" t="str">
        <x:v>0</x:v>
      </x:c>
      <x:c r="N94" s="2" t="str">
        <x:v>3</x:v>
      </x:c>
      <x:c r="O94" s="2" t="str">
        <x:v>0</x:v>
      </x:c>
      <x:c r="P94" s="2" t="str">
        <x:v>true</x:v>
      </x:c>
      <x:c r="Q94" s="2" t="str">
        <x:v>NA</x:v>
      </x:c>
      <x:c r="R94" s="2" t="str">
        <x:v>0.417124989326112</x:v>
      </x:c>
      <x:c r="S94" s="2" t="str">
        <x:v>46.56585709710353</x:v>
      </x:c>
    </x:row>
    <x:row r="95">
      <x:c r="A95" s="2" t="str">
        <x:v>DE-CMP-01</x:v>
      </x:c>
      <x:c r="B95" s="2" t="str">
        <x:v>CFG-C01</x:v>
      </x:c>
      <x:c r="C95" s="2" t="n">
        <x:v>46227.70238086805</x:v>
      </x:c>
      <x:c r="D95" s="2" t="str">
        <x:v>os_cfar</x:v>
      </x:c>
      <x:c r="E95" s="2" t="str">
        <x:v>noise_only</x:v>
      </x:c>
      <x:c r="F95" s="2" t="str">
        <x:v>47</x:v>
      </x:c>
      <x:c r="G95" s="2" t="str">
        <x:v>3104250</x:v>
      </x:c>
      <x:c r="H95" s="2" t="str">
        <x:v>2048000.0</x:v>
      </x:c>
      <x:c r="I95" s="2" t="str">
        <x:v>8192</x:v>
      </x:c>
      <x:c r="J95" s="2" t="str">
        <x:v>250.0</x:v>
      </x:c>
      <x:c r="K95" s="2" t="str">
        <x:v>0</x:v>
      </x:c>
      <x:c r="L95" s="2" t="str">
        <x:v>3</x:v>
      </x:c>
      <x:c r="M95" s="2" t="str">
        <x:v>0</x:v>
      </x:c>
      <x:c r="N95" s="2" t="str">
        <x:v>3</x:v>
      </x:c>
      <x:c r="O95" s="2" t="str">
        <x:v>0</x:v>
      </x:c>
      <x:c r="P95" s="2" t="str">
        <x:v>true</x:v>
      </x:c>
      <x:c r="Q95" s="2" t="str">
        <x:v>NA</x:v>
      </x:c>
      <x:c r="R95" s="2" t="str">
        <x:v>13.561791987740435</x:v>
      </x:c>
      <x:c r="S95" s="2" t="str">
        <x:v>48.31247753693074</x:v>
      </x:c>
    </x:row>
    <x:row r="96">
      <x:c r="A96" s="2" t="str">
        <x:v>DE-CMP-01</x:v>
      </x:c>
      <x:c r="B96" s="2" t="str">
        <x:v>CFG-C01</x:v>
      </x:c>
      <x:c r="C96" s="2" t="n">
        <x:v>46227.70238086805</x:v>
      </x:c>
      <x:c r="D96" s="2" t="str">
        <x:v>os_cfar</x:v>
      </x:c>
      <x:c r="E96" s="2" t="str">
        <x:v>noise_only</x:v>
      </x:c>
      <x:c r="F96" s="2" t="str">
        <x:v>48</x:v>
      </x:c>
      <x:c r="G96" s="2" t="str">
        <x:v>3104251</x:v>
      </x:c>
      <x:c r="H96" s="2" t="str">
        <x:v>2048000.0</x:v>
      </x:c>
      <x:c r="I96" s="2" t="str">
        <x:v>8192</x:v>
      </x:c>
      <x:c r="J96" s="2" t="str">
        <x:v>250.0</x:v>
      </x:c>
      <x:c r="K96" s="2" t="str">
        <x:v>0</x:v>
      </x:c>
      <x:c r="L96" s="2" t="str">
        <x:v>3</x:v>
      </x:c>
      <x:c r="M96" s="2" t="str">
        <x:v>0</x:v>
      </x:c>
      <x:c r="N96" s="2" t="str">
        <x:v>3</x:v>
      </x:c>
      <x:c r="O96" s="2" t="str">
        <x:v>0</x:v>
      </x:c>
      <x:c r="P96" s="2" t="str">
        <x:v>true</x:v>
      </x:c>
      <x:c r="Q96" s="2" t="str">
        <x:v>NA</x:v>
      </x:c>
      <x:c r="R96" s="2" t="str">
        <x:v>13.54258401261177</x:v>
      </x:c>
      <x:c r="S96" s="2" t="str">
        <x:v>48.13964135538693</x:v>
      </x:c>
    </x:row>
    <x:row r="97">
      <x:c r="A97" s="2" t="str">
        <x:v>DE-CMP-01</x:v>
      </x:c>
      <x:c r="B97" s="2" t="str">
        <x:v>CFG-C01</x:v>
      </x:c>
      <x:c r="C97" s="2" t="n">
        <x:v>46227.70238086805</x:v>
      </x:c>
      <x:c r="D97" s="2" t="str">
        <x:v>adaptive</x:v>
      </x:c>
      <x:c r="E97" s="2" t="str">
        <x:v>noise_only</x:v>
      </x:c>
      <x:c r="F97" s="2" t="str">
        <x:v>48</x:v>
      </x:c>
      <x:c r="G97" s="2" t="str">
        <x:v>3104251</x:v>
      </x:c>
      <x:c r="H97" s="2" t="str">
        <x:v>2048000.0</x:v>
      </x:c>
      <x:c r="I97" s="2" t="str">
        <x:v>8192</x:v>
      </x:c>
      <x:c r="J97" s="2" t="str">
        <x:v>250.0</x:v>
      </x:c>
      <x:c r="K97" s="2" t="str">
        <x:v>0</x:v>
      </x:c>
      <x:c r="L97" s="2" t="str">
        <x:v>3</x:v>
      </x:c>
      <x:c r="M97" s="2" t="str">
        <x:v>0</x:v>
      </x:c>
      <x:c r="N97" s="2" t="str">
        <x:v>3</x:v>
      </x:c>
      <x:c r="O97" s="2" t="str">
        <x:v>0</x:v>
      </x:c>
      <x:c r="P97" s="2" t="str">
        <x:v>true</x:v>
      </x:c>
      <x:c r="Q97" s="2" t="str">
        <x:v>NA</x:v>
      </x:c>
      <x:c r="R97" s="2" t="str">
        <x:v>0.3953340055886656</x:v>
      </x:c>
      <x:c r="S97" s="2" t="str">
        <x:v>46.24674081439715</x:v>
      </x:c>
    </x:row>
    <x:row r="98">
      <x:c r="A98" s="2" t="str">
        <x:v>DE-CMP-01</x:v>
      </x:c>
      <x:c r="B98" s="2" t="str">
        <x:v>CFG-C01</x:v>
      </x:c>
      <x:c r="C98" s="2" t="n">
        <x:v>46227.70238086805</x:v>
      </x:c>
      <x:c r="D98" s="2" t="str">
        <x:v>adaptive</x:v>
      </x:c>
      <x:c r="E98" s="2" t="str">
        <x:v>noise_only</x:v>
      </x:c>
      <x:c r="F98" s="2" t="str">
        <x:v>49</x:v>
      </x:c>
      <x:c r="G98" s="2" t="str">
        <x:v>3104252</x:v>
      </x:c>
      <x:c r="H98" s="2" t="str">
        <x:v>2048000.0</x:v>
      </x:c>
      <x:c r="I98" s="2" t="str">
        <x:v>8192</x:v>
      </x:c>
      <x:c r="J98" s="2" t="str">
        <x:v>250.0</x:v>
      </x:c>
      <x:c r="K98" s="2" t="str">
        <x:v>0</x:v>
      </x:c>
      <x:c r="L98" s="2" t="str">
        <x:v>3</x:v>
      </x:c>
      <x:c r="M98" s="2" t="str">
        <x:v>0</x:v>
      </x:c>
      <x:c r="N98" s="2" t="str">
        <x:v>3</x:v>
      </x:c>
      <x:c r="O98" s="2" t="str">
        <x:v>0</x:v>
      </x:c>
      <x:c r="P98" s="2" t="str">
        <x:v>true</x:v>
      </x:c>
      <x:c r="Q98" s="2" t="str">
        <x:v>NA</x:v>
      </x:c>
      <x:c r="R98" s="2" t="str">
        <x:v>0.38145799771882594</x:v>
      </x:c>
      <x:c r="S98" s="2" t="str">
        <x:v>46.62596596551414</x:v>
      </x:c>
    </x:row>
    <x:row r="99">
      <x:c r="A99" s="2" t="str">
        <x:v>DE-CMP-01</x:v>
      </x:c>
      <x:c r="B99" s="2" t="str">
        <x:v>CFG-C01</x:v>
      </x:c>
      <x:c r="C99" s="2" t="n">
        <x:v>46227.70238086805</x:v>
      </x:c>
      <x:c r="D99" s="2" t="str">
        <x:v>os_cfar</x:v>
      </x:c>
      <x:c r="E99" s="2" t="str">
        <x:v>noise_only</x:v>
      </x:c>
      <x:c r="F99" s="2" t="str">
        <x:v>49</x:v>
      </x:c>
      <x:c r="G99" s="2" t="str">
        <x:v>3104252</x:v>
      </x:c>
      <x:c r="H99" s="2" t="str">
        <x:v>2048000.0</x:v>
      </x:c>
      <x:c r="I99" s="2" t="str">
        <x:v>8192</x:v>
      </x:c>
      <x:c r="J99" s="2" t="str">
        <x:v>250.0</x:v>
      </x:c>
      <x:c r="K99" s="2" t="str">
        <x:v>0</x:v>
      </x:c>
      <x:c r="L99" s="2" t="str">
        <x:v>3</x:v>
      </x:c>
      <x:c r="M99" s="2" t="str">
        <x:v>0</x:v>
      </x:c>
      <x:c r="N99" s="2" t="str">
        <x:v>3</x:v>
      </x:c>
      <x:c r="O99" s="2" t="str">
        <x:v>0</x:v>
      </x:c>
      <x:c r="P99" s="2" t="str">
        <x:v>true</x:v>
      </x:c>
      <x:c r="Q99" s="2" t="str">
        <x:v>NA</x:v>
      </x:c>
      <x:c r="R99" s="2" t="str">
        <x:v>13.784666996798478</x:v>
      </x:c>
      <x:c r="S99" s="2" t="str">
        <x:v>48.33922456165297</x:v>
      </x:c>
    </x:row>
    <x:row r="100">
      <x:c r="A100" s="2" t="str">
        <x:v>DE-CMP-01</x:v>
      </x:c>
      <x:c r="B100" s="2" t="str">
        <x:v>CFG-C01</x:v>
      </x:c>
      <x:c r="C100" s="2" t="n">
        <x:v>46227.70238086805</x:v>
      </x:c>
      <x:c r="D100" s="2" t="str">
        <x:v>os_cfar</x:v>
      </x:c>
      <x:c r="E100" s="2" t="str">
        <x:v>noise_only</x:v>
      </x:c>
      <x:c r="F100" s="2" t="str">
        <x:v>50</x:v>
      </x:c>
      <x:c r="G100" s="2" t="str">
        <x:v>3104253</x:v>
      </x:c>
      <x:c r="H100" s="2" t="str">
        <x:v>2048000.0</x:v>
      </x:c>
      <x:c r="I100" s="2" t="str">
        <x:v>8192</x:v>
      </x:c>
      <x:c r="J100" s="2" t="str">
        <x:v>250.0</x:v>
      </x:c>
      <x:c r="K100" s="2" t="str">
        <x:v>0</x:v>
      </x:c>
      <x:c r="L100" s="2" t="str">
        <x:v>3</x:v>
      </x:c>
      <x:c r="M100" s="2" t="str">
        <x:v>0</x:v>
      </x:c>
      <x:c r="N100" s="2" t="str">
        <x:v>3</x:v>
      </x:c>
      <x:c r="O100" s="2" t="str">
        <x:v>0</x:v>
      </x:c>
      <x:c r="P100" s="2" t="str">
        <x:v>true</x:v>
      </x:c>
      <x:c r="Q100" s="2" t="str">
        <x:v>NA</x:v>
      </x:c>
      <x:c r="R100" s="2" t="str">
        <x:v>13.374333007959649</x:v>
      </x:c>
      <x:c r="S100" s="2" t="str">
        <x:v>48.187299712909464</x:v>
      </x:c>
    </x:row>
    <x:row r="101">
      <x:c r="A101" s="2" t="str">
        <x:v>DE-CMP-01</x:v>
      </x:c>
      <x:c r="B101" s="2" t="str">
        <x:v>CFG-C01</x:v>
      </x:c>
      <x:c r="C101" s="2" t="n">
        <x:v>46227.70238086805</x:v>
      </x:c>
      <x:c r="D101" s="2" t="str">
        <x:v>adaptive</x:v>
      </x:c>
      <x:c r="E101" s="2" t="str">
        <x:v>noise_only</x:v>
      </x:c>
      <x:c r="F101" s="2" t="str">
        <x:v>50</x:v>
      </x:c>
      <x:c r="G101" s="2" t="str">
        <x:v>3104253</x:v>
      </x:c>
      <x:c r="H101" s="2" t="str">
        <x:v>2048000.0</x:v>
      </x:c>
      <x:c r="I101" s="2" t="str">
        <x:v>8192</x:v>
      </x:c>
      <x:c r="J101" s="2" t="str">
        <x:v>250.0</x:v>
      </x:c>
      <x:c r="K101" s="2" t="str">
        <x:v>0</x:v>
      </x:c>
      <x:c r="L101" s="2" t="str">
        <x:v>3</x:v>
      </x:c>
      <x:c r="M101" s="2" t="str">
        <x:v>0</x:v>
      </x:c>
      <x:c r="N101" s="2" t="str">
        <x:v>3</x:v>
      </x:c>
      <x:c r="O101" s="2" t="str">
        <x:v>0</x:v>
      </x:c>
      <x:c r="P101" s="2" t="str">
        <x:v>true</x:v>
      </x:c>
      <x:c r="Q101" s="2" t="str">
        <x:v>NA</x:v>
      </x:c>
      <x:c r="R101" s="2" t="str">
        <x:v>0.42550000944174826</x:v>
      </x:c>
      <x:c r="S101" s="2" t="str">
        <x:v>46.42076858075177</x:v>
      </x:c>
    </x:row>
    <x:row r="102">
      <x:c r="A102" s="2" t="str">
        <x:v>DE-CMP-01</x:v>
      </x:c>
      <x:c r="B102" s="2" t="str">
        <x:v>CFG-C01</x:v>
      </x:c>
      <x:c r="C102" s="2" t="n">
        <x:v>46227.70238086805</x:v>
      </x:c>
      <x:c r="D102" s="2" t="str">
        <x:v>adaptive</x:v>
      </x:c>
      <x:c r="E102" s="2" t="str">
        <x:v>noise_only</x:v>
      </x:c>
      <x:c r="F102" s="2" t="str">
        <x:v>51</x:v>
      </x:c>
      <x:c r="G102" s="2" t="str">
        <x:v>3104254</x:v>
      </x:c>
      <x:c r="H102" s="2" t="str">
        <x:v>2048000.0</x:v>
      </x:c>
      <x:c r="I102" s="2" t="str">
        <x:v>8192</x:v>
      </x:c>
      <x:c r="J102" s="2" t="str">
        <x:v>250.0</x:v>
      </x:c>
      <x:c r="K102" s="2" t="str">
        <x:v>0</x:v>
      </x:c>
      <x:c r="L102" s="2" t="str">
        <x:v>3</x:v>
      </x:c>
      <x:c r="M102" s="2" t="str">
        <x:v>0</x:v>
      </x:c>
      <x:c r="N102" s="2" t="str">
        <x:v>3</x:v>
      </x:c>
      <x:c r="O102" s="2" t="str">
        <x:v>0</x:v>
      </x:c>
      <x:c r="P102" s="2" t="str">
        <x:v>true</x:v>
      </x:c>
      <x:c r="Q102" s="2" t="str">
        <x:v>NA</x:v>
      </x:c>
      <x:c r="R102" s="2" t="str">
        <x:v>0.405916987801902</x:v>
      </x:c>
      <x:c r="S102" s="2" t="str">
        <x:v>46.43058028359387</x:v>
      </x:c>
    </x:row>
    <x:row r="103">
      <x:c r="A103" s="2" t="str">
        <x:v>DE-CMP-01</x:v>
      </x:c>
      <x:c r="B103" s="2" t="str">
        <x:v>CFG-C01</x:v>
      </x:c>
      <x:c r="C103" s="2" t="n">
        <x:v>46227.70238086805</x:v>
      </x:c>
      <x:c r="D103" s="2" t="str">
        <x:v>os_cfar</x:v>
      </x:c>
      <x:c r="E103" s="2" t="str">
        <x:v>noise_only</x:v>
      </x:c>
      <x:c r="F103" s="2" t="str">
        <x:v>51</x:v>
      </x:c>
      <x:c r="G103" s="2" t="str">
        <x:v>3104254</x:v>
      </x:c>
      <x:c r="H103" s="2" t="str">
        <x:v>2048000.0</x:v>
      </x:c>
      <x:c r="I103" s="2" t="str">
        <x:v>8192</x:v>
      </x:c>
      <x:c r="J103" s="2" t="str">
        <x:v>250.0</x:v>
      </x:c>
      <x:c r="K103" s="2" t="str">
        <x:v>0</x:v>
      </x:c>
      <x:c r="L103" s="2" t="str">
        <x:v>3</x:v>
      </x:c>
      <x:c r="M103" s="2" t="str">
        <x:v>0</x:v>
      </x:c>
      <x:c r="N103" s="2" t="str">
        <x:v>3</x:v>
      </x:c>
      <x:c r="O103" s="2" t="str">
        <x:v>0</x:v>
      </x:c>
      <x:c r="P103" s="2" t="str">
        <x:v>true</x:v>
      </x:c>
      <x:c r="Q103" s="2" t="str">
        <x:v>NA</x:v>
      </x:c>
      <x:c r="R103" s="2" t="str">
        <x:v>13.458125002216548</x:v>
      </x:c>
      <x:c r="S103" s="2" t="str">
        <x:v>48.298517805590926</x:v>
      </x:c>
    </x:row>
    <x:row r="104">
      <x:c r="A104" s="2" t="str">
        <x:v>DE-CMP-01</x:v>
      </x:c>
      <x:c r="B104" s="2" t="str">
        <x:v>CFG-C01</x:v>
      </x:c>
      <x:c r="C104" s="2" t="n">
        <x:v>46227.70238086805</x:v>
      </x:c>
      <x:c r="D104" s="2" t="str">
        <x:v>os_cfar</x:v>
      </x:c>
      <x:c r="E104" s="2" t="str">
        <x:v>noise_only</x:v>
      </x:c>
      <x:c r="F104" s="2" t="str">
        <x:v>52</x:v>
      </x:c>
      <x:c r="G104" s="2" t="str">
        <x:v>3104255</x:v>
      </x:c>
      <x:c r="H104" s="2" t="str">
        <x:v>2048000.0</x:v>
      </x:c>
      <x:c r="I104" s="2" t="str">
        <x:v>8192</x:v>
      </x:c>
      <x:c r="J104" s="2" t="str">
        <x:v>250.0</x:v>
      </x:c>
      <x:c r="K104" s="2" t="str">
        <x:v>0</x:v>
      </x:c>
      <x:c r="L104" s="2" t="str">
        <x:v>3</x:v>
      </x:c>
      <x:c r="M104" s="2" t="str">
        <x:v>0</x:v>
      </x:c>
      <x:c r="N104" s="2" t="str">
        <x:v>3</x:v>
      </x:c>
      <x:c r="O104" s="2" t="str">
        <x:v>0</x:v>
      </x:c>
      <x:c r="P104" s="2" t="str">
        <x:v>true</x:v>
      </x:c>
      <x:c r="Q104" s="2" t="str">
        <x:v>NA</x:v>
      </x:c>
      <x:c r="R104" s="2" t="str">
        <x:v>13.744500000029802</x:v>
      </x:c>
      <x:c r="S104" s="2" t="str">
        <x:v>48.16993733985452</x:v>
      </x:c>
    </x:row>
    <x:row r="105">
      <x:c r="A105" s="2" t="str">
        <x:v>DE-CMP-01</x:v>
      </x:c>
      <x:c r="B105" s="2" t="str">
        <x:v>CFG-C01</x:v>
      </x:c>
      <x:c r="C105" s="2" t="n">
        <x:v>46227.70238086805</x:v>
      </x:c>
      <x:c r="D105" s="2" t="str">
        <x:v>adaptive</x:v>
      </x:c>
      <x:c r="E105" s="2" t="str">
        <x:v>noise_only</x:v>
      </x:c>
      <x:c r="F105" s="2" t="str">
        <x:v>52</x:v>
      </x:c>
      <x:c r="G105" s="2" t="str">
        <x:v>3104255</x:v>
      </x:c>
      <x:c r="H105" s="2" t="str">
        <x:v>2048000.0</x:v>
      </x:c>
      <x:c r="I105" s="2" t="str">
        <x:v>8192</x:v>
      </x:c>
      <x:c r="J105" s="2" t="str">
        <x:v>250.0</x:v>
      </x:c>
      <x:c r="K105" s="2" t="str">
        <x:v>0</x:v>
      </x:c>
      <x:c r="L105" s="2" t="str">
        <x:v>3</x:v>
      </x:c>
      <x:c r="M105" s="2" t="str">
        <x:v>0</x:v>
      </x:c>
      <x:c r="N105" s="2" t="str">
        <x:v>3</x:v>
      </x:c>
      <x:c r="O105" s="2" t="str">
        <x:v>0</x:v>
      </x:c>
      <x:c r="P105" s="2" t="str">
        <x:v>true</x:v>
      </x:c>
      <x:c r="Q105" s="2" t="str">
        <x:v>NA</x:v>
      </x:c>
      <x:c r="R105" s="2" t="str">
        <x:v>0.41200000850949436</x:v>
      </x:c>
      <x:c r="S105" s="2" t="str">
        <x:v>46.479833807388935</x:v>
      </x:c>
    </x:row>
    <x:row r="106">
      <x:c r="A106" s="2" t="str">
        <x:v>DE-CMP-01</x:v>
      </x:c>
      <x:c r="B106" s="2" t="str">
        <x:v>CFG-C01</x:v>
      </x:c>
      <x:c r="C106" s="2" t="n">
        <x:v>46227.70238086805</x:v>
      </x:c>
      <x:c r="D106" s="2" t="str">
        <x:v>adaptive</x:v>
      </x:c>
      <x:c r="E106" s="2" t="str">
        <x:v>noise_only</x:v>
      </x:c>
      <x:c r="F106" s="2" t="str">
        <x:v>53</x:v>
      </x:c>
      <x:c r="G106" s="2" t="str">
        <x:v>3104256</x:v>
      </x:c>
      <x:c r="H106" s="2" t="str">
        <x:v>2048000.0</x:v>
      </x:c>
      <x:c r="I106" s="2" t="str">
        <x:v>8192</x:v>
      </x:c>
      <x:c r="J106" s="2" t="str">
        <x:v>250.0</x:v>
      </x:c>
      <x:c r="K106" s="2" t="str">
        <x:v>0</x:v>
      </x:c>
      <x:c r="L106" s="2" t="str">
        <x:v>3</x:v>
      </x:c>
      <x:c r="M106" s="2" t="str">
        <x:v>0</x:v>
      </x:c>
      <x:c r="N106" s="2" t="str">
        <x:v>3</x:v>
      </x:c>
      <x:c r="O106" s="2" t="str">
        <x:v>0</x:v>
      </x:c>
      <x:c r="P106" s="2" t="str">
        <x:v>true</x:v>
      </x:c>
      <x:c r="Q106" s="2" t="str">
        <x:v>NA</x:v>
      </x:c>
      <x:c r="R106" s="2" t="str">
        <x:v>0.40529199759475887</x:v>
      </x:c>
      <x:c r="S106" s="2" t="str">
        <x:v>46.33102018913452</x:v>
      </x:c>
    </x:row>
    <x:row r="107">
      <x:c r="A107" s="2" t="str">
        <x:v>DE-CMP-01</x:v>
      </x:c>
      <x:c r="B107" s="2" t="str">
        <x:v>CFG-C01</x:v>
      </x:c>
      <x:c r="C107" s="2" t="n">
        <x:v>46227.70238086805</x:v>
      </x:c>
      <x:c r="D107" s="2" t="str">
        <x:v>os_cfar</x:v>
      </x:c>
      <x:c r="E107" s="2" t="str">
        <x:v>noise_only</x:v>
      </x:c>
      <x:c r="F107" s="2" t="str">
        <x:v>53</x:v>
      </x:c>
      <x:c r="G107" s="2" t="str">
        <x:v>3104256</x:v>
      </x:c>
      <x:c r="H107" s="2" t="str">
        <x:v>2048000.0</x:v>
      </x:c>
      <x:c r="I107" s="2" t="str">
        <x:v>8192</x:v>
      </x:c>
      <x:c r="J107" s="2" t="str">
        <x:v>250.0</x:v>
      </x:c>
      <x:c r="K107" s="2" t="str">
        <x:v>0</x:v>
      </x:c>
      <x:c r="L107" s="2" t="str">
        <x:v>3</x:v>
      </x:c>
      <x:c r="M107" s="2" t="str">
        <x:v>0</x:v>
      </x:c>
      <x:c r="N107" s="2" t="str">
        <x:v>3</x:v>
      </x:c>
      <x:c r="O107" s="2" t="str">
        <x:v>0</x:v>
      </x:c>
      <x:c r="P107" s="2" t="str">
        <x:v>true</x:v>
      </x:c>
      <x:c r="Q107" s="2" t="str">
        <x:v>NA</x:v>
      </x:c>
      <x:c r="R107" s="2" t="str">
        <x:v>13.654666996444575</x:v>
      </x:c>
      <x:c r="S107" s="2" t="str">
        <x:v>48.17949742160715</x:v>
      </x:c>
    </x:row>
    <x:row r="108">
      <x:c r="A108" s="2" t="str">
        <x:v>DE-CMP-01</x:v>
      </x:c>
      <x:c r="B108" s="2" t="str">
        <x:v>CFG-C01</x:v>
      </x:c>
      <x:c r="C108" s="2" t="n">
        <x:v>46227.70238086805</x:v>
      </x:c>
      <x:c r="D108" s="2" t="str">
        <x:v>os_cfar</x:v>
      </x:c>
      <x:c r="E108" s="2" t="str">
        <x:v>noise_only</x:v>
      </x:c>
      <x:c r="F108" s="2" t="str">
        <x:v>54</x:v>
      </x:c>
      <x:c r="G108" s="2" t="str">
        <x:v>3104257</x:v>
      </x:c>
      <x:c r="H108" s="2" t="str">
        <x:v>2048000.0</x:v>
      </x:c>
      <x:c r="I108" s="2" t="str">
        <x:v>8192</x:v>
      </x:c>
      <x:c r="J108" s="2" t="str">
        <x:v>250.0</x:v>
      </x:c>
      <x:c r="K108" s="2" t="str">
        <x:v>0</x:v>
      </x:c>
      <x:c r="L108" s="2" t="str">
        <x:v>3</x:v>
      </x:c>
      <x:c r="M108" s="2" t="str">
        <x:v>0</x:v>
      </x:c>
      <x:c r="N108" s="2" t="str">
        <x:v>3</x:v>
      </x:c>
      <x:c r="O108" s="2" t="str">
        <x:v>0</x:v>
      </x:c>
      <x:c r="P108" s="2" t="str">
        <x:v>true</x:v>
      </x:c>
      <x:c r="Q108" s="2" t="str">
        <x:v>NA</x:v>
      </x:c>
      <x:c r="R108" s="2" t="str">
        <x:v>13.787332994979806</x:v>
      </x:c>
      <x:c r="S108" s="2" t="str">
        <x:v>48.288407081908666</x:v>
      </x:c>
    </x:row>
    <x:row r="109">
      <x:c r="A109" s="2" t="str">
        <x:v>DE-CMP-01</x:v>
      </x:c>
      <x:c r="B109" s="2" t="str">
        <x:v>CFG-C01</x:v>
      </x:c>
      <x:c r="C109" s="2" t="n">
        <x:v>46227.70238086805</x:v>
      </x:c>
      <x:c r="D109" s="2" t="str">
        <x:v>adaptive</x:v>
      </x:c>
      <x:c r="E109" s="2" t="str">
        <x:v>noise_only</x:v>
      </x:c>
      <x:c r="F109" s="2" t="str">
        <x:v>54</x:v>
      </x:c>
      <x:c r="G109" s="2" t="str">
        <x:v>3104257</x:v>
      </x:c>
      <x:c r="H109" s="2" t="str">
        <x:v>2048000.0</x:v>
      </x:c>
      <x:c r="I109" s="2" t="str">
        <x:v>8192</x:v>
      </x:c>
      <x:c r="J109" s="2" t="str">
        <x:v>250.0</x:v>
      </x:c>
      <x:c r="K109" s="2" t="str">
        <x:v>0</x:v>
      </x:c>
      <x:c r="L109" s="2" t="str">
        <x:v>3</x:v>
      </x:c>
      <x:c r="M109" s="2" t="str">
        <x:v>0</x:v>
      </x:c>
      <x:c r="N109" s="2" t="str">
        <x:v>3</x:v>
      </x:c>
      <x:c r="O109" s="2" t="str">
        <x:v>0</x:v>
      </x:c>
      <x:c r="P109" s="2" t="str">
        <x:v>true</x:v>
      </x:c>
      <x:c r="Q109" s="2" t="str">
        <x:v>NA</x:v>
      </x:c>
      <x:c r="R109" s="2" t="str">
        <x:v>0.42645800567697734</x:v>
      </x:c>
      <x:c r="S109" s="2" t="str">
        <x:v>46.41507721690262</x:v>
      </x:c>
    </x:row>
    <x:row r="110">
      <x:c r="A110" s="2" t="str">
        <x:v>DE-CMP-01</x:v>
      </x:c>
      <x:c r="B110" s="2" t="str">
        <x:v>CFG-C01</x:v>
      </x:c>
      <x:c r="C110" s="2" t="n">
        <x:v>46227.70238086805</x:v>
      </x:c>
      <x:c r="D110" s="2" t="str">
        <x:v>adaptive</x:v>
      </x:c>
      <x:c r="E110" s="2" t="str">
        <x:v>noise_only</x:v>
      </x:c>
      <x:c r="F110" s="2" t="str">
        <x:v>55</x:v>
      </x:c>
      <x:c r="G110" s="2" t="str">
        <x:v>3104258</x:v>
      </x:c>
      <x:c r="H110" s="2" t="str">
        <x:v>2048000.0</x:v>
      </x:c>
      <x:c r="I110" s="2" t="str">
        <x:v>8192</x:v>
      </x:c>
      <x:c r="J110" s="2" t="str">
        <x:v>250.0</x:v>
      </x:c>
      <x:c r="K110" s="2" t="str">
        <x:v>0</x:v>
      </x:c>
      <x:c r="L110" s="2" t="str">
        <x:v>3</x:v>
      </x:c>
      <x:c r="M110" s="2" t="str">
        <x:v>0</x:v>
      </x:c>
      <x:c r="N110" s="2" t="str">
        <x:v>3</x:v>
      </x:c>
      <x:c r="O110" s="2" t="str">
        <x:v>0</x:v>
      </x:c>
      <x:c r="P110" s="2" t="str">
        <x:v>true</x:v>
      </x:c>
      <x:c r="Q110" s="2" t="str">
        <x:v>NA</x:v>
      </x:c>
      <x:c r="R110" s="2" t="str">
        <x:v>0.39799998921807855</x:v>
      </x:c>
      <x:c r="S110" s="2" t="str">
        <x:v>46.61425060688191</x:v>
      </x:c>
    </x:row>
    <x:row r="111">
      <x:c r="A111" s="2" t="str">
        <x:v>DE-CMP-01</x:v>
      </x:c>
      <x:c r="B111" s="2" t="str">
        <x:v>CFG-C01</x:v>
      </x:c>
      <x:c r="C111" s="2" t="n">
        <x:v>46227.70238086805</x:v>
      </x:c>
      <x:c r="D111" s="2" t="str">
        <x:v>os_cfar</x:v>
      </x:c>
      <x:c r="E111" s="2" t="str">
        <x:v>noise_only</x:v>
      </x:c>
      <x:c r="F111" s="2" t="str">
        <x:v>55</x:v>
      </x:c>
      <x:c r="G111" s="2" t="str">
        <x:v>3104258</x:v>
      </x:c>
      <x:c r="H111" s="2" t="str">
        <x:v>2048000.0</x:v>
      </x:c>
      <x:c r="I111" s="2" t="str">
        <x:v>8192</x:v>
      </x:c>
      <x:c r="J111" s="2" t="str">
        <x:v>250.0</x:v>
      </x:c>
      <x:c r="K111" s="2" t="str">
        <x:v>0</x:v>
      </x:c>
      <x:c r="L111" s="2" t="str">
        <x:v>3</x:v>
      </x:c>
      <x:c r="M111" s="2" t="str">
        <x:v>0</x:v>
      </x:c>
      <x:c r="N111" s="2" t="str">
        <x:v>3</x:v>
      </x:c>
      <x:c r="O111" s="2" t="str">
        <x:v>0</x:v>
      </x:c>
      <x:c r="P111" s="2" t="str">
        <x:v>true</x:v>
      </x:c>
      <x:c r="Q111" s="2" t="str">
        <x:v>NA</x:v>
      </x:c>
      <x:c r="R111" s="2" t="str">
        <x:v>13.678290997631848</x:v>
      </x:c>
      <x:c r="S111" s="2" t="str">
        <x:v>48.24011119743553</x:v>
      </x:c>
    </x:row>
    <x:row r="112">
      <x:c r="A112" s="2" t="str">
        <x:v>DE-CMP-01</x:v>
      </x:c>
      <x:c r="B112" s="2" t="str">
        <x:v>CFG-C01</x:v>
      </x:c>
      <x:c r="C112" s="2" t="n">
        <x:v>46227.70238086805</x:v>
      </x:c>
      <x:c r="D112" s="2" t="str">
        <x:v>os_cfar</x:v>
      </x:c>
      <x:c r="E112" s="2" t="str">
        <x:v>noise_only</x:v>
      </x:c>
      <x:c r="F112" s="2" t="str">
        <x:v>56</x:v>
      </x:c>
      <x:c r="G112" s="2" t="str">
        <x:v>3104259</x:v>
      </x:c>
      <x:c r="H112" s="2" t="str">
        <x:v>2048000.0</x:v>
      </x:c>
      <x:c r="I112" s="2" t="str">
        <x:v>8192</x:v>
      </x:c>
      <x:c r="J112" s="2" t="str">
        <x:v>250.0</x:v>
      </x:c>
      <x:c r="K112" s="2" t="str">
        <x:v>0</x:v>
      </x:c>
      <x:c r="L112" s="2" t="str">
        <x:v>3</x:v>
      </x:c>
      <x:c r="M112" s="2" t="str">
        <x:v>0</x:v>
      </x:c>
      <x:c r="N112" s="2" t="str">
        <x:v>3</x:v>
      </x:c>
      <x:c r="O112" s="2" t="str">
        <x:v>0</x:v>
      </x:c>
      <x:c r="P112" s="2" t="str">
        <x:v>true</x:v>
      </x:c>
      <x:c r="Q112" s="2" t="str">
        <x:v>NA</x:v>
      </x:c>
      <x:c r="R112" s="2" t="str">
        <x:v>13.507874988135882</x:v>
      </x:c>
      <x:c r="S112" s="2" t="str">
        <x:v>48.33992835339214</x:v>
      </x:c>
    </x:row>
    <x:row r="113">
      <x:c r="A113" s="2" t="str">
        <x:v>DE-CMP-01</x:v>
      </x:c>
      <x:c r="B113" s="2" t="str">
        <x:v>CFG-C01</x:v>
      </x:c>
      <x:c r="C113" s="2" t="n">
        <x:v>46227.70238086805</x:v>
      </x:c>
      <x:c r="D113" s="2" t="str">
        <x:v>adaptive</x:v>
      </x:c>
      <x:c r="E113" s="2" t="str">
        <x:v>noise_only</x:v>
      </x:c>
      <x:c r="F113" s="2" t="str">
        <x:v>56</x:v>
      </x:c>
      <x:c r="G113" s="2" t="str">
        <x:v>3104259</x:v>
      </x:c>
      <x:c r="H113" s="2" t="str">
        <x:v>2048000.0</x:v>
      </x:c>
      <x:c r="I113" s="2" t="str">
        <x:v>8192</x:v>
      </x:c>
      <x:c r="J113" s="2" t="str">
        <x:v>250.0</x:v>
      </x:c>
      <x:c r="K113" s="2" t="str">
        <x:v>0</x:v>
      </x:c>
      <x:c r="L113" s="2" t="str">
        <x:v>3</x:v>
      </x:c>
      <x:c r="M113" s="2" t="str">
        <x:v>0</x:v>
      </x:c>
      <x:c r="N113" s="2" t="str">
        <x:v>3</x:v>
      </x:c>
      <x:c r="O113" s="2" t="str">
        <x:v>0</x:v>
      </x:c>
      <x:c r="P113" s="2" t="str">
        <x:v>true</x:v>
      </x:c>
      <x:c r="Q113" s="2" t="str">
        <x:v>NA</x:v>
      </x:c>
      <x:c r="R113" s="2" t="str">
        <x:v>0.4045829991810024</x:v>
      </x:c>
      <x:c r="S113" s="2" t="str">
        <x:v>46.59727275516009</x:v>
      </x:c>
    </x:row>
    <x:row r="114">
      <x:c r="A114" s="2" t="str">
        <x:v>DE-CMP-01</x:v>
      </x:c>
      <x:c r="B114" s="2" t="str">
        <x:v>CFG-C01</x:v>
      </x:c>
      <x:c r="C114" s="2" t="n">
        <x:v>46227.70238086805</x:v>
      </x:c>
      <x:c r="D114" s="2" t="str">
        <x:v>adaptive</x:v>
      </x:c>
      <x:c r="E114" s="2" t="str">
        <x:v>noise_only</x:v>
      </x:c>
      <x:c r="F114" s="2" t="str">
        <x:v>57</x:v>
      </x:c>
      <x:c r="G114" s="2" t="str">
        <x:v>3104260</x:v>
      </x:c>
      <x:c r="H114" s="2" t="str">
        <x:v>2048000.0</x:v>
      </x:c>
      <x:c r="I114" s="2" t="str">
        <x:v>8192</x:v>
      </x:c>
      <x:c r="J114" s="2" t="str">
        <x:v>250.0</x:v>
      </x:c>
      <x:c r="K114" s="2" t="str">
        <x:v>0</x:v>
      </x:c>
      <x:c r="L114" s="2" t="str">
        <x:v>3</x:v>
      </x:c>
      <x:c r="M114" s="2" t="str">
        <x:v>0</x:v>
      </x:c>
      <x:c r="N114" s="2" t="str">
        <x:v>3</x:v>
      </x:c>
      <x:c r="O114" s="2" t="str">
        <x:v>0</x:v>
      </x:c>
      <x:c r="P114" s="2" t="str">
        <x:v>true</x:v>
      </x:c>
      <x:c r="Q114" s="2" t="str">
        <x:v>NA</x:v>
      </x:c>
      <x:c r="R114" s="2" t="str">
        <x:v>0.4115830088267103</x:v>
      </x:c>
      <x:c r="S114" s="2" t="str">
        <x:v>46.24548331754378</x:v>
      </x:c>
    </x:row>
    <x:row r="115">
      <x:c r="A115" s="2" t="str">
        <x:v>DE-CMP-01</x:v>
      </x:c>
      <x:c r="B115" s="2" t="str">
        <x:v>CFG-C01</x:v>
      </x:c>
      <x:c r="C115" s="2" t="n">
        <x:v>46227.70238086805</x:v>
      </x:c>
      <x:c r="D115" s="2" t="str">
        <x:v>os_cfar</x:v>
      </x:c>
      <x:c r="E115" s="2" t="str">
        <x:v>noise_only</x:v>
      </x:c>
      <x:c r="F115" s="2" t="str">
        <x:v>57</x:v>
      </x:c>
      <x:c r="G115" s="2" t="str">
        <x:v>3104260</x:v>
      </x:c>
      <x:c r="H115" s="2" t="str">
        <x:v>2048000.0</x:v>
      </x:c>
      <x:c r="I115" s="2" t="str">
        <x:v>8192</x:v>
      </x:c>
      <x:c r="J115" s="2" t="str">
        <x:v>250.0</x:v>
      </x:c>
      <x:c r="K115" s="2" t="str">
        <x:v>0</x:v>
      </x:c>
      <x:c r="L115" s="2" t="str">
        <x:v>3</x:v>
      </x:c>
      <x:c r="M115" s="2" t="str">
        <x:v>0</x:v>
      </x:c>
      <x:c r="N115" s="2" t="str">
        <x:v>3</x:v>
      </x:c>
      <x:c r="O115" s="2" t="str">
        <x:v>0</x:v>
      </x:c>
      <x:c r="P115" s="2" t="str">
        <x:v>true</x:v>
      </x:c>
      <x:c r="Q115" s="2" t="str">
        <x:v>NA</x:v>
      </x:c>
      <x:c r="R115" s="2" t="str">
        <x:v>13.773625003523193</x:v>
      </x:c>
      <x:c r="S115" s="2" t="str">
        <x:v>48.20863089565697</x:v>
      </x:c>
    </x:row>
    <x:row r="116">
      <x:c r="A116" s="2" t="str">
        <x:v>DE-CMP-01</x:v>
      </x:c>
      <x:c r="B116" s="2" t="str">
        <x:v>CFG-C01</x:v>
      </x:c>
      <x:c r="C116" s="2" t="n">
        <x:v>46227.70238086805</x:v>
      </x:c>
      <x:c r="D116" s="2" t="str">
        <x:v>os_cfar</x:v>
      </x:c>
      <x:c r="E116" s="2" t="str">
        <x:v>noise_only</x:v>
      </x:c>
      <x:c r="F116" s="2" t="str">
        <x:v>58</x:v>
      </x:c>
      <x:c r="G116" s="2" t="str">
        <x:v>3104261</x:v>
      </x:c>
      <x:c r="H116" s="2" t="str">
        <x:v>2048000.0</x:v>
      </x:c>
      <x:c r="I116" s="2" t="str">
        <x:v>8192</x:v>
      </x:c>
      <x:c r="J116" s="2" t="str">
        <x:v>250.0</x:v>
      </x:c>
      <x:c r="K116" s="2" t="str">
        <x:v>0</x:v>
      </x:c>
      <x:c r="L116" s="2" t="str">
        <x:v>3</x:v>
      </x:c>
      <x:c r="M116" s="2" t="str">
        <x:v>0</x:v>
      </x:c>
      <x:c r="N116" s="2" t="str">
        <x:v>3</x:v>
      </x:c>
      <x:c r="O116" s="2" t="str">
        <x:v>0</x:v>
      </x:c>
      <x:c r="P116" s="2" t="str">
        <x:v>true</x:v>
      </x:c>
      <x:c r="Q116" s="2" t="str">
        <x:v>NA</x:v>
      </x:c>
      <x:c r="R116" s="2" t="str">
        <x:v>14.095332997385412</x:v>
      </x:c>
      <x:c r="S116" s="2" t="str">
        <x:v>48.13963649436117</x:v>
      </x:c>
    </x:row>
    <x:row r="117">
      <x:c r="A117" s="2" t="str">
        <x:v>DE-CMP-01</x:v>
      </x:c>
      <x:c r="B117" s="2" t="str">
        <x:v>CFG-C01</x:v>
      </x:c>
      <x:c r="C117" s="2" t="n">
        <x:v>46227.70238086805</x:v>
      </x:c>
      <x:c r="D117" s="2" t="str">
        <x:v>adaptive</x:v>
      </x:c>
      <x:c r="E117" s="2" t="str">
        <x:v>noise_only</x:v>
      </x:c>
      <x:c r="F117" s="2" t="str">
        <x:v>58</x:v>
      </x:c>
      <x:c r="G117" s="2" t="str">
        <x:v>3104261</x:v>
      </x:c>
      <x:c r="H117" s="2" t="str">
        <x:v>2048000.0</x:v>
      </x:c>
      <x:c r="I117" s="2" t="str">
        <x:v>8192</x:v>
      </x:c>
      <x:c r="J117" s="2" t="str">
        <x:v>250.0</x:v>
      </x:c>
      <x:c r="K117" s="2" t="str">
        <x:v>0</x:v>
      </x:c>
      <x:c r="L117" s="2" t="str">
        <x:v>3</x:v>
      </x:c>
      <x:c r="M117" s="2" t="str">
        <x:v>0</x:v>
      </x:c>
      <x:c r="N117" s="2" t="str">
        <x:v>3</x:v>
      </x:c>
      <x:c r="O117" s="2" t="str">
        <x:v>0</x:v>
      </x:c>
      <x:c r="P117" s="2" t="str">
        <x:v>true</x:v>
      </x:c>
      <x:c r="Q117" s="2" t="str">
        <x:v>NA</x:v>
      </x:c>
      <x:c r="R117" s="2" t="str">
        <x:v>0.44566599535755813</x:v>
      </x:c>
      <x:c r="S117" s="2" t="str">
        <x:v>46.40928300069919</x:v>
      </x:c>
    </x:row>
    <x:row r="118">
      <x:c r="A118" s="2" t="str">
        <x:v>DE-CMP-01</x:v>
      </x:c>
      <x:c r="B118" s="2" t="str">
        <x:v>CFG-C01</x:v>
      </x:c>
      <x:c r="C118" s="2" t="n">
        <x:v>46227.70238086805</x:v>
      </x:c>
      <x:c r="D118" s="2" t="str">
        <x:v>adaptive</x:v>
      </x:c>
      <x:c r="E118" s="2" t="str">
        <x:v>noise_only</x:v>
      </x:c>
      <x:c r="F118" s="2" t="str">
        <x:v>59</x:v>
      </x:c>
      <x:c r="G118" s="2" t="str">
        <x:v>3104262</x:v>
      </x:c>
      <x:c r="H118" s="2" t="str">
        <x:v>2048000.0</x:v>
      </x:c>
      <x:c r="I118" s="2" t="str">
        <x:v>8192</x:v>
      </x:c>
      <x:c r="J118" s="2" t="str">
        <x:v>250.0</x:v>
      </x:c>
      <x:c r="K118" s="2" t="str">
        <x:v>0</x:v>
      </x:c>
      <x:c r="L118" s="2" t="str">
        <x:v>3</x:v>
      </x:c>
      <x:c r="M118" s="2" t="str">
        <x:v>0</x:v>
      </x:c>
      <x:c r="N118" s="2" t="str">
        <x:v>3</x:v>
      </x:c>
      <x:c r="O118" s="2" t="str">
        <x:v>0</x:v>
      </x:c>
      <x:c r="P118" s="2" t="str">
        <x:v>true</x:v>
      </x:c>
      <x:c r="Q118" s="2" t="str">
        <x:v>NA</x:v>
      </x:c>
      <x:c r="R118" s="2" t="str">
        <x:v>0.42875000508502126</x:v>
      </x:c>
      <x:c r="S118" s="2" t="str">
        <x:v>46.39489148007601</x:v>
      </x:c>
    </x:row>
    <x:row r="119">
      <x:c r="A119" s="2" t="str">
        <x:v>DE-CMP-01</x:v>
      </x:c>
      <x:c r="B119" s="2" t="str">
        <x:v>CFG-C01</x:v>
      </x:c>
      <x:c r="C119" s="2" t="n">
        <x:v>46227.70238086805</x:v>
      </x:c>
      <x:c r="D119" s="2" t="str">
        <x:v>os_cfar</x:v>
      </x:c>
      <x:c r="E119" s="2" t="str">
        <x:v>noise_only</x:v>
      </x:c>
      <x:c r="F119" s="2" t="str">
        <x:v>59</x:v>
      </x:c>
      <x:c r="G119" s="2" t="str">
        <x:v>3104262</x:v>
      </x:c>
      <x:c r="H119" s="2" t="str">
        <x:v>2048000.0</x:v>
      </x:c>
      <x:c r="I119" s="2" t="str">
        <x:v>8192</x:v>
      </x:c>
      <x:c r="J119" s="2" t="str">
        <x:v>250.0</x:v>
      </x:c>
      <x:c r="K119" s="2" t="str">
        <x:v>0</x:v>
      </x:c>
      <x:c r="L119" s="2" t="str">
        <x:v>3</x:v>
      </x:c>
      <x:c r="M119" s="2" t="str">
        <x:v>0</x:v>
      </x:c>
      <x:c r="N119" s="2" t="str">
        <x:v>3</x:v>
      </x:c>
      <x:c r="O119" s="2" t="str">
        <x:v>0</x:v>
      </x:c>
      <x:c r="P119" s="2" t="str">
        <x:v>true</x:v>
      </x:c>
      <x:c r="Q119" s="2" t="str">
        <x:v>NA</x:v>
      </x:c>
      <x:c r="R119" s="2" t="str">
        <x:v>13.96758398914244</x:v>
      </x:c>
      <x:c r="S119" s="2" t="str">
        <x:v>48.21934549279439</x:v>
      </x:c>
    </x:row>
    <x:row r="120">
      <x:c r="A120" s="2" t="str">
        <x:v>DE-CMP-01</x:v>
      </x:c>
      <x:c r="B120" s="2" t="str">
        <x:v>CFG-C01</x:v>
      </x:c>
      <x:c r="C120" s="2" t="n">
        <x:v>46227.70238086805</x:v>
      </x:c>
      <x:c r="D120" s="2" t="str">
        <x:v>os_cfar</x:v>
      </x:c>
      <x:c r="E120" s="2" t="str">
        <x:v>noise_only</x:v>
      </x:c>
      <x:c r="F120" s="2" t="str">
        <x:v>60</x:v>
      </x:c>
      <x:c r="G120" s="2" t="str">
        <x:v>3104263</x:v>
      </x:c>
      <x:c r="H120" s="2" t="str">
        <x:v>2048000.0</x:v>
      </x:c>
      <x:c r="I120" s="2" t="str">
        <x:v>8192</x:v>
      </x:c>
      <x:c r="J120" s="2" t="str">
        <x:v>250.0</x:v>
      </x:c>
      <x:c r="K120" s="2" t="str">
        <x:v>0</x:v>
      </x:c>
      <x:c r="L120" s="2" t="str">
        <x:v>3</x:v>
      </x:c>
      <x:c r="M120" s="2" t="str">
        <x:v>0</x:v>
      </x:c>
      <x:c r="N120" s="2" t="str">
        <x:v>3</x:v>
      </x:c>
      <x:c r="O120" s="2" t="str">
        <x:v>0</x:v>
      </x:c>
      <x:c r="P120" s="2" t="str">
        <x:v>true</x:v>
      </x:c>
      <x:c r="Q120" s="2" t="str">
        <x:v>NA</x:v>
      </x:c>
      <x:c r="R120" s="2" t="str">
        <x:v>13.706541998544708</x:v>
      </x:c>
      <x:c r="S120" s="2" t="str">
        <x:v>48.192961348659296</x:v>
      </x:c>
    </x:row>
    <x:row r="121">
      <x:c r="A121" s="2" t="str">
        <x:v>DE-CMP-01</x:v>
      </x:c>
      <x:c r="B121" s="2" t="str">
        <x:v>CFG-C01</x:v>
      </x:c>
      <x:c r="C121" s="2" t="n">
        <x:v>46227.70238086805</x:v>
      </x:c>
      <x:c r="D121" s="2" t="str">
        <x:v>adaptive</x:v>
      </x:c>
      <x:c r="E121" s="2" t="str">
        <x:v>noise_only</x:v>
      </x:c>
      <x:c r="F121" s="2" t="str">
        <x:v>60</x:v>
      </x:c>
      <x:c r="G121" s="2" t="str">
        <x:v>3104263</x:v>
      </x:c>
      <x:c r="H121" s="2" t="str">
        <x:v>2048000.0</x:v>
      </x:c>
      <x:c r="I121" s="2" t="str">
        <x:v>8192</x:v>
      </x:c>
      <x:c r="J121" s="2" t="str">
        <x:v>250.0</x:v>
      </x:c>
      <x:c r="K121" s="2" t="str">
        <x:v>0</x:v>
      </x:c>
      <x:c r="L121" s="2" t="str">
        <x:v>3</x:v>
      </x:c>
      <x:c r="M121" s="2" t="str">
        <x:v>0</x:v>
      </x:c>
      <x:c r="N121" s="2" t="str">
        <x:v>3</x:v>
      </x:c>
      <x:c r="O121" s="2" t="str">
        <x:v>0</x:v>
      </x:c>
      <x:c r="P121" s="2" t="str">
        <x:v>true</x:v>
      </x:c>
      <x:c r="Q121" s="2" t="str">
        <x:v>NA</x:v>
      </x:c>
      <x:c r="R121" s="2" t="str">
        <x:v>0.41541599784977734</x:v>
      </x:c>
      <x:c r="S121" s="2" t="str">
        <x:v>46.55559779916823</x:v>
      </x:c>
    </x:row>
    <x:row r="122">
      <x:c r="A122" s="2" t="str">
        <x:v>DE-CMP-01</x:v>
      </x:c>
      <x:c r="B122" s="2" t="str">
        <x:v>CFG-C01</x:v>
      </x:c>
      <x:c r="C122" s="2" t="n">
        <x:v>46227.70238086805</x:v>
      </x:c>
      <x:c r="D122" s="2" t="str">
        <x:v>adaptive</x:v>
      </x:c>
      <x:c r="E122" s="2" t="str">
        <x:v>noise_only</x:v>
      </x:c>
      <x:c r="F122" s="2" t="str">
        <x:v>61</x:v>
      </x:c>
      <x:c r="G122" s="2" t="str">
        <x:v>3104264</x:v>
      </x:c>
      <x:c r="H122" s="2" t="str">
        <x:v>2048000.0</x:v>
      </x:c>
      <x:c r="I122" s="2" t="str">
        <x:v>8192</x:v>
      </x:c>
      <x:c r="J122" s="2" t="str">
        <x:v>250.0</x:v>
      </x:c>
      <x:c r="K122" s="2" t="str">
        <x:v>0</x:v>
      </x:c>
      <x:c r="L122" s="2" t="str">
        <x:v>3</x:v>
      </x:c>
      <x:c r="M122" s="2" t="str">
        <x:v>0</x:v>
      </x:c>
      <x:c r="N122" s="2" t="str">
        <x:v>3</x:v>
      </x:c>
      <x:c r="O122" s="2" t="str">
        <x:v>0</x:v>
      </x:c>
      <x:c r="P122" s="2" t="str">
        <x:v>true</x:v>
      </x:c>
      <x:c r="Q122" s="2" t="str">
        <x:v>NA</x:v>
      </x:c>
      <x:c r="R122" s="2" t="str">
        <x:v>0.4130000015720725</x:v>
      </x:c>
      <x:c r="S122" s="2" t="str">
        <x:v>46.699248660737204</x:v>
      </x:c>
    </x:row>
    <x:row r="123">
      <x:c r="A123" s="2" t="str">
        <x:v>DE-CMP-01</x:v>
      </x:c>
      <x:c r="B123" s="2" t="str">
        <x:v>CFG-C01</x:v>
      </x:c>
      <x:c r="C123" s="2" t="n">
        <x:v>46227.70238086805</x:v>
      </x:c>
      <x:c r="D123" s="2" t="str">
        <x:v>os_cfar</x:v>
      </x:c>
      <x:c r="E123" s="2" t="str">
        <x:v>noise_only</x:v>
      </x:c>
      <x:c r="F123" s="2" t="str">
        <x:v>61</x:v>
      </x:c>
      <x:c r="G123" s="2" t="str">
        <x:v>3104264</x:v>
      </x:c>
      <x:c r="H123" s="2" t="str">
        <x:v>2048000.0</x:v>
      </x:c>
      <x:c r="I123" s="2" t="str">
        <x:v>8192</x:v>
      </x:c>
      <x:c r="J123" s="2" t="str">
        <x:v>250.0</x:v>
      </x:c>
      <x:c r="K123" s="2" t="str">
        <x:v>0</x:v>
      </x:c>
      <x:c r="L123" s="2" t="str">
        <x:v>3</x:v>
      </x:c>
      <x:c r="M123" s="2" t="str">
        <x:v>0</x:v>
      </x:c>
      <x:c r="N123" s="2" t="str">
        <x:v>3</x:v>
      </x:c>
      <x:c r="O123" s="2" t="str">
        <x:v>0</x:v>
      </x:c>
      <x:c r="P123" s="2" t="str">
        <x:v>true</x:v>
      </x:c>
      <x:c r="Q123" s="2" t="str">
        <x:v>NA</x:v>
      </x:c>
      <x:c r="R123" s="2" t="str">
        <x:v>13.376791990594938</x:v>
      </x:c>
      <x:c r="S123" s="2" t="str">
        <x:v>48.24898167353901</x:v>
      </x:c>
    </x:row>
    <x:row r="124">
      <x:c r="A124" s="2" t="str">
        <x:v>DE-CMP-01</x:v>
      </x:c>
      <x:c r="B124" s="2" t="str">
        <x:v>CFG-C01</x:v>
      </x:c>
      <x:c r="C124" s="2" t="n">
        <x:v>46227.70238086805</x:v>
      </x:c>
      <x:c r="D124" s="2" t="str">
        <x:v>os_cfar</x:v>
      </x:c>
      <x:c r="E124" s="2" t="str">
        <x:v>noise_only</x:v>
      </x:c>
      <x:c r="F124" s="2" t="str">
        <x:v>62</x:v>
      </x:c>
      <x:c r="G124" s="2" t="str">
        <x:v>3104265</x:v>
      </x:c>
      <x:c r="H124" s="2" t="str">
        <x:v>2048000.0</x:v>
      </x:c>
      <x:c r="I124" s="2" t="str">
        <x:v>8192</x:v>
      </x:c>
      <x:c r="J124" s="2" t="str">
        <x:v>250.0</x:v>
      </x:c>
      <x:c r="K124" s="2" t="str">
        <x:v>0</x:v>
      </x:c>
      <x:c r="L124" s="2" t="str">
        <x:v>3</x:v>
      </x:c>
      <x:c r="M124" s="2" t="str">
        <x:v>0</x:v>
      </x:c>
      <x:c r="N124" s="2" t="str">
        <x:v>3</x:v>
      </x:c>
      <x:c r="O124" s="2" t="str">
        <x:v>0</x:v>
      </x:c>
      <x:c r="P124" s="2" t="str">
        <x:v>true</x:v>
      </x:c>
      <x:c r="Q124" s="2" t="str">
        <x:v>NA</x:v>
      </x:c>
      <x:c r="R124" s="2" t="str">
        <x:v>13.611999995191582</x:v>
      </x:c>
      <x:c r="S124" s="2" t="str">
        <x:v>48.249557488649806</x:v>
      </x:c>
    </x:row>
    <x:row r="125">
      <x:c r="A125" s="2" t="str">
        <x:v>DE-CMP-01</x:v>
      </x:c>
      <x:c r="B125" s="2" t="str">
        <x:v>CFG-C01</x:v>
      </x:c>
      <x:c r="C125" s="2" t="n">
        <x:v>46227.70238086805</x:v>
      </x:c>
      <x:c r="D125" s="2" t="str">
        <x:v>adaptive</x:v>
      </x:c>
      <x:c r="E125" s="2" t="str">
        <x:v>noise_only</x:v>
      </x:c>
      <x:c r="F125" s="2" t="str">
        <x:v>62</x:v>
      </x:c>
      <x:c r="G125" s="2" t="str">
        <x:v>3104265</x:v>
      </x:c>
      <x:c r="H125" s="2" t="str">
        <x:v>2048000.0</x:v>
      </x:c>
      <x:c r="I125" s="2" t="str">
        <x:v>8192</x:v>
      </x:c>
      <x:c r="J125" s="2" t="str">
        <x:v>250.0</x:v>
      </x:c>
      <x:c r="K125" s="2" t="str">
        <x:v>0</x:v>
      </x:c>
      <x:c r="L125" s="2" t="str">
        <x:v>3</x:v>
      </x:c>
      <x:c r="M125" s="2" t="str">
        <x:v>0</x:v>
      </x:c>
      <x:c r="N125" s="2" t="str">
        <x:v>3</x:v>
      </x:c>
      <x:c r="O125" s="2" t="str">
        <x:v>0</x:v>
      </x:c>
      <x:c r="P125" s="2" t="str">
        <x:v>true</x:v>
      </x:c>
      <x:c r="Q125" s="2" t="str">
        <x:v>NA</x:v>
      </x:c>
      <x:c r="R125" s="2" t="str">
        <x:v>0.37316700036171824</x:v>
      </x:c>
      <x:c r="S125" s="2" t="str">
        <x:v>46.41249261353397</x:v>
      </x:c>
    </x:row>
    <x:row r="126">
      <x:c r="A126" s="2" t="str">
        <x:v>DE-CMP-01</x:v>
      </x:c>
      <x:c r="B126" s="2" t="str">
        <x:v>CFG-C01</x:v>
      </x:c>
      <x:c r="C126" s="2" t="n">
        <x:v>46227.70238086805</x:v>
      </x:c>
      <x:c r="D126" s="2" t="str">
        <x:v>adaptive</x:v>
      </x:c>
      <x:c r="E126" s="2" t="str">
        <x:v>noise_only</x:v>
      </x:c>
      <x:c r="F126" s="2" t="str">
        <x:v>63</x:v>
      </x:c>
      <x:c r="G126" s="2" t="str">
        <x:v>3104266</x:v>
      </x:c>
      <x:c r="H126" s="2" t="str">
        <x:v>2048000.0</x:v>
      </x:c>
      <x:c r="I126" s="2" t="str">
        <x:v>8192</x:v>
      </x:c>
      <x:c r="J126" s="2" t="str">
        <x:v>250.0</x:v>
      </x:c>
      <x:c r="K126" s="2" t="str">
        <x:v>0</x:v>
      </x:c>
      <x:c r="L126" s="2" t="str">
        <x:v>3</x:v>
      </x:c>
      <x:c r="M126" s="2" t="str">
        <x:v>0</x:v>
      </x:c>
      <x:c r="N126" s="2" t="str">
        <x:v>3</x:v>
      </x:c>
      <x:c r="O126" s="2" t="str">
        <x:v>0</x:v>
      </x:c>
      <x:c r="P126" s="2" t="str">
        <x:v>true</x:v>
      </x:c>
      <x:c r="Q126" s="2" t="str">
        <x:v>NA</x:v>
      </x:c>
      <x:c r="R126" s="2" t="str">
        <x:v>0.38295799458865076</x:v>
      </x:c>
      <x:c r="S126" s="2" t="str">
        <x:v>46.63391758593218</x:v>
      </x:c>
    </x:row>
    <x:row r="127">
      <x:c r="A127" s="2" t="str">
        <x:v>DE-CMP-01</x:v>
      </x:c>
      <x:c r="B127" s="2" t="str">
        <x:v>CFG-C01</x:v>
      </x:c>
      <x:c r="C127" s="2" t="n">
        <x:v>46227.70238086805</x:v>
      </x:c>
      <x:c r="D127" s="2" t="str">
        <x:v>os_cfar</x:v>
      </x:c>
      <x:c r="E127" s="2" t="str">
        <x:v>noise_only</x:v>
      </x:c>
      <x:c r="F127" s="2" t="str">
        <x:v>63</x:v>
      </x:c>
      <x:c r="G127" s="2" t="str">
        <x:v>3104266</x:v>
      </x:c>
      <x:c r="H127" s="2" t="str">
        <x:v>2048000.0</x:v>
      </x:c>
      <x:c r="I127" s="2" t="str">
        <x:v>8192</x:v>
      </x:c>
      <x:c r="J127" s="2" t="str">
        <x:v>250.0</x:v>
      </x:c>
      <x:c r="K127" s="2" t="str">
        <x:v>0</x:v>
      </x:c>
      <x:c r="L127" s="2" t="str">
        <x:v>3</x:v>
      </x:c>
      <x:c r="M127" s="2" t="str">
        <x:v>0</x:v>
      </x:c>
      <x:c r="N127" s="2" t="str">
        <x:v>3</x:v>
      </x:c>
      <x:c r="O127" s="2" t="str">
        <x:v>0</x:v>
      </x:c>
      <x:c r="P127" s="2" t="str">
        <x:v>true</x:v>
      </x:c>
      <x:c r="Q127" s="2" t="str">
        <x:v>NA</x:v>
      </x:c>
      <x:c r="R127" s="2" t="str">
        <x:v>13.528958006645553</x:v>
      </x:c>
      <x:c r="S127" s="2" t="str">
        <x:v>48.345218540407394</x:v>
      </x:c>
    </x:row>
    <x:row r="128">
      <x:c r="A128" s="2" t="str">
        <x:v>DE-CMP-01</x:v>
      </x:c>
      <x:c r="B128" s="2" t="str">
        <x:v>CFG-C01</x:v>
      </x:c>
      <x:c r="C128" s="2" t="n">
        <x:v>46227.70238086805</x:v>
      </x:c>
      <x:c r="D128" s="2" t="str">
        <x:v>os_cfar</x:v>
      </x:c>
      <x:c r="E128" s="2" t="str">
        <x:v>noise_only</x:v>
      </x:c>
      <x:c r="F128" s="2" t="str">
        <x:v>64</x:v>
      </x:c>
      <x:c r="G128" s="2" t="str">
        <x:v>3104267</x:v>
      </x:c>
      <x:c r="H128" s="2" t="str">
        <x:v>2048000.0</x:v>
      </x:c>
      <x:c r="I128" s="2" t="str">
        <x:v>8192</x:v>
      </x:c>
      <x:c r="J128" s="2" t="str">
        <x:v>250.0</x:v>
      </x:c>
      <x:c r="K128" s="2" t="str">
        <x:v>0</x:v>
      </x:c>
      <x:c r="L128" s="2" t="str">
        <x:v>3</x:v>
      </x:c>
      <x:c r="M128" s="2" t="str">
        <x:v>0</x:v>
      </x:c>
      <x:c r="N128" s="2" t="str">
        <x:v>3</x:v>
      </x:c>
      <x:c r="O128" s="2" t="str">
        <x:v>0</x:v>
      </x:c>
      <x:c r="P128" s="2" t="str">
        <x:v>true</x:v>
      </x:c>
      <x:c r="Q128" s="2" t="str">
        <x:v>NA</x:v>
      </x:c>
      <x:c r="R128" s="2" t="str">
        <x:v>13.547916998504661</x:v>
      </x:c>
      <x:c r="S128" s="2" t="str">
        <x:v>48.37284099701263</x:v>
      </x:c>
    </x:row>
    <x:row r="129">
      <x:c r="A129" s="2" t="str">
        <x:v>DE-CMP-01</x:v>
      </x:c>
      <x:c r="B129" s="2" t="str">
        <x:v>CFG-C01</x:v>
      </x:c>
      <x:c r="C129" s="2" t="n">
        <x:v>46227.70238086805</x:v>
      </x:c>
      <x:c r="D129" s="2" t="str">
        <x:v>adaptive</x:v>
      </x:c>
      <x:c r="E129" s="2" t="str">
        <x:v>noise_only</x:v>
      </x:c>
      <x:c r="F129" s="2" t="str">
        <x:v>64</x:v>
      </x:c>
      <x:c r="G129" s="2" t="str">
        <x:v>3104267</x:v>
      </x:c>
      <x:c r="H129" s="2" t="str">
        <x:v>2048000.0</x:v>
      </x:c>
      <x:c r="I129" s="2" t="str">
        <x:v>8192</x:v>
      </x:c>
      <x:c r="J129" s="2" t="str">
        <x:v>250.0</x:v>
      </x:c>
      <x:c r="K129" s="2" t="str">
        <x:v>0</x:v>
      </x:c>
      <x:c r="L129" s="2" t="str">
        <x:v>3</x:v>
      </x:c>
      <x:c r="M129" s="2" t="str">
        <x:v>0</x:v>
      </x:c>
      <x:c r="N129" s="2" t="str">
        <x:v>3</x:v>
      </x:c>
      <x:c r="O129" s="2" t="str">
        <x:v>0</x:v>
      </x:c>
      <x:c r="P129" s="2" t="str">
        <x:v>true</x:v>
      </x:c>
      <x:c r="Q129" s="2" t="str">
        <x:v>NA</x:v>
      </x:c>
      <x:c r="R129" s="2" t="str">
        <x:v>0.4513339954428375</x:v>
      </x:c>
      <x:c r="S129" s="2" t="str">
        <x:v>46.614375281447956</x:v>
      </x:c>
    </x:row>
    <x:row r="130">
      <x:c r="A130" s="2" t="str">
        <x:v>DE-CMP-01</x:v>
      </x:c>
      <x:c r="B130" s="2" t="str">
        <x:v>CFG-C01</x:v>
      </x:c>
      <x:c r="C130" s="2" t="n">
        <x:v>46227.70238086805</x:v>
      </x:c>
      <x:c r="D130" s="2" t="str">
        <x:v>adaptive</x:v>
      </x:c>
      <x:c r="E130" s="2" t="str">
        <x:v>noise_only</x:v>
      </x:c>
      <x:c r="F130" s="2" t="str">
        <x:v>65</x:v>
      </x:c>
      <x:c r="G130" s="2" t="str">
        <x:v>3104268</x:v>
      </x:c>
      <x:c r="H130" s="2" t="str">
        <x:v>2048000.0</x:v>
      </x:c>
      <x:c r="I130" s="2" t="str">
        <x:v>8192</x:v>
      </x:c>
      <x:c r="J130" s="2" t="str">
        <x:v>250.0</x:v>
      </x:c>
      <x:c r="K130" s="2" t="str">
        <x:v>0</x:v>
      </x:c>
      <x:c r="L130" s="2" t="str">
        <x:v>3</x:v>
      </x:c>
      <x:c r="M130" s="2" t="str">
        <x:v>0</x:v>
      </x:c>
      <x:c r="N130" s="2" t="str">
        <x:v>3</x:v>
      </x:c>
      <x:c r="O130" s="2" t="str">
        <x:v>0</x:v>
      </x:c>
      <x:c r="P130" s="2" t="str">
        <x:v>true</x:v>
      </x:c>
      <x:c r="Q130" s="2" t="str">
        <x:v>NA</x:v>
      </x:c>
      <x:c r="R130" s="2" t="str">
        <x:v>0.4273329977877438</x:v>
      </x:c>
      <x:c r="S130" s="2" t="str">
        <x:v>46.37550334016829</x:v>
      </x:c>
    </x:row>
    <x:row r="131">
      <x:c r="A131" s="2" t="str">
        <x:v>DE-CMP-01</x:v>
      </x:c>
      <x:c r="B131" s="2" t="str">
        <x:v>CFG-C01</x:v>
      </x:c>
      <x:c r="C131" s="2" t="n">
        <x:v>46227.70238086805</x:v>
      </x:c>
      <x:c r="D131" s="2" t="str">
        <x:v>os_cfar</x:v>
      </x:c>
      <x:c r="E131" s="2" t="str">
        <x:v>noise_only</x:v>
      </x:c>
      <x:c r="F131" s="2" t="str">
        <x:v>65</x:v>
      </x:c>
      <x:c r="G131" s="2" t="str">
        <x:v>3104268</x:v>
      </x:c>
      <x:c r="H131" s="2" t="str">
        <x:v>2048000.0</x:v>
      </x:c>
      <x:c r="I131" s="2" t="str">
        <x:v>8192</x:v>
      </x:c>
      <x:c r="J131" s="2" t="str">
        <x:v>250.0</x:v>
      </x:c>
      <x:c r="K131" s="2" t="str">
        <x:v>0</x:v>
      </x:c>
      <x:c r="L131" s="2" t="str">
        <x:v>3</x:v>
      </x:c>
      <x:c r="M131" s="2" t="str">
        <x:v>0</x:v>
      </x:c>
      <x:c r="N131" s="2" t="str">
        <x:v>3</x:v>
      </x:c>
      <x:c r="O131" s="2" t="str">
        <x:v>0</x:v>
      </x:c>
      <x:c r="P131" s="2" t="str">
        <x:v>true</x:v>
      </x:c>
      <x:c r="Q131" s="2" t="str">
        <x:v>NA</x:v>
      </x:c>
      <x:c r="R131" s="2" t="str">
        <x:v>13.57412499783095</x:v>
      </x:c>
      <x:c r="S131" s="2" t="str">
        <x:v>48.155387026667526</x:v>
      </x:c>
    </x:row>
    <x:row r="132">
      <x:c r="A132" s="2" t="str">
        <x:v>DE-CMP-01</x:v>
      </x:c>
      <x:c r="B132" s="2" t="str">
        <x:v>CFG-C01</x:v>
      </x:c>
      <x:c r="C132" s="2" t="n">
        <x:v>46227.70238086805</x:v>
      </x:c>
      <x:c r="D132" s="2" t="str">
        <x:v>os_cfar</x:v>
      </x:c>
      <x:c r="E132" s="2" t="str">
        <x:v>noise_only</x:v>
      </x:c>
      <x:c r="F132" s="2" t="str">
        <x:v>66</x:v>
      </x:c>
      <x:c r="G132" s="2" t="str">
        <x:v>3104269</x:v>
      </x:c>
      <x:c r="H132" s="2" t="str">
        <x:v>2048000.0</x:v>
      </x:c>
      <x:c r="I132" s="2" t="str">
        <x:v>8192</x:v>
      </x:c>
      <x:c r="J132" s="2" t="str">
        <x:v>250.0</x:v>
      </x:c>
      <x:c r="K132" s="2" t="str">
        <x:v>0</x:v>
      </x:c>
      <x:c r="L132" s="2" t="str">
        <x:v>3</x:v>
      </x:c>
      <x:c r="M132" s="2" t="str">
        <x:v>0</x:v>
      </x:c>
      <x:c r="N132" s="2" t="str">
        <x:v>3</x:v>
      </x:c>
      <x:c r="O132" s="2" t="str">
        <x:v>0</x:v>
      </x:c>
      <x:c r="P132" s="2" t="str">
        <x:v>true</x:v>
      </x:c>
      <x:c r="Q132" s="2" t="str">
        <x:v>NA</x:v>
      </x:c>
      <x:c r="R132" s="2" t="str">
        <x:v>13.636083007440902</x:v>
      </x:c>
      <x:c r="S132" s="2" t="str">
        <x:v>48.216101389055964</x:v>
      </x:c>
    </x:row>
    <x:row r="133">
      <x:c r="A133" s="2" t="str">
        <x:v>DE-CMP-01</x:v>
      </x:c>
      <x:c r="B133" s="2" t="str">
        <x:v>CFG-C01</x:v>
      </x:c>
      <x:c r="C133" s="2" t="n">
        <x:v>46227.70238086805</x:v>
      </x:c>
      <x:c r="D133" s="2" t="str">
        <x:v>adaptive</x:v>
      </x:c>
      <x:c r="E133" s="2" t="str">
        <x:v>noise_only</x:v>
      </x:c>
      <x:c r="F133" s="2" t="str">
        <x:v>66</x:v>
      </x:c>
      <x:c r="G133" s="2" t="str">
        <x:v>3104269</x:v>
      </x:c>
      <x:c r="H133" s="2" t="str">
        <x:v>2048000.0</x:v>
      </x:c>
      <x:c r="I133" s="2" t="str">
        <x:v>8192</x:v>
      </x:c>
      <x:c r="J133" s="2" t="str">
        <x:v>250.0</x:v>
      </x:c>
      <x:c r="K133" s="2" t="str">
        <x:v>0</x:v>
      </x:c>
      <x:c r="L133" s="2" t="str">
        <x:v>3</x:v>
      </x:c>
      <x:c r="M133" s="2" t="str">
        <x:v>0</x:v>
      </x:c>
      <x:c r="N133" s="2" t="str">
        <x:v>3</x:v>
      </x:c>
      <x:c r="O133" s="2" t="str">
        <x:v>0</x:v>
      </x:c>
      <x:c r="P133" s="2" t="str">
        <x:v>true</x:v>
      </x:c>
      <x:c r="Q133" s="2" t="str">
        <x:v>NA</x:v>
      </x:c>
      <x:c r="R133" s="2" t="str">
        <x:v>0.4547499993350357</x:v>
      </x:c>
      <x:c r="S133" s="2" t="str">
        <x:v>46.366353786321056</x:v>
      </x:c>
    </x:row>
    <x:row r="134">
      <x:c r="A134" s="2" t="str">
        <x:v>DE-CMP-01</x:v>
      </x:c>
      <x:c r="B134" s="2" t="str">
        <x:v>CFG-C01</x:v>
      </x:c>
      <x:c r="C134" s="2" t="n">
        <x:v>46227.70238086805</x:v>
      </x:c>
      <x:c r="D134" s="2" t="str">
        <x:v>adaptive</x:v>
      </x:c>
      <x:c r="E134" s="2" t="str">
        <x:v>noise_only</x:v>
      </x:c>
      <x:c r="F134" s="2" t="str">
        <x:v>67</x:v>
      </x:c>
      <x:c r="G134" s="2" t="str">
        <x:v>3104270</x:v>
      </x:c>
      <x:c r="H134" s="2" t="str">
        <x:v>2048000.0</x:v>
      </x:c>
      <x:c r="I134" s="2" t="str">
        <x:v>8192</x:v>
      </x:c>
      <x:c r="J134" s="2" t="str">
        <x:v>250.0</x:v>
      </x:c>
      <x:c r="K134" s="2" t="str">
        <x:v>0</x:v>
      </x:c>
      <x:c r="L134" s="2" t="str">
        <x:v>3</x:v>
      </x:c>
      <x:c r="M134" s="2" t="str">
        <x:v>0</x:v>
      </x:c>
      <x:c r="N134" s="2" t="str">
        <x:v>3</x:v>
      </x:c>
      <x:c r="O134" s="2" t="str">
        <x:v>0</x:v>
      </x:c>
      <x:c r="P134" s="2" t="str">
        <x:v>true</x:v>
      </x:c>
      <x:c r="Q134" s="2" t="str">
        <x:v>NA</x:v>
      </x:c>
      <x:c r="R134" s="2" t="str">
        <x:v>0.3846249892376363</x:v>
      </x:c>
      <x:c r="S134" s="2" t="str">
        <x:v>46.41733070835969</x:v>
      </x:c>
    </x:row>
    <x:row r="135">
      <x:c r="A135" s="2" t="str">
        <x:v>DE-CMP-01</x:v>
      </x:c>
      <x:c r="B135" s="2" t="str">
        <x:v>CFG-C01</x:v>
      </x:c>
      <x:c r="C135" s="2" t="n">
        <x:v>46227.70238086805</x:v>
      </x:c>
      <x:c r="D135" s="2" t="str">
        <x:v>os_cfar</x:v>
      </x:c>
      <x:c r="E135" s="2" t="str">
        <x:v>noise_only</x:v>
      </x:c>
      <x:c r="F135" s="2" t="str">
        <x:v>67</x:v>
      </x:c>
      <x:c r="G135" s="2" t="str">
        <x:v>3104270</x:v>
      </x:c>
      <x:c r="H135" s="2" t="str">
        <x:v>2048000.0</x:v>
      </x:c>
      <x:c r="I135" s="2" t="str">
        <x:v>8192</x:v>
      </x:c>
      <x:c r="J135" s="2" t="str">
        <x:v>250.0</x:v>
      </x:c>
      <x:c r="K135" s="2" t="str">
        <x:v>0</x:v>
      </x:c>
      <x:c r="L135" s="2" t="str">
        <x:v>3</x:v>
      </x:c>
      <x:c r="M135" s="2" t="str">
        <x:v>0</x:v>
      </x:c>
      <x:c r="N135" s="2" t="str">
        <x:v>3</x:v>
      </x:c>
      <x:c r="O135" s="2" t="str">
        <x:v>0</x:v>
      </x:c>
      <x:c r="P135" s="2" t="str">
        <x:v>true</x:v>
      </x:c>
      <x:c r="Q135" s="2" t="str">
        <x:v>NA</x:v>
      </x:c>
      <x:c r="R135" s="2" t="str">
        <x:v>13.567125002737157</x:v>
      </x:c>
      <x:c r="S135" s="2" t="str">
        <x:v>48.18230793941821</x:v>
      </x:c>
    </x:row>
    <x:row r="136">
      <x:c r="A136" s="2" t="str">
        <x:v>DE-CMP-01</x:v>
      </x:c>
      <x:c r="B136" s="2" t="str">
        <x:v>CFG-C01</x:v>
      </x:c>
      <x:c r="C136" s="2" t="n">
        <x:v>46227.70238086805</x:v>
      </x:c>
      <x:c r="D136" s="2" t="str">
        <x:v>os_cfar</x:v>
      </x:c>
      <x:c r="E136" s="2" t="str">
        <x:v>noise_only</x:v>
      </x:c>
      <x:c r="F136" s="2" t="str">
        <x:v>68</x:v>
      </x:c>
      <x:c r="G136" s="2" t="str">
        <x:v>3104271</x:v>
      </x:c>
      <x:c r="H136" s="2" t="str">
        <x:v>2048000.0</x:v>
      </x:c>
      <x:c r="I136" s="2" t="str">
        <x:v>8192</x:v>
      </x:c>
      <x:c r="J136" s="2" t="str">
        <x:v>250.0</x:v>
      </x:c>
      <x:c r="K136" s="2" t="str">
        <x:v>0</x:v>
      </x:c>
      <x:c r="L136" s="2" t="str">
        <x:v>3</x:v>
      </x:c>
      <x:c r="M136" s="2" t="str">
        <x:v>0</x:v>
      </x:c>
      <x:c r="N136" s="2" t="str">
        <x:v>3</x:v>
      </x:c>
      <x:c r="O136" s="2" t="str">
        <x:v>0</x:v>
      </x:c>
      <x:c r="P136" s="2" t="str">
        <x:v>true</x:v>
      </x:c>
      <x:c r="Q136" s="2" t="str">
        <x:v>NA</x:v>
      </x:c>
      <x:c r="R136" s="2" t="str">
        <x:v>13.709874998312443</x:v>
      </x:c>
      <x:c r="S136" s="2" t="str">
        <x:v>48.12446084121669</x:v>
      </x:c>
    </x:row>
    <x:row r="137">
      <x:c r="A137" s="2" t="str">
        <x:v>DE-CMP-01</x:v>
      </x:c>
      <x:c r="B137" s="2" t="str">
        <x:v>CFG-C01</x:v>
      </x:c>
      <x:c r="C137" s="2" t="n">
        <x:v>46227.70238086805</x:v>
      </x:c>
      <x:c r="D137" s="2" t="str">
        <x:v>adaptive</x:v>
      </x:c>
      <x:c r="E137" s="2" t="str">
        <x:v>noise_only</x:v>
      </x:c>
      <x:c r="F137" s="2" t="str">
        <x:v>68</x:v>
      </x:c>
      <x:c r="G137" s="2" t="str">
        <x:v>3104271</x:v>
      </x:c>
      <x:c r="H137" s="2" t="str">
        <x:v>2048000.0</x:v>
      </x:c>
      <x:c r="I137" s="2" t="str">
        <x:v>8192</x:v>
      </x:c>
      <x:c r="J137" s="2" t="str">
        <x:v>250.0</x:v>
      </x:c>
      <x:c r="K137" s="2" t="str">
        <x:v>0</x:v>
      </x:c>
      <x:c r="L137" s="2" t="str">
        <x:v>3</x:v>
      </x:c>
      <x:c r="M137" s="2" t="str">
        <x:v>0</x:v>
      </x:c>
      <x:c r="N137" s="2" t="str">
        <x:v>3</x:v>
      </x:c>
      <x:c r="O137" s="2" t="str">
        <x:v>0</x:v>
      </x:c>
      <x:c r="P137" s="2" t="str">
        <x:v>true</x:v>
      </x:c>
      <x:c r="Q137" s="2" t="str">
        <x:v>NA</x:v>
      </x:c>
      <x:c r="R137" s="2" t="str">
        <x:v>0.3974999999627471</x:v>
      </x:c>
      <x:c r="S137" s="2" t="str">
        <x:v>46.33072382109961</x:v>
      </x:c>
    </x:row>
    <x:row r="138">
      <x:c r="A138" s="2" t="str">
        <x:v>DE-CMP-01</x:v>
      </x:c>
      <x:c r="B138" s="2" t="str">
        <x:v>CFG-C01</x:v>
      </x:c>
      <x:c r="C138" s="2" t="n">
        <x:v>46227.70238086805</x:v>
      </x:c>
      <x:c r="D138" s="2" t="str">
        <x:v>adaptive</x:v>
      </x:c>
      <x:c r="E138" s="2" t="str">
        <x:v>noise_only</x:v>
      </x:c>
      <x:c r="F138" s="2" t="str">
        <x:v>69</x:v>
      </x:c>
      <x:c r="G138" s="2" t="str">
        <x:v>3104272</x:v>
      </x:c>
      <x:c r="H138" s="2" t="str">
        <x:v>2048000.0</x:v>
      </x:c>
      <x:c r="I138" s="2" t="str">
        <x:v>8192</x:v>
      </x:c>
      <x:c r="J138" s="2" t="str">
        <x:v>250.0</x:v>
      </x:c>
      <x:c r="K138" s="2" t="str">
        <x:v>0</x:v>
      </x:c>
      <x:c r="L138" s="2" t="str">
        <x:v>3</x:v>
      </x:c>
      <x:c r="M138" s="2" t="str">
        <x:v>0</x:v>
      </x:c>
      <x:c r="N138" s="2" t="str">
        <x:v>3</x:v>
      </x:c>
      <x:c r="O138" s="2" t="str">
        <x:v>0</x:v>
      </x:c>
      <x:c r="P138" s="2" t="str">
        <x:v>true</x:v>
      </x:c>
      <x:c r="Q138" s="2" t="str">
        <x:v>NA</x:v>
      </x:c>
      <x:c r="R138" s="2" t="str">
        <x:v>0.40499999886378646</x:v>
      </x:c>
      <x:c r="S138" s="2" t="str">
        <x:v>46.31613714144898</x:v>
      </x:c>
    </x:row>
    <x:row r="139">
      <x:c r="A139" s="2" t="str">
        <x:v>DE-CMP-01</x:v>
      </x:c>
      <x:c r="B139" s="2" t="str">
        <x:v>CFG-C01</x:v>
      </x:c>
      <x:c r="C139" s="2" t="n">
        <x:v>46227.70238086805</x:v>
      </x:c>
      <x:c r="D139" s="2" t="str">
        <x:v>os_cfar</x:v>
      </x:c>
      <x:c r="E139" s="2" t="str">
        <x:v>noise_only</x:v>
      </x:c>
      <x:c r="F139" s="2" t="str">
        <x:v>69</x:v>
      </x:c>
      <x:c r="G139" s="2" t="str">
        <x:v>3104272</x:v>
      </x:c>
      <x:c r="H139" s="2" t="str">
        <x:v>2048000.0</x:v>
      </x:c>
      <x:c r="I139" s="2" t="str">
        <x:v>8192</x:v>
      </x:c>
      <x:c r="J139" s="2" t="str">
        <x:v>250.0</x:v>
      </x:c>
      <x:c r="K139" s="2" t="str">
        <x:v>0</x:v>
      </x:c>
      <x:c r="L139" s="2" t="str">
        <x:v>3</x:v>
      </x:c>
      <x:c r="M139" s="2" t="str">
        <x:v>0</x:v>
      </x:c>
      <x:c r="N139" s="2" t="str">
        <x:v>3</x:v>
      </x:c>
      <x:c r="O139" s="2" t="str">
        <x:v>0</x:v>
      </x:c>
      <x:c r="P139" s="2" t="str">
        <x:v>true</x:v>
      </x:c>
      <x:c r="Q139" s="2" t="str">
        <x:v>NA</x:v>
      </x:c>
      <x:c r="R139" s="2" t="str">
        <x:v>13.54891699156724</x:v>
      </x:c>
      <x:c r="S139" s="2" t="str">
        <x:v>48.14993546898424</x:v>
      </x:c>
    </x:row>
    <x:row r="140">
      <x:c r="A140" s="2" t="str">
        <x:v>DE-CMP-01</x:v>
      </x:c>
      <x:c r="B140" s="2" t="str">
        <x:v>CFG-C01</x:v>
      </x:c>
      <x:c r="C140" s="2" t="n">
        <x:v>46227.70238086805</x:v>
      </x:c>
      <x:c r="D140" s="2" t="str">
        <x:v>os_cfar</x:v>
      </x:c>
      <x:c r="E140" s="2" t="str">
        <x:v>noise_only</x:v>
      </x:c>
      <x:c r="F140" s="2" t="str">
        <x:v>70</x:v>
      </x:c>
      <x:c r="G140" s="2" t="str">
        <x:v>3104273</x:v>
      </x:c>
      <x:c r="H140" s="2" t="str">
        <x:v>2048000.0</x:v>
      </x:c>
      <x:c r="I140" s="2" t="str">
        <x:v>8192</x:v>
      </x:c>
      <x:c r="J140" s="2" t="str">
        <x:v>250.0</x:v>
      </x:c>
      <x:c r="K140" s="2" t="str">
        <x:v>0</x:v>
      </x:c>
      <x:c r="L140" s="2" t="str">
        <x:v>3</x:v>
      </x:c>
      <x:c r="M140" s="2" t="str">
        <x:v>0</x:v>
      </x:c>
      <x:c r="N140" s="2" t="str">
        <x:v>3</x:v>
      </x:c>
      <x:c r="O140" s="2" t="str">
        <x:v>0</x:v>
      </x:c>
      <x:c r="P140" s="2" t="str">
        <x:v>true</x:v>
      </x:c>
      <x:c r="Q140" s="2" t="str">
        <x:v>NA</x:v>
      </x:c>
      <x:c r="R140" s="2" t="str">
        <x:v>13.424959004623815</x:v>
      </x:c>
      <x:c r="S140" s="2" t="str">
        <x:v>47.993759070386616</x:v>
      </x:c>
    </x:row>
    <x:row r="141">
      <x:c r="A141" s="2" t="str">
        <x:v>DE-CMP-01</x:v>
      </x:c>
      <x:c r="B141" s="2" t="str">
        <x:v>CFG-C01</x:v>
      </x:c>
      <x:c r="C141" s="2" t="n">
        <x:v>46227.70238086805</x:v>
      </x:c>
      <x:c r="D141" s="2" t="str">
        <x:v>adaptive</x:v>
      </x:c>
      <x:c r="E141" s="2" t="str">
        <x:v>noise_only</x:v>
      </x:c>
      <x:c r="F141" s="2" t="str">
        <x:v>70</x:v>
      </x:c>
      <x:c r="G141" s="2" t="str">
        <x:v>3104273</x:v>
      </x:c>
      <x:c r="H141" s="2" t="str">
        <x:v>2048000.0</x:v>
      </x:c>
      <x:c r="I141" s="2" t="str">
        <x:v>8192</x:v>
      </x:c>
      <x:c r="J141" s="2" t="str">
        <x:v>250.0</x:v>
      </x:c>
      <x:c r="K141" s="2" t="str">
        <x:v>0</x:v>
      </x:c>
      <x:c r="L141" s="2" t="str">
        <x:v>3</x:v>
      </x:c>
      <x:c r="M141" s="2" t="str">
        <x:v>0</x:v>
      </x:c>
      <x:c r="N141" s="2" t="str">
        <x:v>3</x:v>
      </x:c>
      <x:c r="O141" s="2" t="str">
        <x:v>0</x:v>
      </x:c>
      <x:c r="P141" s="2" t="str">
        <x:v>true</x:v>
      </x:c>
      <x:c r="Q141" s="2" t="str">
        <x:v>NA</x:v>
      </x:c>
      <x:c r="R141" s="2" t="str">
        <x:v>0.4380409955047071</x:v>
      </x:c>
      <x:c r="S141" s="2" t="str">
        <x:v>46.39330923764283</x:v>
      </x:c>
    </x:row>
    <x:row r="142">
      <x:c r="A142" s="2" t="str">
        <x:v>DE-CMP-01</x:v>
      </x:c>
      <x:c r="B142" s="2" t="str">
        <x:v>CFG-C01</x:v>
      </x:c>
      <x:c r="C142" s="2" t="n">
        <x:v>46227.70238086805</x:v>
      </x:c>
      <x:c r="D142" s="2" t="str">
        <x:v>adaptive</x:v>
      </x:c>
      <x:c r="E142" s="2" t="str">
        <x:v>noise_only</x:v>
      </x:c>
      <x:c r="F142" s="2" t="str">
        <x:v>71</x:v>
      </x:c>
      <x:c r="G142" s="2" t="str">
        <x:v>3104274</x:v>
      </x:c>
      <x:c r="H142" s="2" t="str">
        <x:v>2048000.0</x:v>
      </x:c>
      <x:c r="I142" s="2" t="str">
        <x:v>8192</x:v>
      </x:c>
      <x:c r="J142" s="2" t="str">
        <x:v>250.0</x:v>
      </x:c>
      <x:c r="K142" s="2" t="str">
        <x:v>0</x:v>
      </x:c>
      <x:c r="L142" s="2" t="str">
        <x:v>3</x:v>
      </x:c>
      <x:c r="M142" s="2" t="str">
        <x:v>0</x:v>
      </x:c>
      <x:c r="N142" s="2" t="str">
        <x:v>3</x:v>
      </x:c>
      <x:c r="O142" s="2" t="str">
        <x:v>0</x:v>
      </x:c>
      <x:c r="P142" s="2" t="str">
        <x:v>true</x:v>
      </x:c>
      <x:c r="Q142" s="2" t="str">
        <x:v>NA</x:v>
      </x:c>
      <x:c r="R142" s="2" t="str">
        <x:v>0.39412500336766243</x:v>
      </x:c>
      <x:c r="S142" s="2" t="str">
        <x:v>46.48362166687889</x:v>
      </x:c>
    </x:row>
    <x:row r="143">
      <x:c r="A143" s="2" t="str">
        <x:v>DE-CMP-01</x:v>
      </x:c>
      <x:c r="B143" s="2" t="str">
        <x:v>CFG-C01</x:v>
      </x:c>
      <x:c r="C143" s="2" t="n">
        <x:v>46227.70238086805</x:v>
      </x:c>
      <x:c r="D143" s="2" t="str">
        <x:v>os_cfar</x:v>
      </x:c>
      <x:c r="E143" s="2" t="str">
        <x:v>noise_only</x:v>
      </x:c>
      <x:c r="F143" s="2" t="str">
        <x:v>71</x:v>
      </x:c>
      <x:c r="G143" s="2" t="str">
        <x:v>3104274</x:v>
      </x:c>
      <x:c r="H143" s="2" t="str">
        <x:v>2048000.0</x:v>
      </x:c>
      <x:c r="I143" s="2" t="str">
        <x:v>8192</x:v>
      </x:c>
      <x:c r="J143" s="2" t="str">
        <x:v>250.0</x:v>
      </x:c>
      <x:c r="K143" s="2" t="str">
        <x:v>0</x:v>
      </x:c>
      <x:c r="L143" s="2" t="str">
        <x:v>3</x:v>
      </x:c>
      <x:c r="M143" s="2" t="str">
        <x:v>0</x:v>
      </x:c>
      <x:c r="N143" s="2" t="str">
        <x:v>3</x:v>
      </x:c>
      <x:c r="O143" s="2" t="str">
        <x:v>0</x:v>
      </x:c>
      <x:c r="P143" s="2" t="str">
        <x:v>true</x:v>
      </x:c>
      <x:c r="Q143" s="2" t="str">
        <x:v>NA</x:v>
      </x:c>
      <x:c r="R143" s="2" t="str">
        <x:v>13.599249999970198</x:v>
      </x:c>
      <x:c r="S143" s="2" t="str">
        <x:v>48.28666114065769</x:v>
      </x:c>
    </x:row>
    <x:row r="144">
      <x:c r="A144" s="2" t="str">
        <x:v>DE-CMP-01</x:v>
      </x:c>
      <x:c r="B144" s="2" t="str">
        <x:v>CFG-C01</x:v>
      </x:c>
      <x:c r="C144" s="2" t="n">
        <x:v>46227.70238086805</x:v>
      </x:c>
      <x:c r="D144" s="2" t="str">
        <x:v>os_cfar</x:v>
      </x:c>
      <x:c r="E144" s="2" t="str">
        <x:v>noise_only</x:v>
      </x:c>
      <x:c r="F144" s="2" t="str">
        <x:v>72</x:v>
      </x:c>
      <x:c r="G144" s="2" t="str">
        <x:v>3104275</x:v>
      </x:c>
      <x:c r="H144" s="2" t="str">
        <x:v>2048000.0</x:v>
      </x:c>
      <x:c r="I144" s="2" t="str">
        <x:v>8192</x:v>
      </x:c>
      <x:c r="J144" s="2" t="str">
        <x:v>250.0</x:v>
      </x:c>
      <x:c r="K144" s="2" t="str">
        <x:v>0</x:v>
      </x:c>
      <x:c r="L144" s="2" t="str">
        <x:v>3</x:v>
      </x:c>
      <x:c r="M144" s="2" t="str">
        <x:v>0</x:v>
      </x:c>
      <x:c r="N144" s="2" t="str">
        <x:v>3</x:v>
      </x:c>
      <x:c r="O144" s="2" t="str">
        <x:v>0</x:v>
      </x:c>
      <x:c r="P144" s="2" t="str">
        <x:v>true</x:v>
      </x:c>
      <x:c r="Q144" s="2" t="str">
        <x:v>NA</x:v>
      </x:c>
      <x:c r="R144" s="2" t="str">
        <x:v>13.958041003206745</x:v>
      </x:c>
      <x:c r="S144" s="2" t="str">
        <x:v>48.146170874691904</x:v>
      </x:c>
    </x:row>
    <x:row r="145">
      <x:c r="A145" s="2" t="str">
        <x:v>DE-CMP-01</x:v>
      </x:c>
      <x:c r="B145" s="2" t="str">
        <x:v>CFG-C01</x:v>
      </x:c>
      <x:c r="C145" s="2" t="n">
        <x:v>46227.70238086805</x:v>
      </x:c>
      <x:c r="D145" s="2" t="str">
        <x:v>adaptive</x:v>
      </x:c>
      <x:c r="E145" s="2" t="str">
        <x:v>noise_only</x:v>
      </x:c>
      <x:c r="F145" s="2" t="str">
        <x:v>72</x:v>
      </x:c>
      <x:c r="G145" s="2" t="str">
        <x:v>3104275</x:v>
      </x:c>
      <x:c r="H145" s="2" t="str">
        <x:v>2048000.0</x:v>
      </x:c>
      <x:c r="I145" s="2" t="str">
        <x:v>8192</x:v>
      </x:c>
      <x:c r="J145" s="2" t="str">
        <x:v>250.0</x:v>
      </x:c>
      <x:c r="K145" s="2" t="str">
        <x:v>0</x:v>
      </x:c>
      <x:c r="L145" s="2" t="str">
        <x:v>3</x:v>
      </x:c>
      <x:c r="M145" s="2" t="str">
        <x:v>0</x:v>
      </x:c>
      <x:c r="N145" s="2" t="str">
        <x:v>3</x:v>
      </x:c>
      <x:c r="O145" s="2" t="str">
        <x:v>0</x:v>
      </x:c>
      <x:c r="P145" s="2" t="str">
        <x:v>true</x:v>
      </x:c>
      <x:c r="Q145" s="2" t="str">
        <x:v>NA</x:v>
      </x:c>
      <x:c r="R145" s="2" t="str">
        <x:v>0.4284590104361996</x:v>
      </x:c>
      <x:c r="S145" s="2" t="str">
        <x:v>46.351626299815734</x:v>
      </x:c>
    </x:row>
    <x:row r="146">
      <x:c r="A146" s="2" t="str">
        <x:v>DE-CMP-01</x:v>
      </x:c>
      <x:c r="B146" s="2" t="str">
        <x:v>CFG-C01</x:v>
      </x:c>
      <x:c r="C146" s="2" t="n">
        <x:v>46227.70238086805</x:v>
      </x:c>
      <x:c r="D146" s="2" t="str">
        <x:v>adaptive</x:v>
      </x:c>
      <x:c r="E146" s="2" t="str">
        <x:v>noise_only</x:v>
      </x:c>
      <x:c r="F146" s="2" t="str">
        <x:v>73</x:v>
      </x:c>
      <x:c r="G146" s="2" t="str">
        <x:v>3104276</x:v>
      </x:c>
      <x:c r="H146" s="2" t="str">
        <x:v>2048000.0</x:v>
      </x:c>
      <x:c r="I146" s="2" t="str">
        <x:v>8192</x:v>
      </x:c>
      <x:c r="J146" s="2" t="str">
        <x:v>250.0</x:v>
      </x:c>
      <x:c r="K146" s="2" t="str">
        <x:v>0</x:v>
      </x:c>
      <x:c r="L146" s="2" t="str">
        <x:v>3</x:v>
      </x:c>
      <x:c r="M146" s="2" t="str">
        <x:v>0</x:v>
      </x:c>
      <x:c r="N146" s="2" t="str">
        <x:v>3</x:v>
      </x:c>
      <x:c r="O146" s="2" t="str">
        <x:v>0</x:v>
      </x:c>
      <x:c r="P146" s="2" t="str">
        <x:v>true</x:v>
      </x:c>
      <x:c r="Q146" s="2" t="str">
        <x:v>NA</x:v>
      </x:c>
      <x:c r="R146" s="2" t="str">
        <x:v>0.4221659910399467</x:v>
      </x:c>
      <x:c r="S146" s="2" t="str">
        <x:v>46.215711079752154</x:v>
      </x:c>
    </x:row>
    <x:row r="147">
      <x:c r="A147" s="2" t="str">
        <x:v>DE-CMP-01</x:v>
      </x:c>
      <x:c r="B147" s="2" t="str">
        <x:v>CFG-C01</x:v>
      </x:c>
      <x:c r="C147" s="2" t="n">
        <x:v>46227.70238086805</x:v>
      </x:c>
      <x:c r="D147" s="2" t="str">
        <x:v>os_cfar</x:v>
      </x:c>
      <x:c r="E147" s="2" t="str">
        <x:v>noise_only</x:v>
      </x:c>
      <x:c r="F147" s="2" t="str">
        <x:v>73</x:v>
      </x:c>
      <x:c r="G147" s="2" t="str">
        <x:v>3104276</x:v>
      </x:c>
      <x:c r="H147" s="2" t="str">
        <x:v>2048000.0</x:v>
      </x:c>
      <x:c r="I147" s="2" t="str">
        <x:v>8192</x:v>
      </x:c>
      <x:c r="J147" s="2" t="str">
        <x:v>250.0</x:v>
      </x:c>
      <x:c r="K147" s="2" t="str">
        <x:v>0</x:v>
      </x:c>
      <x:c r="L147" s="2" t="str">
        <x:v>3</x:v>
      </x:c>
      <x:c r="M147" s="2" t="str">
        <x:v>0</x:v>
      </x:c>
      <x:c r="N147" s="2" t="str">
        <x:v>3</x:v>
      </x:c>
      <x:c r="O147" s="2" t="str">
        <x:v>0</x:v>
      </x:c>
      <x:c r="P147" s="2" t="str">
        <x:v>true</x:v>
      </x:c>
      <x:c r="Q147" s="2" t="str">
        <x:v>NA</x:v>
      </x:c>
      <x:c r="R147" s="2" t="str">
        <x:v>13.59145798778627</x:v>
      </x:c>
      <x:c r="S147" s="2" t="str">
        <x:v>48.15226421401994</x:v>
      </x:c>
    </x:row>
    <x:row r="148">
      <x:c r="A148" s="2" t="str">
        <x:v>DE-CMP-01</x:v>
      </x:c>
      <x:c r="B148" s="2" t="str">
        <x:v>CFG-C01</x:v>
      </x:c>
      <x:c r="C148" s="2" t="n">
        <x:v>46227.70238086805</x:v>
      </x:c>
      <x:c r="D148" s="2" t="str">
        <x:v>os_cfar</x:v>
      </x:c>
      <x:c r="E148" s="2" t="str">
        <x:v>noise_only</x:v>
      </x:c>
      <x:c r="F148" s="2" t="str">
        <x:v>74</x:v>
      </x:c>
      <x:c r="G148" s="2" t="str">
        <x:v>3104277</x:v>
      </x:c>
      <x:c r="H148" s="2" t="str">
        <x:v>2048000.0</x:v>
      </x:c>
      <x:c r="I148" s="2" t="str">
        <x:v>8192</x:v>
      </x:c>
      <x:c r="J148" s="2" t="str">
        <x:v>250.0</x:v>
      </x:c>
      <x:c r="K148" s="2" t="str">
        <x:v>0</x:v>
      </x:c>
      <x:c r="L148" s="2" t="str">
        <x:v>3</x:v>
      </x:c>
      <x:c r="M148" s="2" t="str">
        <x:v>0</x:v>
      </x:c>
      <x:c r="N148" s="2" t="str">
        <x:v>3</x:v>
      </x:c>
      <x:c r="O148" s="2" t="str">
        <x:v>0</x:v>
      </x:c>
      <x:c r="P148" s="2" t="str">
        <x:v>true</x:v>
      </x:c>
      <x:c r="Q148" s="2" t="str">
        <x:v>NA</x:v>
      </x:c>
      <x:c r="R148" s="2" t="str">
        <x:v>14.161833008984104</x:v>
      </x:c>
      <x:c r="S148" s="2" t="str">
        <x:v>48.17072215391467</x:v>
      </x:c>
    </x:row>
    <x:row r="149">
      <x:c r="A149" s="2" t="str">
        <x:v>DE-CMP-01</x:v>
      </x:c>
      <x:c r="B149" s="2" t="str">
        <x:v>CFG-C01</x:v>
      </x:c>
      <x:c r="C149" s="2" t="n">
        <x:v>46227.70238086805</x:v>
      </x:c>
      <x:c r="D149" s="2" t="str">
        <x:v>adaptive</x:v>
      </x:c>
      <x:c r="E149" s="2" t="str">
        <x:v>noise_only</x:v>
      </x:c>
      <x:c r="F149" s="2" t="str">
        <x:v>74</x:v>
      </x:c>
      <x:c r="G149" s="2" t="str">
        <x:v>3104277</x:v>
      </x:c>
      <x:c r="H149" s="2" t="str">
        <x:v>2048000.0</x:v>
      </x:c>
      <x:c r="I149" s="2" t="str">
        <x:v>8192</x:v>
      </x:c>
      <x:c r="J149" s="2" t="str">
        <x:v>250.0</x:v>
      </x:c>
      <x:c r="K149" s="2" t="str">
        <x:v>0</x:v>
      </x:c>
      <x:c r="L149" s="2" t="str">
        <x:v>3</x:v>
      </x:c>
      <x:c r="M149" s="2" t="str">
        <x:v>0</x:v>
      </x:c>
      <x:c r="N149" s="2" t="str">
        <x:v>3</x:v>
      </x:c>
      <x:c r="O149" s="2" t="str">
        <x:v>0</x:v>
      </x:c>
      <x:c r="P149" s="2" t="str">
        <x:v>true</x:v>
      </x:c>
      <x:c r="Q149" s="2" t="str">
        <x:v>NA</x:v>
      </x:c>
      <x:c r="R149" s="2" t="str">
        <x:v>0.4723750025732443</x:v>
      </x:c>
      <x:c r="S149" s="2" t="str">
        <x:v>46.21650598217154</x:v>
      </x:c>
    </x:row>
    <x:row r="150">
      <x:c r="A150" s="2" t="str">
        <x:v>DE-CMP-01</x:v>
      </x:c>
      <x:c r="B150" s="2" t="str">
        <x:v>CFG-C01</x:v>
      </x:c>
      <x:c r="C150" s="2" t="n">
        <x:v>46227.70238086805</x:v>
      </x:c>
      <x:c r="D150" s="2" t="str">
        <x:v>adaptive</x:v>
      </x:c>
      <x:c r="E150" s="2" t="str">
        <x:v>noise_only</x:v>
      </x:c>
      <x:c r="F150" s="2" t="str">
        <x:v>75</x:v>
      </x:c>
      <x:c r="G150" s="2" t="str">
        <x:v>3104278</x:v>
      </x:c>
      <x:c r="H150" s="2" t="str">
        <x:v>2048000.0</x:v>
      </x:c>
      <x:c r="I150" s="2" t="str">
        <x:v>8192</x:v>
      </x:c>
      <x:c r="J150" s="2" t="str">
        <x:v>250.0</x:v>
      </x:c>
      <x:c r="K150" s="2" t="str">
        <x:v>0</x:v>
      </x:c>
      <x:c r="L150" s="2" t="str">
        <x:v>3</x:v>
      </x:c>
      <x:c r="M150" s="2" t="str">
        <x:v>0</x:v>
      </x:c>
      <x:c r="N150" s="2" t="str">
        <x:v>3</x:v>
      </x:c>
      <x:c r="O150" s="2" t="str">
        <x:v>0</x:v>
      </x:c>
      <x:c r="P150" s="2" t="str">
        <x:v>true</x:v>
      </x:c>
      <x:c r="Q150" s="2" t="str">
        <x:v>NA</x:v>
      </x:c>
      <x:c r="R150" s="2" t="str">
        <x:v>0.4272090009180829</x:v>
      </x:c>
      <x:c r="S150" s="2" t="str">
        <x:v>46.6090735575392</x:v>
      </x:c>
    </x:row>
    <x:row r="151">
      <x:c r="A151" s="2" t="str">
        <x:v>DE-CMP-01</x:v>
      </x:c>
      <x:c r="B151" s="2" t="str">
        <x:v>CFG-C01</x:v>
      </x:c>
      <x:c r="C151" s="2" t="n">
        <x:v>46227.70238086805</x:v>
      </x:c>
      <x:c r="D151" s="2" t="str">
        <x:v>os_cfar</x:v>
      </x:c>
      <x:c r="E151" s="2" t="str">
        <x:v>noise_only</x:v>
      </x:c>
      <x:c r="F151" s="2" t="str">
        <x:v>75</x:v>
      </x:c>
      <x:c r="G151" s="2" t="str">
        <x:v>3104278</x:v>
      </x:c>
      <x:c r="H151" s="2" t="str">
        <x:v>2048000.0</x:v>
      </x:c>
      <x:c r="I151" s="2" t="str">
        <x:v>8192</x:v>
      </x:c>
      <x:c r="J151" s="2" t="str">
        <x:v>250.0</x:v>
      </x:c>
      <x:c r="K151" s="2" t="str">
        <x:v>0</x:v>
      </x:c>
      <x:c r="L151" s="2" t="str">
        <x:v>3</x:v>
      </x:c>
      <x:c r="M151" s="2" t="str">
        <x:v>0</x:v>
      </x:c>
      <x:c r="N151" s="2" t="str">
        <x:v>3</x:v>
      </x:c>
      <x:c r="O151" s="2" t="str">
        <x:v>0</x:v>
      </x:c>
      <x:c r="P151" s="2" t="str">
        <x:v>true</x:v>
      </x:c>
      <x:c r="Q151" s="2" t="str">
        <x:v>NA</x:v>
      </x:c>
      <x:c r="R151" s="2" t="str">
        <x:v>14.060250003240071</x:v>
      </x:c>
      <x:c r="S151" s="2" t="str">
        <x:v>48.2680919844475</x:v>
      </x:c>
    </x:row>
    <x:row r="152">
      <x:c r="A152" s="2" t="str">
        <x:v>DE-CMP-01</x:v>
      </x:c>
      <x:c r="B152" s="2" t="str">
        <x:v>CFG-C01</x:v>
      </x:c>
      <x:c r="C152" s="2" t="n">
        <x:v>46227.70238086805</x:v>
      </x:c>
      <x:c r="D152" s="2" t="str">
        <x:v>os_cfar</x:v>
      </x:c>
      <x:c r="E152" s="2" t="str">
        <x:v>noise_only</x:v>
      </x:c>
      <x:c r="F152" s="2" t="str">
        <x:v>76</x:v>
      </x:c>
      <x:c r="G152" s="2" t="str">
        <x:v>3104279</x:v>
      </x:c>
      <x:c r="H152" s="2" t="str">
        <x:v>2048000.0</x:v>
      </x:c>
      <x:c r="I152" s="2" t="str">
        <x:v>8192</x:v>
      </x:c>
      <x:c r="J152" s="2" t="str">
        <x:v>250.0</x:v>
      </x:c>
      <x:c r="K152" s="2" t="str">
        <x:v>0</x:v>
      </x:c>
      <x:c r="L152" s="2" t="str">
        <x:v>3</x:v>
      </x:c>
      <x:c r="M152" s="2" t="str">
        <x:v>0</x:v>
      </x:c>
      <x:c r="N152" s="2" t="str">
        <x:v>3</x:v>
      </x:c>
      <x:c r="O152" s="2" t="str">
        <x:v>0</x:v>
      </x:c>
      <x:c r="P152" s="2" t="str">
        <x:v>true</x:v>
      </x:c>
      <x:c r="Q152" s="2" t="str">
        <x:v>NA</x:v>
      </x:c>
      <x:c r="R152" s="2" t="str">
        <x:v>14.482041995506734</x:v>
      </x:c>
      <x:c r="S152" s="2" t="str">
        <x:v>48.1998479163497</x:v>
      </x:c>
    </x:row>
    <x:row r="153">
      <x:c r="A153" s="2" t="str">
        <x:v>DE-CMP-01</x:v>
      </x:c>
      <x:c r="B153" s="2" t="str">
        <x:v>CFG-C01</x:v>
      </x:c>
      <x:c r="C153" s="2" t="n">
        <x:v>46227.70238086805</x:v>
      </x:c>
      <x:c r="D153" s="2" t="str">
        <x:v>adaptive</x:v>
      </x:c>
      <x:c r="E153" s="2" t="str">
        <x:v>noise_only</x:v>
      </x:c>
      <x:c r="F153" s="2" t="str">
        <x:v>76</x:v>
      </x:c>
      <x:c r="G153" s="2" t="str">
        <x:v>3104279</x:v>
      </x:c>
      <x:c r="H153" s="2" t="str">
        <x:v>2048000.0</x:v>
      </x:c>
      <x:c r="I153" s="2" t="str">
        <x:v>8192</x:v>
      </x:c>
      <x:c r="J153" s="2" t="str">
        <x:v>250.0</x:v>
      </x:c>
      <x:c r="K153" s="2" t="str">
        <x:v>0</x:v>
      </x:c>
      <x:c r="L153" s="2" t="str">
        <x:v>3</x:v>
      </x:c>
      <x:c r="M153" s="2" t="str">
        <x:v>0</x:v>
      </x:c>
      <x:c r="N153" s="2" t="str">
        <x:v>3</x:v>
      </x:c>
      <x:c r="O153" s="2" t="str">
        <x:v>0</x:v>
      </x:c>
      <x:c r="P153" s="2" t="str">
        <x:v>true</x:v>
      </x:c>
      <x:c r="Q153" s="2" t="str">
        <x:v>NA</x:v>
      </x:c>
      <x:c r="R153" s="2" t="str">
        <x:v>0.5015420028939843</x:v>
      </x:c>
      <x:c r="S153" s="2" t="str">
        <x:v>46.48849537289358</x:v>
      </x:c>
    </x:row>
    <x:row r="154">
      <x:c r="A154" s="2" t="str">
        <x:v>DE-CMP-01</x:v>
      </x:c>
      <x:c r="B154" s="2" t="str">
        <x:v>CFG-C01</x:v>
      </x:c>
      <x:c r="C154" s="2" t="n">
        <x:v>46227.70238086805</x:v>
      </x:c>
      <x:c r="D154" s="2" t="str">
        <x:v>adaptive</x:v>
      </x:c>
      <x:c r="E154" s="2" t="str">
        <x:v>noise_only</x:v>
      </x:c>
      <x:c r="F154" s="2" t="str">
        <x:v>77</x:v>
      </x:c>
      <x:c r="G154" s="2" t="str">
        <x:v>3104280</x:v>
      </x:c>
      <x:c r="H154" s="2" t="str">
        <x:v>2048000.0</x:v>
      </x:c>
      <x:c r="I154" s="2" t="str">
        <x:v>8192</x:v>
      </x:c>
      <x:c r="J154" s="2" t="str">
        <x:v>250.0</x:v>
      </x:c>
      <x:c r="K154" s="2" t="str">
        <x:v>0</x:v>
      </x:c>
      <x:c r="L154" s="2" t="str">
        <x:v>3</x:v>
      </x:c>
      <x:c r="M154" s="2" t="str">
        <x:v>0</x:v>
      </x:c>
      <x:c r="N154" s="2" t="str">
        <x:v>3</x:v>
      </x:c>
      <x:c r="O154" s="2" t="str">
        <x:v>0</x:v>
      </x:c>
      <x:c r="P154" s="2" t="str">
        <x:v>true</x:v>
      </x:c>
      <x:c r="Q154" s="2" t="str">
        <x:v>NA</x:v>
      </x:c>
      <x:c r="R154" s="2" t="str">
        <x:v>0.4277920088497922</x:v>
      </x:c>
      <x:c r="S154" s="2" t="str">
        <x:v>46.35862961211325</x:v>
      </x:c>
    </x:row>
    <x:row r="155">
      <x:c r="A155" s="2" t="str">
        <x:v>DE-CMP-01</x:v>
      </x:c>
      <x:c r="B155" s="2" t="str">
        <x:v>CFG-C01</x:v>
      </x:c>
      <x:c r="C155" s="2" t="n">
        <x:v>46227.70238086805</x:v>
      </x:c>
      <x:c r="D155" s="2" t="str">
        <x:v>os_cfar</x:v>
      </x:c>
      <x:c r="E155" s="2" t="str">
        <x:v>noise_only</x:v>
      </x:c>
      <x:c r="F155" s="2" t="str">
        <x:v>77</x:v>
      </x:c>
      <x:c r="G155" s="2" t="str">
        <x:v>3104280</x:v>
      </x:c>
      <x:c r="H155" s="2" t="str">
        <x:v>2048000.0</x:v>
      </x:c>
      <x:c r="I155" s="2" t="str">
        <x:v>8192</x:v>
      </x:c>
      <x:c r="J155" s="2" t="str">
        <x:v>250.0</x:v>
      </x:c>
      <x:c r="K155" s="2" t="str">
        <x:v>0</x:v>
      </x:c>
      <x:c r="L155" s="2" t="str">
        <x:v>3</x:v>
      </x:c>
      <x:c r="M155" s="2" t="str">
        <x:v>0</x:v>
      </x:c>
      <x:c r="N155" s="2" t="str">
        <x:v>3</x:v>
      </x:c>
      <x:c r="O155" s="2" t="str">
        <x:v>0</x:v>
      </x:c>
      <x:c r="P155" s="2" t="str">
        <x:v>true</x:v>
      </x:c>
      <x:c r="Q155" s="2" t="str">
        <x:v>NA</x:v>
      </x:c>
      <x:c r="R155" s="2" t="str">
        <x:v>14.112792006926611</x:v>
      </x:c>
      <x:c r="S155" s="2" t="str">
        <x:v>48.24913485148968</x:v>
      </x:c>
    </x:row>
    <x:row r="156">
      <x:c r="A156" s="2" t="str">
        <x:v>DE-CMP-01</x:v>
      </x:c>
      <x:c r="B156" s="2" t="str">
        <x:v>CFG-C01</x:v>
      </x:c>
      <x:c r="C156" s="2" t="n">
        <x:v>46227.70238086805</x:v>
      </x:c>
      <x:c r="D156" s="2" t="str">
        <x:v>os_cfar</x:v>
      </x:c>
      <x:c r="E156" s="2" t="str">
        <x:v>noise_only</x:v>
      </x:c>
      <x:c r="F156" s="2" t="str">
        <x:v>78</x:v>
      </x:c>
      <x:c r="G156" s="2" t="str">
        <x:v>3104281</x:v>
      </x:c>
      <x:c r="H156" s="2" t="str">
        <x:v>2048000.0</x:v>
      </x:c>
      <x:c r="I156" s="2" t="str">
        <x:v>8192</x:v>
      </x:c>
      <x:c r="J156" s="2" t="str">
        <x:v>250.0</x:v>
      </x:c>
      <x:c r="K156" s="2" t="str">
        <x:v>0</x:v>
      </x:c>
      <x:c r="L156" s="2" t="str">
        <x:v>3</x:v>
      </x:c>
      <x:c r="M156" s="2" t="str">
        <x:v>0</x:v>
      </x:c>
      <x:c r="N156" s="2" t="str">
        <x:v>3</x:v>
      </x:c>
      <x:c r="O156" s="2" t="str">
        <x:v>0</x:v>
      </x:c>
      <x:c r="P156" s="2" t="str">
        <x:v>true</x:v>
      </x:c>
      <x:c r="Q156" s="2" t="str">
        <x:v>NA</x:v>
      </x:c>
      <x:c r="R156" s="2" t="str">
        <x:v>14.050875004613772</x:v>
      </x:c>
      <x:c r="S156" s="2" t="str">
        <x:v>48.026025001370165</x:v>
      </x:c>
    </x:row>
    <x:row r="157">
      <x:c r="A157" s="2" t="str">
        <x:v>DE-CMP-01</x:v>
      </x:c>
      <x:c r="B157" s="2" t="str">
        <x:v>CFG-C01</x:v>
      </x:c>
      <x:c r="C157" s="2" t="n">
        <x:v>46227.70238086805</x:v>
      </x:c>
      <x:c r="D157" s="2" t="str">
        <x:v>adaptive</x:v>
      </x:c>
      <x:c r="E157" s="2" t="str">
        <x:v>noise_only</x:v>
      </x:c>
      <x:c r="F157" s="2" t="str">
        <x:v>78</x:v>
      </x:c>
      <x:c r="G157" s="2" t="str">
        <x:v>3104281</x:v>
      </x:c>
      <x:c r="H157" s="2" t="str">
        <x:v>2048000.0</x:v>
      </x:c>
      <x:c r="I157" s="2" t="str">
        <x:v>8192</x:v>
      </x:c>
      <x:c r="J157" s="2" t="str">
        <x:v>250.0</x:v>
      </x:c>
      <x:c r="K157" s="2" t="str">
        <x:v>0</x:v>
      </x:c>
      <x:c r="L157" s="2" t="str">
        <x:v>3</x:v>
      </x:c>
      <x:c r="M157" s="2" t="str">
        <x:v>0</x:v>
      </x:c>
      <x:c r="N157" s="2" t="str">
        <x:v>3</x:v>
      </x:c>
      <x:c r="O157" s="2" t="str">
        <x:v>0</x:v>
      </x:c>
      <x:c r="P157" s="2" t="str">
        <x:v>true</x:v>
      </x:c>
      <x:c r="Q157" s="2" t="str">
        <x:v>NA</x:v>
      </x:c>
      <x:c r="R157" s="2" t="str">
        <x:v>0.4459999909158796</x:v>
      </x:c>
      <x:c r="S157" s="2" t="str">
        <x:v>46.4269638760762</x:v>
      </x:c>
    </x:row>
    <x:row r="158">
      <x:c r="A158" s="2" t="str">
        <x:v>DE-CMP-01</x:v>
      </x:c>
      <x:c r="B158" s="2" t="str">
        <x:v>CFG-C01</x:v>
      </x:c>
      <x:c r="C158" s="2" t="n">
        <x:v>46227.70238086805</x:v>
      </x:c>
      <x:c r="D158" s="2" t="str">
        <x:v>adaptive</x:v>
      </x:c>
      <x:c r="E158" s="2" t="str">
        <x:v>noise_only</x:v>
      </x:c>
      <x:c r="F158" s="2" t="str">
        <x:v>79</x:v>
      </x:c>
      <x:c r="G158" s="2" t="str">
        <x:v>3104282</x:v>
      </x:c>
      <x:c r="H158" s="2" t="str">
        <x:v>2048000.0</x:v>
      </x:c>
      <x:c r="I158" s="2" t="str">
        <x:v>8192</x:v>
      </x:c>
      <x:c r="J158" s="2" t="str">
        <x:v>250.0</x:v>
      </x:c>
      <x:c r="K158" s="2" t="str">
        <x:v>0</x:v>
      </x:c>
      <x:c r="L158" s="2" t="str">
        <x:v>3</x:v>
      </x:c>
      <x:c r="M158" s="2" t="str">
        <x:v>0</x:v>
      </x:c>
      <x:c r="N158" s="2" t="str">
        <x:v>3</x:v>
      </x:c>
      <x:c r="O158" s="2" t="str">
        <x:v>0</x:v>
      </x:c>
      <x:c r="P158" s="2" t="str">
        <x:v>true</x:v>
      </x:c>
      <x:c r="Q158" s="2" t="str">
        <x:v>NA</x:v>
      </x:c>
      <x:c r="R158" s="2" t="str">
        <x:v>0.4200420080451295</x:v>
      </x:c>
      <x:c r="S158" s="2" t="str">
        <x:v>46.6796583081078</x:v>
      </x:c>
    </x:row>
    <x:row r="159">
      <x:c r="A159" s="2" t="str">
        <x:v>DE-CMP-01</x:v>
      </x:c>
      <x:c r="B159" s="2" t="str">
        <x:v>CFG-C01</x:v>
      </x:c>
      <x:c r="C159" s="2" t="n">
        <x:v>46227.70238086805</x:v>
      </x:c>
      <x:c r="D159" s="2" t="str">
        <x:v>os_cfar</x:v>
      </x:c>
      <x:c r="E159" s="2" t="str">
        <x:v>noise_only</x:v>
      </x:c>
      <x:c r="F159" s="2" t="str">
        <x:v>79</x:v>
      </x:c>
      <x:c r="G159" s="2" t="str">
        <x:v>3104282</x:v>
      </x:c>
      <x:c r="H159" s="2" t="str">
        <x:v>2048000.0</x:v>
      </x:c>
      <x:c r="I159" s="2" t="str">
        <x:v>8192</x:v>
      </x:c>
      <x:c r="J159" s="2" t="str">
        <x:v>250.0</x:v>
      </x:c>
      <x:c r="K159" s="2" t="str">
        <x:v>0</x:v>
      </x:c>
      <x:c r="L159" s="2" t="str">
        <x:v>3</x:v>
      </x:c>
      <x:c r="M159" s="2" t="str">
        <x:v>0</x:v>
      </x:c>
      <x:c r="N159" s="2" t="str">
        <x:v>3</x:v>
      </x:c>
      <x:c r="O159" s="2" t="str">
        <x:v>0</x:v>
      </x:c>
      <x:c r="P159" s="2" t="str">
        <x:v>true</x:v>
      </x:c>
      <x:c r="Q159" s="2" t="str">
        <x:v>NA</x:v>
      </x:c>
      <x:c r="R159" s="2" t="str">
        <x:v>13.707165999221615</x:v>
      </x:c>
      <x:c r="S159" s="2" t="str">
        <x:v>48.301614579360475</x:v>
      </x:c>
    </x:row>
    <x:row r="160">
      <x:c r="A160" s="2" t="str">
        <x:v>DE-CMP-01</x:v>
      </x:c>
      <x:c r="B160" s="2" t="str">
        <x:v>CFG-C01</x:v>
      </x:c>
      <x:c r="C160" s="2" t="n">
        <x:v>46227.70238086805</x:v>
      </x:c>
      <x:c r="D160" s="2" t="str">
        <x:v>os_cfar</x:v>
      </x:c>
      <x:c r="E160" s="2" t="str">
        <x:v>noise_only</x:v>
      </x:c>
      <x:c r="F160" s="2" t="str">
        <x:v>80</x:v>
      </x:c>
      <x:c r="G160" s="2" t="str">
        <x:v>3104283</x:v>
      </x:c>
      <x:c r="H160" s="2" t="str">
        <x:v>2048000.0</x:v>
      </x:c>
      <x:c r="I160" s="2" t="str">
        <x:v>8192</x:v>
      </x:c>
      <x:c r="J160" s="2" t="str">
        <x:v>250.0</x:v>
      </x:c>
      <x:c r="K160" s="2" t="str">
        <x:v>0</x:v>
      </x:c>
      <x:c r="L160" s="2" t="str">
        <x:v>3</x:v>
      </x:c>
      <x:c r="M160" s="2" t="str">
        <x:v>0</x:v>
      </x:c>
      <x:c r="N160" s="2" t="str">
        <x:v>3</x:v>
      </x:c>
      <x:c r="O160" s="2" t="str">
        <x:v>0</x:v>
      </x:c>
      <x:c r="P160" s="2" t="str">
        <x:v>true</x:v>
      </x:c>
      <x:c r="Q160" s="2" t="str">
        <x:v>NA</x:v>
      </x:c>
      <x:c r="R160" s="2" t="str">
        <x:v>13.72458299738355</x:v>
      </x:c>
      <x:c r="S160" s="2" t="str">
        <x:v>48.156688193028785</x:v>
      </x:c>
    </x:row>
    <x:row r="161">
      <x:c r="A161" s="2" t="str">
        <x:v>DE-CMP-01</x:v>
      </x:c>
      <x:c r="B161" s="2" t="str">
        <x:v>CFG-C01</x:v>
      </x:c>
      <x:c r="C161" s="2" t="n">
        <x:v>46227.70238086805</x:v>
      </x:c>
      <x:c r="D161" s="2" t="str">
        <x:v>adaptive</x:v>
      </x:c>
      <x:c r="E161" s="2" t="str">
        <x:v>noise_only</x:v>
      </x:c>
      <x:c r="F161" s="2" t="str">
        <x:v>80</x:v>
      </x:c>
      <x:c r="G161" s="2" t="str">
        <x:v>3104283</x:v>
      </x:c>
      <x:c r="H161" s="2" t="str">
        <x:v>2048000.0</x:v>
      </x:c>
      <x:c r="I161" s="2" t="str">
        <x:v>8192</x:v>
      </x:c>
      <x:c r="J161" s="2" t="str">
        <x:v>250.0</x:v>
      </x:c>
      <x:c r="K161" s="2" t="str">
        <x:v>0</x:v>
      </x:c>
      <x:c r="L161" s="2" t="str">
        <x:v>3</x:v>
      </x:c>
      <x:c r="M161" s="2" t="str">
        <x:v>0</x:v>
      </x:c>
      <x:c r="N161" s="2" t="str">
        <x:v>3</x:v>
      </x:c>
      <x:c r="O161" s="2" t="str">
        <x:v>0</x:v>
      </x:c>
      <x:c r="P161" s="2" t="str">
        <x:v>true</x:v>
      </x:c>
      <x:c r="Q161" s="2" t="str">
        <x:v>NA</x:v>
      </x:c>
      <x:c r="R161" s="2" t="str">
        <x:v>0.4524999967543408</x:v>
      </x:c>
      <x:c r="S161" s="2" t="str">
        <x:v>46.342067840789305</x:v>
      </x:c>
    </x:row>
    <x:row r="162">
      <x:c r="A162" s="2" t="str">
        <x:v>DE-CMP-01</x:v>
      </x:c>
      <x:c r="B162" s="2" t="str">
        <x:v>CFG-C01</x:v>
      </x:c>
      <x:c r="C162" s="2" t="n">
        <x:v>46227.70238086805</x:v>
      </x:c>
      <x:c r="D162" s="2" t="str">
        <x:v>adaptive</x:v>
      </x:c>
      <x:c r="E162" s="2" t="str">
        <x:v>noise_only</x:v>
      </x:c>
      <x:c r="F162" s="2" t="str">
        <x:v>81</x:v>
      </x:c>
      <x:c r="G162" s="2" t="str">
        <x:v>3104284</x:v>
      </x:c>
      <x:c r="H162" s="2" t="str">
        <x:v>2048000.0</x:v>
      </x:c>
      <x:c r="I162" s="2" t="str">
        <x:v>8192</x:v>
      </x:c>
      <x:c r="J162" s="2" t="str">
        <x:v>250.0</x:v>
      </x:c>
      <x:c r="K162" s="2" t="str">
        <x:v>0</x:v>
      </x:c>
      <x:c r="L162" s="2" t="str">
        <x:v>3</x:v>
      </x:c>
      <x:c r="M162" s="2" t="str">
        <x:v>0</x:v>
      </x:c>
      <x:c r="N162" s="2" t="str">
        <x:v>3</x:v>
      </x:c>
      <x:c r="O162" s="2" t="str">
        <x:v>0</x:v>
      </x:c>
      <x:c r="P162" s="2" t="str">
        <x:v>true</x:v>
      </x:c>
      <x:c r="Q162" s="2" t="str">
        <x:v>NA</x:v>
      </x:c>
      <x:c r="R162" s="2" t="str">
        <x:v>0.43270899914205074</x:v>
      </x:c>
      <x:c r="S162" s="2" t="str">
        <x:v>46.28053832487398</x:v>
      </x:c>
    </x:row>
    <x:row r="163">
      <x:c r="A163" s="2" t="str">
        <x:v>DE-CMP-01</x:v>
      </x:c>
      <x:c r="B163" s="2" t="str">
        <x:v>CFG-C01</x:v>
      </x:c>
      <x:c r="C163" s="2" t="n">
        <x:v>46227.70238086805</x:v>
      </x:c>
      <x:c r="D163" s="2" t="str">
        <x:v>os_cfar</x:v>
      </x:c>
      <x:c r="E163" s="2" t="str">
        <x:v>noise_only</x:v>
      </x:c>
      <x:c r="F163" s="2" t="str">
        <x:v>81</x:v>
      </x:c>
      <x:c r="G163" s="2" t="str">
        <x:v>3104284</x:v>
      </x:c>
      <x:c r="H163" s="2" t="str">
        <x:v>2048000.0</x:v>
      </x:c>
      <x:c r="I163" s="2" t="str">
        <x:v>8192</x:v>
      </x:c>
      <x:c r="J163" s="2" t="str">
        <x:v>250.0</x:v>
      </x:c>
      <x:c r="K163" s="2" t="str">
        <x:v>0</x:v>
      </x:c>
      <x:c r="L163" s="2" t="str">
        <x:v>3</x:v>
      </x:c>
      <x:c r="M163" s="2" t="str">
        <x:v>0</x:v>
      </x:c>
      <x:c r="N163" s="2" t="str">
        <x:v>3</x:v>
      </x:c>
      <x:c r="O163" s="2" t="str">
        <x:v>0</x:v>
      </x:c>
      <x:c r="P163" s="2" t="str">
        <x:v>true</x:v>
      </x:c>
      <x:c r="Q163" s="2" t="str">
        <x:v>NA</x:v>
      </x:c>
      <x:c r="R163" s="2" t="str">
        <x:v>14.030749996891245</x:v>
      </x:c>
      <x:c r="S163" s="2" t="str">
        <x:v>48.18578465142984</x:v>
      </x:c>
    </x:row>
    <x:row r="164">
      <x:c r="A164" s="2" t="str">
        <x:v>DE-CMP-01</x:v>
      </x:c>
      <x:c r="B164" s="2" t="str">
        <x:v>CFG-C01</x:v>
      </x:c>
      <x:c r="C164" s="2" t="n">
        <x:v>46227.70238086805</x:v>
      </x:c>
      <x:c r="D164" s="2" t="str">
        <x:v>os_cfar</x:v>
      </x:c>
      <x:c r="E164" s="2" t="str">
        <x:v>noise_only</x:v>
      </x:c>
      <x:c r="F164" s="2" t="str">
        <x:v>82</x:v>
      </x:c>
      <x:c r="G164" s="2" t="str">
        <x:v>3104285</x:v>
      </x:c>
      <x:c r="H164" s="2" t="str">
        <x:v>2048000.0</x:v>
      </x:c>
      <x:c r="I164" s="2" t="str">
        <x:v>8192</x:v>
      </x:c>
      <x:c r="J164" s="2" t="str">
        <x:v>250.0</x:v>
      </x:c>
      <x:c r="K164" s="2" t="str">
        <x:v>0</x:v>
      </x:c>
      <x:c r="L164" s="2" t="str">
        <x:v>3</x:v>
      </x:c>
      <x:c r="M164" s="2" t="str">
        <x:v>0</x:v>
      </x:c>
      <x:c r="N164" s="2" t="str">
        <x:v>3</x:v>
      </x:c>
      <x:c r="O164" s="2" t="str">
        <x:v>0</x:v>
      </x:c>
      <x:c r="P164" s="2" t="str">
        <x:v>true</x:v>
      </x:c>
      <x:c r="Q164" s="2" t="str">
        <x:v>NA</x:v>
      </x:c>
      <x:c r="R164" s="2" t="str">
        <x:v>14.067249998333864</x:v>
      </x:c>
      <x:c r="S164" s="2" t="str">
        <x:v>48.172231541844724</x:v>
      </x:c>
    </x:row>
    <x:row r="165">
      <x:c r="A165" s="2" t="str">
        <x:v>DE-CMP-01</x:v>
      </x:c>
      <x:c r="B165" s="2" t="str">
        <x:v>CFG-C01</x:v>
      </x:c>
      <x:c r="C165" s="2" t="n">
        <x:v>46227.70238086805</x:v>
      </x:c>
      <x:c r="D165" s="2" t="str">
        <x:v>adaptive</x:v>
      </x:c>
      <x:c r="E165" s="2" t="str">
        <x:v>noise_only</x:v>
      </x:c>
      <x:c r="F165" s="2" t="str">
        <x:v>82</x:v>
      </x:c>
      <x:c r="G165" s="2" t="str">
        <x:v>3104285</x:v>
      </x:c>
      <x:c r="H165" s="2" t="str">
        <x:v>2048000.0</x:v>
      </x:c>
      <x:c r="I165" s="2" t="str">
        <x:v>8192</x:v>
      </x:c>
      <x:c r="J165" s="2" t="str">
        <x:v>250.0</x:v>
      </x:c>
      <x:c r="K165" s="2" t="str">
        <x:v>0</x:v>
      </x:c>
      <x:c r="L165" s="2" t="str">
        <x:v>3</x:v>
      </x:c>
      <x:c r="M165" s="2" t="str">
        <x:v>0</x:v>
      </x:c>
      <x:c r="N165" s="2" t="str">
        <x:v>3</x:v>
      </x:c>
      <x:c r="O165" s="2" t="str">
        <x:v>0</x:v>
      </x:c>
      <x:c r="P165" s="2" t="str">
        <x:v>true</x:v>
      </x:c>
      <x:c r="Q165" s="2" t="str">
        <x:v>NA</x:v>
      </x:c>
      <x:c r="R165" s="2" t="str">
        <x:v>0.4344580083852634</x:v>
      </x:c>
      <x:c r="S165" s="2" t="str">
        <x:v>46.30409721187111</x:v>
      </x:c>
    </x:row>
    <x:row r="166">
      <x:c r="A166" s="2" t="str">
        <x:v>DE-CMP-01</x:v>
      </x:c>
      <x:c r="B166" s="2" t="str">
        <x:v>CFG-C01</x:v>
      </x:c>
      <x:c r="C166" s="2" t="n">
        <x:v>46227.70238086805</x:v>
      </x:c>
      <x:c r="D166" s="2" t="str">
        <x:v>adaptive</x:v>
      </x:c>
      <x:c r="E166" s="2" t="str">
        <x:v>noise_only</x:v>
      </x:c>
      <x:c r="F166" s="2" t="str">
        <x:v>83</x:v>
      </x:c>
      <x:c r="G166" s="2" t="str">
        <x:v>3104286</x:v>
      </x:c>
      <x:c r="H166" s="2" t="str">
        <x:v>2048000.0</x:v>
      </x:c>
      <x:c r="I166" s="2" t="str">
        <x:v>8192</x:v>
      </x:c>
      <x:c r="J166" s="2" t="str">
        <x:v>250.0</x:v>
      </x:c>
      <x:c r="K166" s="2" t="str">
        <x:v>0</x:v>
      </x:c>
      <x:c r="L166" s="2" t="str">
        <x:v>3</x:v>
      </x:c>
      <x:c r="M166" s="2" t="str">
        <x:v>0</x:v>
      </x:c>
      <x:c r="N166" s="2" t="str">
        <x:v>3</x:v>
      </x:c>
      <x:c r="O166" s="2" t="str">
        <x:v>0</x:v>
      </x:c>
      <x:c r="P166" s="2" t="str">
        <x:v>true</x:v>
      </x:c>
      <x:c r="Q166" s="2" t="str">
        <x:v>NA</x:v>
      </x:c>
      <x:c r="R166" s="2" t="str">
        <x:v>0.41599999531172216</x:v>
      </x:c>
      <x:c r="S166" s="2" t="str">
        <x:v>46.38132336494964</x:v>
      </x:c>
    </x:row>
    <x:row r="167">
      <x:c r="A167" s="2" t="str">
        <x:v>DE-CMP-01</x:v>
      </x:c>
      <x:c r="B167" s="2" t="str">
        <x:v>CFG-C01</x:v>
      </x:c>
      <x:c r="C167" s="2" t="n">
        <x:v>46227.70238086805</x:v>
      </x:c>
      <x:c r="D167" s="2" t="str">
        <x:v>os_cfar</x:v>
      </x:c>
      <x:c r="E167" s="2" t="str">
        <x:v>noise_only</x:v>
      </x:c>
      <x:c r="F167" s="2" t="str">
        <x:v>83</x:v>
      </x:c>
      <x:c r="G167" s="2" t="str">
        <x:v>3104286</x:v>
      </x:c>
      <x:c r="H167" s="2" t="str">
        <x:v>2048000.0</x:v>
      </x:c>
      <x:c r="I167" s="2" t="str">
        <x:v>8192</x:v>
      </x:c>
      <x:c r="J167" s="2" t="str">
        <x:v>250.0</x:v>
      </x:c>
      <x:c r="K167" s="2" t="str">
        <x:v>0</x:v>
      </x:c>
      <x:c r="L167" s="2" t="str">
        <x:v>3</x:v>
      </x:c>
      <x:c r="M167" s="2" t="str">
        <x:v>0</x:v>
      </x:c>
      <x:c r="N167" s="2" t="str">
        <x:v>3</x:v>
      </x:c>
      <x:c r="O167" s="2" t="str">
        <x:v>0</x:v>
      </x:c>
      <x:c r="P167" s="2" t="str">
        <x:v>true</x:v>
      </x:c>
      <x:c r="Q167" s="2" t="str">
        <x:v>NA</x:v>
      </x:c>
      <x:c r="R167" s="2" t="str">
        <x:v>14.17670800583437</x:v>
      </x:c>
      <x:c r="S167" s="2" t="str">
        <x:v>48.128489362742314</x:v>
      </x:c>
    </x:row>
    <x:row r="168">
      <x:c r="A168" s="2" t="str">
        <x:v>DE-CMP-01</x:v>
      </x:c>
      <x:c r="B168" s="2" t="str">
        <x:v>CFG-C01</x:v>
      </x:c>
      <x:c r="C168" s="2" t="n">
        <x:v>46227.70238086805</x:v>
      </x:c>
      <x:c r="D168" s="2" t="str">
        <x:v>os_cfar</x:v>
      </x:c>
      <x:c r="E168" s="2" t="str">
        <x:v>noise_only</x:v>
      </x:c>
      <x:c r="F168" s="2" t="str">
        <x:v>84</x:v>
      </x:c>
      <x:c r="G168" s="2" t="str">
        <x:v>3104287</x:v>
      </x:c>
      <x:c r="H168" s="2" t="str">
        <x:v>2048000.0</x:v>
      </x:c>
      <x:c r="I168" s="2" t="str">
        <x:v>8192</x:v>
      </x:c>
      <x:c r="J168" s="2" t="str">
        <x:v>250.0</x:v>
      </x:c>
      <x:c r="K168" s="2" t="str">
        <x:v>0</x:v>
      </x:c>
      <x:c r="L168" s="2" t="str">
        <x:v>3</x:v>
      </x:c>
      <x:c r="M168" s="2" t="str">
        <x:v>0</x:v>
      </x:c>
      <x:c r="N168" s="2" t="str">
        <x:v>3</x:v>
      </x:c>
      <x:c r="O168" s="2" t="str">
        <x:v>0</x:v>
      </x:c>
      <x:c r="P168" s="2" t="str">
        <x:v>true</x:v>
      </x:c>
      <x:c r="Q168" s="2" t="str">
        <x:v>NA</x:v>
      </x:c>
      <x:c r="R168" s="2" t="str">
        <x:v>13.783125003101304</x:v>
      </x:c>
      <x:c r="S168" s="2" t="str">
        <x:v>48.230231260135525</x:v>
      </x:c>
    </x:row>
    <x:row r="169">
      <x:c r="A169" s="2" t="str">
        <x:v>DE-CMP-01</x:v>
      </x:c>
      <x:c r="B169" s="2" t="str">
        <x:v>CFG-C01</x:v>
      </x:c>
      <x:c r="C169" s="2" t="n">
        <x:v>46227.70238086805</x:v>
      </x:c>
      <x:c r="D169" s="2" t="str">
        <x:v>adaptive</x:v>
      </x:c>
      <x:c r="E169" s="2" t="str">
        <x:v>noise_only</x:v>
      </x:c>
      <x:c r="F169" s="2" t="str">
        <x:v>84</x:v>
      </x:c>
      <x:c r="G169" s="2" t="str">
        <x:v>3104287</x:v>
      </x:c>
      <x:c r="H169" s="2" t="str">
        <x:v>2048000.0</x:v>
      </x:c>
      <x:c r="I169" s="2" t="str">
        <x:v>8192</x:v>
      </x:c>
      <x:c r="J169" s="2" t="str">
        <x:v>250.0</x:v>
      </x:c>
      <x:c r="K169" s="2" t="str">
        <x:v>0</x:v>
      </x:c>
      <x:c r="L169" s="2" t="str">
        <x:v>3</x:v>
      </x:c>
      <x:c r="M169" s="2" t="str">
        <x:v>0</x:v>
      </x:c>
      <x:c r="N169" s="2" t="str">
        <x:v>3</x:v>
      </x:c>
      <x:c r="O169" s="2" t="str">
        <x:v>0</x:v>
      </x:c>
      <x:c r="P169" s="2" t="str">
        <x:v>true</x:v>
      </x:c>
      <x:c r="Q169" s="2" t="str">
        <x:v>NA</x:v>
      </x:c>
      <x:c r="R169" s="2" t="str">
        <x:v>0.5438749940367416</x:v>
      </x:c>
      <x:c r="S169" s="2" t="str">
        <x:v>46.497572302433475</x:v>
      </x:c>
    </x:row>
    <x:row r="170">
      <x:c r="A170" s="2" t="str">
        <x:v>DE-CMP-01</x:v>
      </x:c>
      <x:c r="B170" s="2" t="str">
        <x:v>CFG-C01</x:v>
      </x:c>
      <x:c r="C170" s="2" t="n">
        <x:v>46227.70238086805</x:v>
      </x:c>
      <x:c r="D170" s="2" t="str">
        <x:v>adaptive</x:v>
      </x:c>
      <x:c r="E170" s="2" t="str">
        <x:v>noise_only</x:v>
      </x:c>
      <x:c r="F170" s="2" t="str">
        <x:v>85</x:v>
      </x:c>
      <x:c r="G170" s="2" t="str">
        <x:v>3104288</x:v>
      </x:c>
      <x:c r="H170" s="2" t="str">
        <x:v>2048000.0</x:v>
      </x:c>
      <x:c r="I170" s="2" t="str">
        <x:v>8192</x:v>
      </x:c>
      <x:c r="J170" s="2" t="str">
        <x:v>250.0</x:v>
      </x:c>
      <x:c r="K170" s="2" t="str">
        <x:v>0</x:v>
      </x:c>
      <x:c r="L170" s="2" t="str">
        <x:v>3</x:v>
      </x:c>
      <x:c r="M170" s="2" t="str">
        <x:v>0</x:v>
      </x:c>
      <x:c r="N170" s="2" t="str">
        <x:v>3</x:v>
      </x:c>
      <x:c r="O170" s="2" t="str">
        <x:v>0</x:v>
      </x:c>
      <x:c r="P170" s="2" t="str">
        <x:v>true</x:v>
      </x:c>
      <x:c r="Q170" s="2" t="str">
        <x:v>NA</x:v>
      </x:c>
      <x:c r="R170" s="2" t="str">
        <x:v>0.4384579951874912</x:v>
      </x:c>
      <x:c r="S170" s="2" t="str">
        <x:v>46.41447401477717</x:v>
      </x:c>
    </x:row>
    <x:row r="171">
      <x:c r="A171" s="2" t="str">
        <x:v>DE-CMP-01</x:v>
      </x:c>
      <x:c r="B171" s="2" t="str">
        <x:v>CFG-C01</x:v>
      </x:c>
      <x:c r="C171" s="2" t="n">
        <x:v>46227.70238086805</x:v>
      </x:c>
      <x:c r="D171" s="2" t="str">
        <x:v>os_cfar</x:v>
      </x:c>
      <x:c r="E171" s="2" t="str">
        <x:v>noise_only</x:v>
      </x:c>
      <x:c r="F171" s="2" t="str">
        <x:v>85</x:v>
      </x:c>
      <x:c r="G171" s="2" t="str">
        <x:v>3104288</x:v>
      </x:c>
      <x:c r="H171" s="2" t="str">
        <x:v>2048000.0</x:v>
      </x:c>
      <x:c r="I171" s="2" t="str">
        <x:v>8192</x:v>
      </x:c>
      <x:c r="J171" s="2" t="str">
        <x:v>250.0</x:v>
      </x:c>
      <x:c r="K171" s="2" t="str">
        <x:v>0</x:v>
      </x:c>
      <x:c r="L171" s="2" t="str">
        <x:v>3</x:v>
      </x:c>
      <x:c r="M171" s="2" t="str">
        <x:v>0</x:v>
      </x:c>
      <x:c r="N171" s="2" t="str">
        <x:v>3</x:v>
      </x:c>
      <x:c r="O171" s="2" t="str">
        <x:v>0</x:v>
      </x:c>
      <x:c r="P171" s="2" t="str">
        <x:v>true</x:v>
      </x:c>
      <x:c r="Q171" s="2" t="str">
        <x:v>NA</x:v>
      </x:c>
      <x:c r="R171" s="2" t="str">
        <x:v>13.659959004144184</x:v>
      </x:c>
      <x:c r="S171" s="2" t="str">
        <x:v>48.326150717594075</x:v>
      </x:c>
    </x:row>
    <x:row r="172">
      <x:c r="A172" s="2" t="str">
        <x:v>DE-CMP-01</x:v>
      </x:c>
      <x:c r="B172" s="2" t="str">
        <x:v>CFG-C01</x:v>
      </x:c>
      <x:c r="C172" s="2" t="n">
        <x:v>46227.70238086805</x:v>
      </x:c>
      <x:c r="D172" s="2" t="str">
        <x:v>os_cfar</x:v>
      </x:c>
      <x:c r="E172" s="2" t="str">
        <x:v>noise_only</x:v>
      </x:c>
      <x:c r="F172" s="2" t="str">
        <x:v>86</x:v>
      </x:c>
      <x:c r="G172" s="2" t="str">
        <x:v>3104289</x:v>
      </x:c>
      <x:c r="H172" s="2" t="str">
        <x:v>2048000.0</x:v>
      </x:c>
      <x:c r="I172" s="2" t="str">
        <x:v>8192</x:v>
      </x:c>
      <x:c r="J172" s="2" t="str">
        <x:v>250.0</x:v>
      </x:c>
      <x:c r="K172" s="2" t="str">
        <x:v>0</x:v>
      </x:c>
      <x:c r="L172" s="2" t="str">
        <x:v>3</x:v>
      </x:c>
      <x:c r="M172" s="2" t="str">
        <x:v>0</x:v>
      </x:c>
      <x:c r="N172" s="2" t="str">
        <x:v>3</x:v>
      </x:c>
      <x:c r="O172" s="2" t="str">
        <x:v>0</x:v>
      </x:c>
      <x:c r="P172" s="2" t="str">
        <x:v>true</x:v>
      </x:c>
      <x:c r="Q172" s="2" t="str">
        <x:v>NA</x:v>
      </x:c>
      <x:c r="R172" s="2" t="str">
        <x:v>13.938290998339653</x:v>
      </x:c>
      <x:c r="S172" s="2" t="str">
        <x:v>48.25965688485654</x:v>
      </x:c>
    </x:row>
    <x:row r="173">
      <x:c r="A173" s="2" t="str">
        <x:v>DE-CMP-01</x:v>
      </x:c>
      <x:c r="B173" s="2" t="str">
        <x:v>CFG-C01</x:v>
      </x:c>
      <x:c r="C173" s="2" t="n">
        <x:v>46227.70238086805</x:v>
      </x:c>
      <x:c r="D173" s="2" t="str">
        <x:v>adaptive</x:v>
      </x:c>
      <x:c r="E173" s="2" t="str">
        <x:v>noise_only</x:v>
      </x:c>
      <x:c r="F173" s="2" t="str">
        <x:v>86</x:v>
      </x:c>
      <x:c r="G173" s="2" t="str">
        <x:v>3104289</x:v>
      </x:c>
      <x:c r="H173" s="2" t="str">
        <x:v>2048000.0</x:v>
      </x:c>
      <x:c r="I173" s="2" t="str">
        <x:v>8192</x:v>
      </x:c>
      <x:c r="J173" s="2" t="str">
        <x:v>250.0</x:v>
      </x:c>
      <x:c r="K173" s="2" t="str">
        <x:v>0</x:v>
      </x:c>
      <x:c r="L173" s="2" t="str">
        <x:v>3</x:v>
      </x:c>
      <x:c r="M173" s="2" t="str">
        <x:v>0</x:v>
      </x:c>
      <x:c r="N173" s="2" t="str">
        <x:v>3</x:v>
      </x:c>
      <x:c r="O173" s="2" t="str">
        <x:v>0</x:v>
      </x:c>
      <x:c r="P173" s="2" t="str">
        <x:v>true</x:v>
      </x:c>
      <x:c r="Q173" s="2" t="str">
        <x:v>NA</x:v>
      </x:c>
      <x:c r="R173" s="2" t="str">
        <x:v>0.4495839966693893</x:v>
      </x:c>
      <x:c r="S173" s="2" t="str">
        <x:v>46.5221934455968</x:v>
      </x:c>
    </x:row>
    <x:row r="174">
      <x:c r="A174" s="2" t="str">
        <x:v>DE-CMP-01</x:v>
      </x:c>
      <x:c r="B174" s="2" t="str">
        <x:v>CFG-C01</x:v>
      </x:c>
      <x:c r="C174" s="2" t="n">
        <x:v>46227.70238086805</x:v>
      </x:c>
      <x:c r="D174" s="2" t="str">
        <x:v>adaptive</x:v>
      </x:c>
      <x:c r="E174" s="2" t="str">
        <x:v>noise_only</x:v>
      </x:c>
      <x:c r="F174" s="2" t="str">
        <x:v>87</x:v>
      </x:c>
      <x:c r="G174" s="2" t="str">
        <x:v>3104290</x:v>
      </x:c>
      <x:c r="H174" s="2" t="str">
        <x:v>2048000.0</x:v>
      </x:c>
      <x:c r="I174" s="2" t="str">
        <x:v>8192</x:v>
      </x:c>
      <x:c r="J174" s="2" t="str">
        <x:v>250.0</x:v>
      </x:c>
      <x:c r="K174" s="2" t="str">
        <x:v>0</x:v>
      </x:c>
      <x:c r="L174" s="2" t="str">
        <x:v>3</x:v>
      </x:c>
      <x:c r="M174" s="2" t="str">
        <x:v>0</x:v>
      </x:c>
      <x:c r="N174" s="2" t="str">
        <x:v>3</x:v>
      </x:c>
      <x:c r="O174" s="2" t="str">
        <x:v>0</x:v>
      </x:c>
      <x:c r="P174" s="2" t="str">
        <x:v>true</x:v>
      </x:c>
      <x:c r="Q174" s="2" t="str">
        <x:v>NA</x:v>
      </x:c>
      <x:c r="R174" s="2" t="str">
        <x:v>0.4169590101810172</x:v>
      </x:c>
      <x:c r="S174" s="2" t="str">
        <x:v>46.44458636110449</x:v>
      </x:c>
    </x:row>
    <x:row r="175">
      <x:c r="A175" s="2" t="str">
        <x:v>DE-CMP-01</x:v>
      </x:c>
      <x:c r="B175" s="2" t="str">
        <x:v>CFG-C01</x:v>
      </x:c>
      <x:c r="C175" s="2" t="n">
        <x:v>46227.70238086805</x:v>
      </x:c>
      <x:c r="D175" s="2" t="str">
        <x:v>os_cfar</x:v>
      </x:c>
      <x:c r="E175" s="2" t="str">
        <x:v>noise_only</x:v>
      </x:c>
      <x:c r="F175" s="2" t="str">
        <x:v>87</x:v>
      </x:c>
      <x:c r="G175" s="2" t="str">
        <x:v>3104290</x:v>
      </x:c>
      <x:c r="H175" s="2" t="str">
        <x:v>2048000.0</x:v>
      </x:c>
      <x:c r="I175" s="2" t="str">
        <x:v>8192</x:v>
      </x:c>
      <x:c r="J175" s="2" t="str">
        <x:v>250.0</x:v>
      </x:c>
      <x:c r="K175" s="2" t="str">
        <x:v>0</x:v>
      </x:c>
      <x:c r="L175" s="2" t="str">
        <x:v>3</x:v>
      </x:c>
      <x:c r="M175" s="2" t="str">
        <x:v>0</x:v>
      </x:c>
      <x:c r="N175" s="2" t="str">
        <x:v>3</x:v>
      </x:c>
      <x:c r="O175" s="2" t="str">
        <x:v>0</x:v>
      </x:c>
      <x:c r="P175" s="2" t="str">
        <x:v>true</x:v>
      </x:c>
      <x:c r="Q175" s="2" t="str">
        <x:v>NA</x:v>
      </x:c>
      <x:c r="R175" s="2" t="str">
        <x:v>14.028416000655852</x:v>
      </x:c>
      <x:c r="S175" s="2" t="str">
        <x:v>48.282161424222146</x:v>
      </x:c>
    </x:row>
    <x:row r="176">
      <x:c r="A176" s="2" t="str">
        <x:v>DE-CMP-01</x:v>
      </x:c>
      <x:c r="B176" s="2" t="str">
        <x:v>CFG-C01</x:v>
      </x:c>
      <x:c r="C176" s="2" t="n">
        <x:v>46227.70238086805</x:v>
      </x:c>
      <x:c r="D176" s="2" t="str">
        <x:v>os_cfar</x:v>
      </x:c>
      <x:c r="E176" s="2" t="str">
        <x:v>noise_only</x:v>
      </x:c>
      <x:c r="F176" s="2" t="str">
        <x:v>88</x:v>
      </x:c>
      <x:c r="G176" s="2" t="str">
        <x:v>3104291</x:v>
      </x:c>
      <x:c r="H176" s="2" t="str">
        <x:v>2048000.0</x:v>
      </x:c>
      <x:c r="I176" s="2" t="str">
        <x:v>8192</x:v>
      </x:c>
      <x:c r="J176" s="2" t="str">
        <x:v>250.0</x:v>
      </x:c>
      <x:c r="K176" s="2" t="str">
        <x:v>0</x:v>
      </x:c>
      <x:c r="L176" s="2" t="str">
        <x:v>3</x:v>
      </x:c>
      <x:c r="M176" s="2" t="str">
        <x:v>0</x:v>
      </x:c>
      <x:c r="N176" s="2" t="str">
        <x:v>3</x:v>
      </x:c>
      <x:c r="O176" s="2" t="str">
        <x:v>0</x:v>
      </x:c>
      <x:c r="P176" s="2" t="str">
        <x:v>true</x:v>
      </x:c>
      <x:c r="Q176" s="2" t="str">
        <x:v>NA</x:v>
      </x:c>
      <x:c r="R176" s="2" t="str">
        <x:v>14.241249999031425</x:v>
      </x:c>
      <x:c r="S176" s="2" t="str">
        <x:v>48.08665487844352</x:v>
      </x:c>
    </x:row>
    <x:row r="177">
      <x:c r="A177" s="2" t="str">
        <x:v>DE-CMP-01</x:v>
      </x:c>
      <x:c r="B177" s="2" t="str">
        <x:v>CFG-C01</x:v>
      </x:c>
      <x:c r="C177" s="2" t="n">
        <x:v>46227.70238086805</x:v>
      </x:c>
      <x:c r="D177" s="2" t="str">
        <x:v>adaptive</x:v>
      </x:c>
      <x:c r="E177" s="2" t="str">
        <x:v>noise_only</x:v>
      </x:c>
      <x:c r="F177" s="2" t="str">
        <x:v>88</x:v>
      </x:c>
      <x:c r="G177" s="2" t="str">
        <x:v>3104291</x:v>
      </x:c>
      <x:c r="H177" s="2" t="str">
        <x:v>2048000.0</x:v>
      </x:c>
      <x:c r="I177" s="2" t="str">
        <x:v>8192</x:v>
      </x:c>
      <x:c r="J177" s="2" t="str">
        <x:v>250.0</x:v>
      </x:c>
      <x:c r="K177" s="2" t="str">
        <x:v>0</x:v>
      </x:c>
      <x:c r="L177" s="2" t="str">
        <x:v>3</x:v>
      </x:c>
      <x:c r="M177" s="2" t="str">
        <x:v>0</x:v>
      </x:c>
      <x:c r="N177" s="2" t="str">
        <x:v>3</x:v>
      </x:c>
      <x:c r="O177" s="2" t="str">
        <x:v>0</x:v>
      </x:c>
      <x:c r="P177" s="2" t="str">
        <x:v>true</x:v>
      </x:c>
      <x:c r="Q177" s="2" t="str">
        <x:v>NA</x:v>
      </x:c>
      <x:c r="R177" s="2" t="str">
        <x:v>0.43724999704863876</x:v>
      </x:c>
      <x:c r="S177" s="2" t="str">
        <x:v>46.27096051727109</x:v>
      </x:c>
    </x:row>
    <x:row r="178">
      <x:c r="A178" s="2" t="str">
        <x:v>DE-CMP-01</x:v>
      </x:c>
      <x:c r="B178" s="2" t="str">
        <x:v>CFG-C01</x:v>
      </x:c>
      <x:c r="C178" s="2" t="n">
        <x:v>46227.70238086805</x:v>
      </x:c>
      <x:c r="D178" s="2" t="str">
        <x:v>adaptive</x:v>
      </x:c>
      <x:c r="E178" s="2" t="str">
        <x:v>noise_only</x:v>
      </x:c>
      <x:c r="F178" s="2" t="str">
        <x:v>89</x:v>
      </x:c>
      <x:c r="G178" s="2" t="str">
        <x:v>3104292</x:v>
      </x:c>
      <x:c r="H178" s="2" t="str">
        <x:v>2048000.0</x:v>
      </x:c>
      <x:c r="I178" s="2" t="str">
        <x:v>8192</x:v>
      </x:c>
      <x:c r="J178" s="2" t="str">
        <x:v>250.0</x:v>
      </x:c>
      <x:c r="K178" s="2" t="str">
        <x:v>0</x:v>
      </x:c>
      <x:c r="L178" s="2" t="str">
        <x:v>3</x:v>
      </x:c>
      <x:c r="M178" s="2" t="str">
        <x:v>0</x:v>
      </x:c>
      <x:c r="N178" s="2" t="str">
        <x:v>3</x:v>
      </x:c>
      <x:c r="O178" s="2" t="str">
        <x:v>0</x:v>
      </x:c>
      <x:c r="P178" s="2" t="str">
        <x:v>true</x:v>
      </x:c>
      <x:c r="Q178" s="2" t="str">
        <x:v>NA</x:v>
      </x:c>
      <x:c r="R178" s="2" t="str">
        <x:v>0.4130830056965351</x:v>
      </x:c>
      <x:c r="S178" s="2" t="str">
        <x:v>46.365805629151225</x:v>
      </x:c>
    </x:row>
    <x:row r="179">
      <x:c r="A179" s="2" t="str">
        <x:v>DE-CMP-01</x:v>
      </x:c>
      <x:c r="B179" s="2" t="str">
        <x:v>CFG-C01</x:v>
      </x:c>
      <x:c r="C179" s="2" t="n">
        <x:v>46227.70238086805</x:v>
      </x:c>
      <x:c r="D179" s="2" t="str">
        <x:v>os_cfar</x:v>
      </x:c>
      <x:c r="E179" s="2" t="str">
        <x:v>noise_only</x:v>
      </x:c>
      <x:c r="F179" s="2" t="str">
        <x:v>89</x:v>
      </x:c>
      <x:c r="G179" s="2" t="str">
        <x:v>3104292</x:v>
      </x:c>
      <x:c r="H179" s="2" t="str">
        <x:v>2048000.0</x:v>
      </x:c>
      <x:c r="I179" s="2" t="str">
        <x:v>8192</x:v>
      </x:c>
      <x:c r="J179" s="2" t="str">
        <x:v>250.0</x:v>
      </x:c>
      <x:c r="K179" s="2" t="str">
        <x:v>0</x:v>
      </x:c>
      <x:c r="L179" s="2" t="str">
        <x:v>3</x:v>
      </x:c>
      <x:c r="M179" s="2" t="str">
        <x:v>0</x:v>
      </x:c>
      <x:c r="N179" s="2" t="str">
        <x:v>3</x:v>
      </x:c>
      <x:c r="O179" s="2" t="str">
        <x:v>0</x:v>
      </x:c>
      <x:c r="P179" s="2" t="str">
        <x:v>true</x:v>
      </x:c>
      <x:c r="Q179" s="2" t="str">
        <x:v>NA</x:v>
      </x:c>
      <x:c r="R179" s="2" t="str">
        <x:v>14.040417008800432</x:v>
      </x:c>
      <x:c r="S179" s="2" t="str">
        <x:v>48.30228990602332</x:v>
      </x:c>
    </x:row>
    <x:row r="180">
      <x:c r="A180" s="2" t="str">
        <x:v>DE-CMP-01</x:v>
      </x:c>
      <x:c r="B180" s="2" t="str">
        <x:v>CFG-C01</x:v>
      </x:c>
      <x:c r="C180" s="2" t="n">
        <x:v>46227.70238086805</x:v>
      </x:c>
      <x:c r="D180" s="2" t="str">
        <x:v>os_cfar</x:v>
      </x:c>
      <x:c r="E180" s="2" t="str">
        <x:v>noise_only</x:v>
      </x:c>
      <x:c r="F180" s="2" t="str">
        <x:v>90</x:v>
      </x:c>
      <x:c r="G180" s="2" t="str">
        <x:v>3104293</x:v>
      </x:c>
      <x:c r="H180" s="2" t="str">
        <x:v>2048000.0</x:v>
      </x:c>
      <x:c r="I180" s="2" t="str">
        <x:v>8192</x:v>
      </x:c>
      <x:c r="J180" s="2" t="str">
        <x:v>250.0</x:v>
      </x:c>
      <x:c r="K180" s="2" t="str">
        <x:v>0</x:v>
      </x:c>
      <x:c r="L180" s="2" t="str">
        <x:v>3</x:v>
      </x:c>
      <x:c r="M180" s="2" t="str">
        <x:v>0</x:v>
      </x:c>
      <x:c r="N180" s="2" t="str">
        <x:v>3</x:v>
      </x:c>
      <x:c r="O180" s="2" t="str">
        <x:v>0</x:v>
      </x:c>
      <x:c r="P180" s="2" t="str">
        <x:v>true</x:v>
      </x:c>
      <x:c r="Q180" s="2" t="str">
        <x:v>NA</x:v>
      </x:c>
      <x:c r="R180" s="2" t="str">
        <x:v>14.124875000561588</x:v>
      </x:c>
      <x:c r="S180" s="2" t="str">
        <x:v>48.340264552272956</x:v>
      </x:c>
    </x:row>
    <x:row r="181">
      <x:c r="A181" s="2" t="str">
        <x:v>DE-CMP-01</x:v>
      </x:c>
      <x:c r="B181" s="2" t="str">
        <x:v>CFG-C01</x:v>
      </x:c>
      <x:c r="C181" s="2" t="n">
        <x:v>46227.70238086805</x:v>
      </x:c>
      <x:c r="D181" s="2" t="str">
        <x:v>adaptive</x:v>
      </x:c>
      <x:c r="E181" s="2" t="str">
        <x:v>noise_only</x:v>
      </x:c>
      <x:c r="F181" s="2" t="str">
        <x:v>90</x:v>
      </x:c>
      <x:c r="G181" s="2" t="str">
        <x:v>3104293</x:v>
      </x:c>
      <x:c r="H181" s="2" t="str">
        <x:v>2048000.0</x:v>
      </x:c>
      <x:c r="I181" s="2" t="str">
        <x:v>8192</x:v>
      </x:c>
      <x:c r="J181" s="2" t="str">
        <x:v>250.0</x:v>
      </x:c>
      <x:c r="K181" s="2" t="str">
        <x:v>0</x:v>
      </x:c>
      <x:c r="L181" s="2" t="str">
        <x:v>3</x:v>
      </x:c>
      <x:c r="M181" s="2" t="str">
        <x:v>0</x:v>
      </x:c>
      <x:c r="N181" s="2" t="str">
        <x:v>3</x:v>
      </x:c>
      <x:c r="O181" s="2" t="str">
        <x:v>0</x:v>
      </x:c>
      <x:c r="P181" s="2" t="str">
        <x:v>true</x:v>
      </x:c>
      <x:c r="Q181" s="2" t="str">
        <x:v>NA</x:v>
      </x:c>
      <x:c r="R181" s="2" t="str">
        <x:v>0.4440420016180724</x:v>
      </x:c>
      <x:c r="S181" s="2" t="str">
        <x:v>46.7288726388847</x:v>
      </x:c>
    </x:row>
    <x:row r="182">
      <x:c r="A182" s="2" t="str">
        <x:v>DE-CMP-01</x:v>
      </x:c>
      <x:c r="B182" s="2" t="str">
        <x:v>CFG-C01</x:v>
      </x:c>
      <x:c r="C182" s="2" t="n">
        <x:v>46227.70238086805</x:v>
      </x:c>
      <x:c r="D182" s="2" t="str">
        <x:v>adaptive</x:v>
      </x:c>
      <x:c r="E182" s="2" t="str">
        <x:v>noise_only</x:v>
      </x:c>
      <x:c r="F182" s="2" t="str">
        <x:v>91</x:v>
      </x:c>
      <x:c r="G182" s="2" t="str">
        <x:v>3104294</x:v>
      </x:c>
      <x:c r="H182" s="2" t="str">
        <x:v>2048000.0</x:v>
      </x:c>
      <x:c r="I182" s="2" t="str">
        <x:v>8192</x:v>
      </x:c>
      <x:c r="J182" s="2" t="str">
        <x:v>250.0</x:v>
      </x:c>
      <x:c r="K182" s="2" t="str">
        <x:v>0</x:v>
      </x:c>
      <x:c r="L182" s="2" t="str">
        <x:v>3</x:v>
      </x:c>
      <x:c r="M182" s="2" t="str">
        <x:v>0</x:v>
      </x:c>
      <x:c r="N182" s="2" t="str">
        <x:v>3</x:v>
      </x:c>
      <x:c r="O182" s="2" t="str">
        <x:v>0</x:v>
      </x:c>
      <x:c r="P182" s="2" t="str">
        <x:v>true</x:v>
      </x:c>
      <x:c r="Q182" s="2" t="str">
        <x:v>NA</x:v>
      </x:c>
      <x:c r="R182" s="2" t="str">
        <x:v>0.42554100218694657</x:v>
      </x:c>
      <x:c r="S182" s="2" t="str">
        <x:v>46.36303322076004</x:v>
      </x:c>
    </x:row>
    <x:row r="183">
      <x:c r="A183" s="2" t="str">
        <x:v>DE-CMP-01</x:v>
      </x:c>
      <x:c r="B183" s="2" t="str">
        <x:v>CFG-C01</x:v>
      </x:c>
      <x:c r="C183" s="2" t="n">
        <x:v>46227.70238086805</x:v>
      </x:c>
      <x:c r="D183" s="2" t="str">
        <x:v>os_cfar</x:v>
      </x:c>
      <x:c r="E183" s="2" t="str">
        <x:v>noise_only</x:v>
      </x:c>
      <x:c r="F183" s="2" t="str">
        <x:v>91</x:v>
      </x:c>
      <x:c r="G183" s="2" t="str">
        <x:v>3104294</x:v>
      </x:c>
      <x:c r="H183" s="2" t="str">
        <x:v>2048000.0</x:v>
      </x:c>
      <x:c r="I183" s="2" t="str">
        <x:v>8192</x:v>
      </x:c>
      <x:c r="J183" s="2" t="str">
        <x:v>250.0</x:v>
      </x:c>
      <x:c r="K183" s="2" t="str">
        <x:v>0</x:v>
      </x:c>
      <x:c r="L183" s="2" t="str">
        <x:v>3</x:v>
      </x:c>
      <x:c r="M183" s="2" t="str">
        <x:v>0</x:v>
      </x:c>
      <x:c r="N183" s="2" t="str">
        <x:v>3</x:v>
      </x:c>
      <x:c r="O183" s="2" t="str">
        <x:v>0</x:v>
      </x:c>
      <x:c r="P183" s="2" t="str">
        <x:v>true</x:v>
      </x:c>
      <x:c r="Q183" s="2" t="str">
        <x:v>NA</x:v>
      </x:c>
      <x:c r="R183" s="2" t="str">
        <x:v>13.867415997083299</x:v>
      </x:c>
      <x:c r="S183" s="2" t="str">
        <x:v>48.24455755946567</x:v>
      </x:c>
    </x:row>
    <x:row r="184">
      <x:c r="A184" s="2" t="str">
        <x:v>DE-CMP-01</x:v>
      </x:c>
      <x:c r="B184" s="2" t="str">
        <x:v>CFG-C01</x:v>
      </x:c>
      <x:c r="C184" s="2" t="n">
        <x:v>46227.70238086805</x:v>
      </x:c>
      <x:c r="D184" s="2" t="str">
        <x:v>os_cfar</x:v>
      </x:c>
      <x:c r="E184" s="2" t="str">
        <x:v>noise_only</x:v>
      </x:c>
      <x:c r="F184" s="2" t="str">
        <x:v>92</x:v>
      </x:c>
      <x:c r="G184" s="2" t="str">
        <x:v>3104295</x:v>
      </x:c>
      <x:c r="H184" s="2" t="str">
        <x:v>2048000.0</x:v>
      </x:c>
      <x:c r="I184" s="2" t="str">
        <x:v>8192</x:v>
      </x:c>
      <x:c r="J184" s="2" t="str">
        <x:v>250.0</x:v>
      </x:c>
      <x:c r="K184" s="2" t="str">
        <x:v>0</x:v>
      </x:c>
      <x:c r="L184" s="2" t="str">
        <x:v>3</x:v>
      </x:c>
      <x:c r="M184" s="2" t="str">
        <x:v>0</x:v>
      </x:c>
      <x:c r="N184" s="2" t="str">
        <x:v>3</x:v>
      </x:c>
      <x:c r="O184" s="2" t="str">
        <x:v>0</x:v>
      </x:c>
      <x:c r="P184" s="2" t="str">
        <x:v>true</x:v>
      </x:c>
      <x:c r="Q184" s="2" t="str">
        <x:v>NA</x:v>
      </x:c>
      <x:c r="R184" s="2" t="str">
        <x:v>13.691790998564102</x:v>
      </x:c>
      <x:c r="S184" s="2" t="str">
        <x:v>48.32528618256701</x:v>
      </x:c>
    </x:row>
    <x:row r="185">
      <x:c r="A185" s="2" t="str">
        <x:v>DE-CMP-01</x:v>
      </x:c>
      <x:c r="B185" s="2" t="str">
        <x:v>CFG-C01</x:v>
      </x:c>
      <x:c r="C185" s="2" t="n">
        <x:v>46227.70238086805</x:v>
      </x:c>
      <x:c r="D185" s="2" t="str">
        <x:v>adaptive</x:v>
      </x:c>
      <x:c r="E185" s="2" t="str">
        <x:v>noise_only</x:v>
      </x:c>
      <x:c r="F185" s="2" t="str">
        <x:v>92</x:v>
      </x:c>
      <x:c r="G185" s="2" t="str">
        <x:v>3104295</x:v>
      </x:c>
      <x:c r="H185" s="2" t="str">
        <x:v>2048000.0</x:v>
      </x:c>
      <x:c r="I185" s="2" t="str">
        <x:v>8192</x:v>
      </x:c>
      <x:c r="J185" s="2" t="str">
        <x:v>250.0</x:v>
      </x:c>
      <x:c r="K185" s="2" t="str">
        <x:v>0</x:v>
      </x:c>
      <x:c r="L185" s="2" t="str">
        <x:v>3</x:v>
      </x:c>
      <x:c r="M185" s="2" t="str">
        <x:v>0</x:v>
      </x:c>
      <x:c r="N185" s="2" t="str">
        <x:v>3</x:v>
      </x:c>
      <x:c r="O185" s="2" t="str">
        <x:v>0</x:v>
      </x:c>
      <x:c r="P185" s="2" t="str">
        <x:v>true</x:v>
      </x:c>
      <x:c r="Q185" s="2" t="str">
        <x:v>NA</x:v>
      </x:c>
      <x:c r="R185" s="2" t="str">
        <x:v>0.5214999982854351</x:v>
      </x:c>
      <x:c r="S185" s="2" t="str">
        <x:v>46.36140550307993</x:v>
      </x:c>
    </x:row>
    <x:row r="186">
      <x:c r="A186" s="2" t="str">
        <x:v>DE-CMP-01</x:v>
      </x:c>
      <x:c r="B186" s="2" t="str">
        <x:v>CFG-C01</x:v>
      </x:c>
      <x:c r="C186" s="2" t="n">
        <x:v>46227.70238086805</x:v>
      </x:c>
      <x:c r="D186" s="2" t="str">
        <x:v>adaptive</x:v>
      </x:c>
      <x:c r="E186" s="2" t="str">
        <x:v>noise_only</x:v>
      </x:c>
      <x:c r="F186" s="2" t="str">
        <x:v>93</x:v>
      </x:c>
      <x:c r="G186" s="2" t="str">
        <x:v>3104296</x:v>
      </x:c>
      <x:c r="H186" s="2" t="str">
        <x:v>2048000.0</x:v>
      </x:c>
      <x:c r="I186" s="2" t="str">
        <x:v>8192</x:v>
      </x:c>
      <x:c r="J186" s="2" t="str">
        <x:v>250.0</x:v>
      </x:c>
      <x:c r="K186" s="2" t="str">
        <x:v>0</x:v>
      </x:c>
      <x:c r="L186" s="2" t="str">
        <x:v>3</x:v>
      </x:c>
      <x:c r="M186" s="2" t="str">
        <x:v>0</x:v>
      </x:c>
      <x:c r="N186" s="2" t="str">
        <x:v>3</x:v>
      </x:c>
      <x:c r="O186" s="2" t="str">
        <x:v>0</x:v>
      </x:c>
      <x:c r="P186" s="2" t="str">
        <x:v>true</x:v>
      </x:c>
      <x:c r="Q186" s="2" t="str">
        <x:v>NA</x:v>
      </x:c>
      <x:c r="R186" s="2" t="str">
        <x:v>0.5376660119509324</x:v>
      </x:c>
      <x:c r="S186" s="2" t="str">
        <x:v>46.461412560193274</x:v>
      </x:c>
    </x:row>
    <x:row r="187">
      <x:c r="A187" s="2" t="str">
        <x:v>DE-CMP-01</x:v>
      </x:c>
      <x:c r="B187" s="2" t="str">
        <x:v>CFG-C01</x:v>
      </x:c>
      <x:c r="C187" s="2" t="n">
        <x:v>46227.70238086805</x:v>
      </x:c>
      <x:c r="D187" s="2" t="str">
        <x:v>os_cfar</x:v>
      </x:c>
      <x:c r="E187" s="2" t="str">
        <x:v>noise_only</x:v>
      </x:c>
      <x:c r="F187" s="2" t="str">
        <x:v>93</x:v>
      </x:c>
      <x:c r="G187" s="2" t="str">
        <x:v>3104296</x:v>
      </x:c>
      <x:c r="H187" s="2" t="str">
        <x:v>2048000.0</x:v>
      </x:c>
      <x:c r="I187" s="2" t="str">
        <x:v>8192</x:v>
      </x:c>
      <x:c r="J187" s="2" t="str">
        <x:v>250.0</x:v>
      </x:c>
      <x:c r="K187" s="2" t="str">
        <x:v>0</x:v>
      </x:c>
      <x:c r="L187" s="2" t="str">
        <x:v>3</x:v>
      </x:c>
      <x:c r="M187" s="2" t="str">
        <x:v>0</x:v>
      </x:c>
      <x:c r="N187" s="2" t="str">
        <x:v>3</x:v>
      </x:c>
      <x:c r="O187" s="2" t="str">
        <x:v>0</x:v>
      </x:c>
      <x:c r="P187" s="2" t="str">
        <x:v>true</x:v>
      </x:c>
      <x:c r="Q187" s="2" t="str">
        <x:v>NA</x:v>
      </x:c>
      <x:c r="R187" s="2" t="str">
        <x:v>13.709124992601573</x:v>
      </x:c>
      <x:c r="S187" s="2" t="str">
        <x:v>48.2953094761706</x:v>
      </x:c>
    </x:row>
    <x:row r="188">
      <x:c r="A188" s="2" t="str">
        <x:v>DE-CMP-01</x:v>
      </x:c>
      <x:c r="B188" s="2" t="str">
        <x:v>CFG-C01</x:v>
      </x:c>
      <x:c r="C188" s="2" t="n">
        <x:v>46227.70238086805</x:v>
      </x:c>
      <x:c r="D188" s="2" t="str">
        <x:v>os_cfar</x:v>
      </x:c>
      <x:c r="E188" s="2" t="str">
        <x:v>noise_only</x:v>
      </x:c>
      <x:c r="F188" s="2" t="str">
        <x:v>94</x:v>
      </x:c>
      <x:c r="G188" s="2" t="str">
        <x:v>3104297</x:v>
      </x:c>
      <x:c r="H188" s="2" t="str">
        <x:v>2048000.0</x:v>
      </x:c>
      <x:c r="I188" s="2" t="str">
        <x:v>8192</x:v>
      </x:c>
      <x:c r="J188" s="2" t="str">
        <x:v>250.0</x:v>
      </x:c>
      <x:c r="K188" s="2" t="str">
        <x:v>0</x:v>
      </x:c>
      <x:c r="L188" s="2" t="str">
        <x:v>3</x:v>
      </x:c>
      <x:c r="M188" s="2" t="str">
        <x:v>0</x:v>
      </x:c>
      <x:c r="N188" s="2" t="str">
        <x:v>3</x:v>
      </x:c>
      <x:c r="O188" s="2" t="str">
        <x:v>0</x:v>
      </x:c>
      <x:c r="P188" s="2" t="str">
        <x:v>true</x:v>
      </x:c>
      <x:c r="Q188" s="2" t="str">
        <x:v>NA</x:v>
      </x:c>
      <x:c r="R188" s="2" t="str">
        <x:v>13.814916004776023</x:v>
      </x:c>
      <x:c r="S188" s="2" t="str">
        <x:v>48.23085402344056</x:v>
      </x:c>
    </x:row>
    <x:row r="189">
      <x:c r="A189" s="2" t="str">
        <x:v>DE-CMP-01</x:v>
      </x:c>
      <x:c r="B189" s="2" t="str">
        <x:v>CFG-C01</x:v>
      </x:c>
      <x:c r="C189" s="2" t="n">
        <x:v>46227.70238086805</x:v>
      </x:c>
      <x:c r="D189" s="2" t="str">
        <x:v>adaptive</x:v>
      </x:c>
      <x:c r="E189" s="2" t="str">
        <x:v>noise_only</x:v>
      </x:c>
      <x:c r="F189" s="2" t="str">
        <x:v>94</x:v>
      </x:c>
      <x:c r="G189" s="2" t="str">
        <x:v>3104297</x:v>
      </x:c>
      <x:c r="H189" s="2" t="str">
        <x:v>2048000.0</x:v>
      </x:c>
      <x:c r="I189" s="2" t="str">
        <x:v>8192</x:v>
      </x:c>
      <x:c r="J189" s="2" t="str">
        <x:v>250.0</x:v>
      </x:c>
      <x:c r="K189" s="2" t="str">
        <x:v>0</x:v>
      </x:c>
      <x:c r="L189" s="2" t="str">
        <x:v>3</x:v>
      </x:c>
      <x:c r="M189" s="2" t="str">
        <x:v>0</x:v>
      </x:c>
      <x:c r="N189" s="2" t="str">
        <x:v>3</x:v>
      </x:c>
      <x:c r="O189" s="2" t="str">
        <x:v>0</x:v>
      </x:c>
      <x:c r="P189" s="2" t="str">
        <x:v>true</x:v>
      </x:c>
      <x:c r="Q189" s="2" t="str">
        <x:v>NA</x:v>
      </x:c>
      <x:c r="R189" s="2" t="str">
        <x:v>0.457874994026497</x:v>
      </x:c>
      <x:c r="S189" s="2" t="str">
        <x:v>46.357625835079965</x:v>
      </x:c>
    </x:row>
    <x:row r="190">
      <x:c r="A190" s="2" t="str">
        <x:v>DE-CMP-01</x:v>
      </x:c>
      <x:c r="B190" s="2" t="str">
        <x:v>CFG-C01</x:v>
      </x:c>
      <x:c r="C190" s="2" t="n">
        <x:v>46227.70238086805</x:v>
      </x:c>
      <x:c r="D190" s="2" t="str">
        <x:v>adaptive</x:v>
      </x:c>
      <x:c r="E190" s="2" t="str">
        <x:v>noise_only</x:v>
      </x:c>
      <x:c r="F190" s="2" t="str">
        <x:v>95</x:v>
      </x:c>
      <x:c r="G190" s="2" t="str">
        <x:v>3104298</x:v>
      </x:c>
      <x:c r="H190" s="2" t="str">
        <x:v>2048000.0</x:v>
      </x:c>
      <x:c r="I190" s="2" t="str">
        <x:v>8192</x:v>
      </x:c>
      <x:c r="J190" s="2" t="str">
        <x:v>250.0</x:v>
      </x:c>
      <x:c r="K190" s="2" t="str">
        <x:v>0</x:v>
      </x:c>
      <x:c r="L190" s="2" t="str">
        <x:v>3</x:v>
      </x:c>
      <x:c r="M190" s="2" t="str">
        <x:v>0</x:v>
      </x:c>
      <x:c r="N190" s="2" t="str">
        <x:v>3</x:v>
      </x:c>
      <x:c r="O190" s="2" t="str">
        <x:v>0</x:v>
      </x:c>
      <x:c r="P190" s="2" t="str">
        <x:v>true</x:v>
      </x:c>
      <x:c r="Q190" s="2" t="str">
        <x:v>NA</x:v>
      </x:c>
      <x:c r="R190" s="2" t="str">
        <x:v>0.4224169970257208</x:v>
      </x:c>
      <x:c r="S190" s="2" t="str">
        <x:v>46.45608767916507</x:v>
      </x:c>
    </x:row>
    <x:row r="191">
      <x:c r="A191" s="2" t="str">
        <x:v>DE-CMP-01</x:v>
      </x:c>
      <x:c r="B191" s="2" t="str">
        <x:v>CFG-C01</x:v>
      </x:c>
      <x:c r="C191" s="2" t="n">
        <x:v>46227.70238086805</x:v>
      </x:c>
      <x:c r="D191" s="2" t="str">
        <x:v>os_cfar</x:v>
      </x:c>
      <x:c r="E191" s="2" t="str">
        <x:v>noise_only</x:v>
      </x:c>
      <x:c r="F191" s="2" t="str">
        <x:v>95</x:v>
      </x:c>
      <x:c r="G191" s="2" t="str">
        <x:v>3104298</x:v>
      </x:c>
      <x:c r="H191" s="2" t="str">
        <x:v>2048000.0</x:v>
      </x:c>
      <x:c r="I191" s="2" t="str">
        <x:v>8192</x:v>
      </x:c>
      <x:c r="J191" s="2" t="str">
        <x:v>250.0</x:v>
      </x:c>
      <x:c r="K191" s="2" t="str">
        <x:v>0</x:v>
      </x:c>
      <x:c r="L191" s="2" t="str">
        <x:v>3</x:v>
      </x:c>
      <x:c r="M191" s="2" t="str">
        <x:v>0</x:v>
      </x:c>
      <x:c r="N191" s="2" t="str">
        <x:v>3</x:v>
      </x:c>
      <x:c r="O191" s="2" t="str">
        <x:v>0</x:v>
      </x:c>
      <x:c r="P191" s="2" t="str">
        <x:v>true</x:v>
      </x:c>
      <x:c r="Q191" s="2" t="str">
        <x:v>NA</x:v>
      </x:c>
      <x:c r="R191" s="2" t="str">
        <x:v>14.001250005094334</x:v>
      </x:c>
      <x:c r="S191" s="2" t="str">
        <x:v>48.15646742435512</x:v>
      </x:c>
    </x:row>
    <x:row r="192">
      <x:c r="A192" s="2" t="str">
        <x:v>DE-CMP-01</x:v>
      </x:c>
      <x:c r="B192" s="2" t="str">
        <x:v>CFG-C01</x:v>
      </x:c>
      <x:c r="C192" s="2" t="n">
        <x:v>46227.70238086805</x:v>
      </x:c>
      <x:c r="D192" s="2" t="str">
        <x:v>os_cfar</x:v>
      </x:c>
      <x:c r="E192" s="2" t="str">
        <x:v>noise_only</x:v>
      </x:c>
      <x:c r="F192" s="2" t="str">
        <x:v>96</x:v>
      </x:c>
      <x:c r="G192" s="2" t="str">
        <x:v>3104299</x:v>
      </x:c>
      <x:c r="H192" s="2" t="str">
        <x:v>2048000.0</x:v>
      </x:c>
      <x:c r="I192" s="2" t="str">
        <x:v>8192</x:v>
      </x:c>
      <x:c r="J192" s="2" t="str">
        <x:v>250.0</x:v>
      </x:c>
      <x:c r="K192" s="2" t="str">
        <x:v>0</x:v>
      </x:c>
      <x:c r="L192" s="2" t="str">
        <x:v>3</x:v>
      </x:c>
      <x:c r="M192" s="2" t="str">
        <x:v>0</x:v>
      </x:c>
      <x:c r="N192" s="2" t="str">
        <x:v>3</x:v>
      </x:c>
      <x:c r="O192" s="2" t="str">
        <x:v>0</x:v>
      </x:c>
      <x:c r="P192" s="2" t="str">
        <x:v>true</x:v>
      </x:c>
      <x:c r="Q192" s="2" t="str">
        <x:v>NA</x:v>
      </x:c>
      <x:c r="R192" s="2" t="str">
        <x:v>13.832875003572553</x:v>
      </x:c>
      <x:c r="S192" s="2" t="str">
        <x:v>48.23167247281981</x:v>
      </x:c>
    </x:row>
    <x:row r="193">
      <x:c r="A193" s="2" t="str">
        <x:v>DE-CMP-01</x:v>
      </x:c>
      <x:c r="B193" s="2" t="str">
        <x:v>CFG-C01</x:v>
      </x:c>
      <x:c r="C193" s="2" t="n">
        <x:v>46227.70238086805</x:v>
      </x:c>
      <x:c r="D193" s="2" t="str">
        <x:v>adaptive</x:v>
      </x:c>
      <x:c r="E193" s="2" t="str">
        <x:v>noise_only</x:v>
      </x:c>
      <x:c r="F193" s="2" t="str">
        <x:v>96</x:v>
      </x:c>
      <x:c r="G193" s="2" t="str">
        <x:v>3104299</x:v>
      </x:c>
      <x:c r="H193" s="2" t="str">
        <x:v>2048000.0</x:v>
      </x:c>
      <x:c r="I193" s="2" t="str">
        <x:v>8192</x:v>
      </x:c>
      <x:c r="J193" s="2" t="str">
        <x:v>250.0</x:v>
      </x:c>
      <x:c r="K193" s="2" t="str">
        <x:v>0</x:v>
      </x:c>
      <x:c r="L193" s="2" t="str">
        <x:v>3</x:v>
      </x:c>
      <x:c r="M193" s="2" t="str">
        <x:v>0</x:v>
      </x:c>
      <x:c r="N193" s="2" t="str">
        <x:v>3</x:v>
      </x:c>
      <x:c r="O193" s="2" t="str">
        <x:v>0</x:v>
      </x:c>
      <x:c r="P193" s="2" t="str">
        <x:v>true</x:v>
      </x:c>
      <x:c r="Q193" s="2" t="str">
        <x:v>NA</x:v>
      </x:c>
      <x:c r="R193" s="2" t="str">
        <x:v>0.42558299901429564</x:v>
      </x:c>
      <x:c r="S193" s="2" t="str">
        <x:v>46.37069014482495</x:v>
      </x:c>
    </x:row>
    <x:row r="194">
      <x:c r="A194" s="2" t="str">
        <x:v>DE-CMP-01</x:v>
      </x:c>
      <x:c r="B194" s="2" t="str">
        <x:v>CFG-C01</x:v>
      </x:c>
      <x:c r="C194" s="2" t="n">
        <x:v>46227.70238086805</x:v>
      </x:c>
      <x:c r="D194" s="2" t="str">
        <x:v>adaptive</x:v>
      </x:c>
      <x:c r="E194" s="2" t="str">
        <x:v>noise_only</x:v>
      </x:c>
      <x:c r="F194" s="2" t="str">
        <x:v>97</x:v>
      </x:c>
      <x:c r="G194" s="2" t="str">
        <x:v>3104300</x:v>
      </x:c>
      <x:c r="H194" s="2" t="str">
        <x:v>2048000.0</x:v>
      </x:c>
      <x:c r="I194" s="2" t="str">
        <x:v>8192</x:v>
      </x:c>
      <x:c r="J194" s="2" t="str">
        <x:v>250.0</x:v>
      </x:c>
      <x:c r="K194" s="2" t="str">
        <x:v>0</x:v>
      </x:c>
      <x:c r="L194" s="2" t="str">
        <x:v>3</x:v>
      </x:c>
      <x:c r="M194" s="2" t="str">
        <x:v>0</x:v>
      </x:c>
      <x:c r="N194" s="2" t="str">
        <x:v>3</x:v>
      </x:c>
      <x:c r="O194" s="2" t="str">
        <x:v>0</x:v>
      </x:c>
      <x:c r="P194" s="2" t="str">
        <x:v>true</x:v>
      </x:c>
      <x:c r="Q194" s="2" t="str">
        <x:v>NA</x:v>
      </x:c>
      <x:c r="R194" s="2" t="str">
        <x:v>0.42145799670834094</x:v>
      </x:c>
      <x:c r="S194" s="2" t="str">
        <x:v>46.219221436472026</x:v>
      </x:c>
    </x:row>
    <x:row r="195">
      <x:c r="A195" s="2" t="str">
        <x:v>DE-CMP-01</x:v>
      </x:c>
      <x:c r="B195" s="2" t="str">
        <x:v>CFG-C01</x:v>
      </x:c>
      <x:c r="C195" s="2" t="n">
        <x:v>46227.70238086805</x:v>
      </x:c>
      <x:c r="D195" s="2" t="str">
        <x:v>os_cfar</x:v>
      </x:c>
      <x:c r="E195" s="2" t="str">
        <x:v>noise_only</x:v>
      </x:c>
      <x:c r="F195" s="2" t="str">
        <x:v>97</x:v>
      </x:c>
      <x:c r="G195" s="2" t="str">
        <x:v>3104300</x:v>
      </x:c>
      <x:c r="H195" s="2" t="str">
        <x:v>2048000.0</x:v>
      </x:c>
      <x:c r="I195" s="2" t="str">
        <x:v>8192</x:v>
      </x:c>
      <x:c r="J195" s="2" t="str">
        <x:v>250.0</x:v>
      </x:c>
      <x:c r="K195" s="2" t="str">
        <x:v>0</x:v>
      </x:c>
      <x:c r="L195" s="2" t="str">
        <x:v>3</x:v>
      </x:c>
      <x:c r="M195" s="2" t="str">
        <x:v>0</x:v>
      </x:c>
      <x:c r="N195" s="2" t="str">
        <x:v>3</x:v>
      </x:c>
      <x:c r="O195" s="2" t="str">
        <x:v>0</x:v>
      </x:c>
      <x:c r="P195" s="2" t="str">
        <x:v>true</x:v>
      </x:c>
      <x:c r="Q195" s="2" t="str">
        <x:v>NA</x:v>
      </x:c>
      <x:c r="R195" s="2" t="str">
        <x:v>13.889583002310246</x:v>
      </x:c>
      <x:c r="S195" s="2" t="str">
        <x:v>48.14543850439418</x:v>
      </x:c>
    </x:row>
    <x:row r="196">
      <x:c r="A196" s="2" t="str">
        <x:v>DE-CMP-01</x:v>
      </x:c>
      <x:c r="B196" s="2" t="str">
        <x:v>CFG-C01</x:v>
      </x:c>
      <x:c r="C196" s="2" t="n">
        <x:v>46227.70238086805</x:v>
      </x:c>
      <x:c r="D196" s="2" t="str">
        <x:v>os_cfar</x:v>
      </x:c>
      <x:c r="E196" s="2" t="str">
        <x:v>noise_only</x:v>
      </x:c>
      <x:c r="F196" s="2" t="str">
        <x:v>98</x:v>
      </x:c>
      <x:c r="G196" s="2" t="str">
        <x:v>3104301</x:v>
      </x:c>
      <x:c r="H196" s="2" t="str">
        <x:v>2048000.0</x:v>
      </x:c>
      <x:c r="I196" s="2" t="str">
        <x:v>8192</x:v>
      </x:c>
      <x:c r="J196" s="2" t="str">
        <x:v>250.0</x:v>
      </x:c>
      <x:c r="K196" s="2" t="str">
        <x:v>0</x:v>
      </x:c>
      <x:c r="L196" s="2" t="str">
        <x:v>3</x:v>
      </x:c>
      <x:c r="M196" s="2" t="str">
        <x:v>0</x:v>
      </x:c>
      <x:c r="N196" s="2" t="str">
        <x:v>3</x:v>
      </x:c>
      <x:c r="O196" s="2" t="str">
        <x:v>0</x:v>
      </x:c>
      <x:c r="P196" s="2" t="str">
        <x:v>true</x:v>
      </x:c>
      <x:c r="Q196" s="2" t="str">
        <x:v>NA</x:v>
      </x:c>
      <x:c r="R196" s="2" t="str">
        <x:v>13.931166991824284</x:v>
      </x:c>
      <x:c r="S196" s="2" t="str">
        <x:v>48.148344971116344</x:v>
      </x:c>
    </x:row>
    <x:row r="197">
      <x:c r="A197" s="2" t="str">
        <x:v>DE-CMP-01</x:v>
      </x:c>
      <x:c r="B197" s="2" t="str">
        <x:v>CFG-C01</x:v>
      </x:c>
      <x:c r="C197" s="2" t="n">
        <x:v>46227.70238086805</x:v>
      </x:c>
      <x:c r="D197" s="2" t="str">
        <x:v>adaptive</x:v>
      </x:c>
      <x:c r="E197" s="2" t="str">
        <x:v>noise_only</x:v>
      </x:c>
      <x:c r="F197" s="2" t="str">
        <x:v>98</x:v>
      </x:c>
      <x:c r="G197" s="2" t="str">
        <x:v>3104301</x:v>
      </x:c>
      <x:c r="H197" s="2" t="str">
        <x:v>2048000.0</x:v>
      </x:c>
      <x:c r="I197" s="2" t="str">
        <x:v>8192</x:v>
      </x:c>
      <x:c r="J197" s="2" t="str">
        <x:v>250.0</x:v>
      </x:c>
      <x:c r="K197" s="2" t="str">
        <x:v>0</x:v>
      </x:c>
      <x:c r="L197" s="2" t="str">
        <x:v>3</x:v>
      </x:c>
      <x:c r="M197" s="2" t="str">
        <x:v>0</x:v>
      </x:c>
      <x:c r="N197" s="2" t="str">
        <x:v>3</x:v>
      </x:c>
      <x:c r="O197" s="2" t="str">
        <x:v>0</x:v>
      </x:c>
      <x:c r="P197" s="2" t="str">
        <x:v>true</x:v>
      </x:c>
      <x:c r="Q197" s="2" t="str">
        <x:v>NA</x:v>
      </x:c>
      <x:c r="R197" s="2" t="str">
        <x:v>0.3962500049965456</x:v>
      </x:c>
      <x:c r="S197" s="2" t="str">
        <x:v>46.424065684780075</x:v>
      </x:c>
    </x:row>
    <x:row r="198">
      <x:c r="A198" s="2" t="str">
        <x:v>DE-CMP-01</x:v>
      </x:c>
      <x:c r="B198" s="2" t="str">
        <x:v>CFG-C01</x:v>
      </x:c>
      <x:c r="C198" s="2" t="n">
        <x:v>46227.70238086805</x:v>
      </x:c>
      <x:c r="D198" s="2" t="str">
        <x:v>adaptive</x:v>
      </x:c>
      <x:c r="E198" s="2" t="str">
        <x:v>noise_only</x:v>
      </x:c>
      <x:c r="F198" s="2" t="str">
        <x:v>99</x:v>
      </x:c>
      <x:c r="G198" s="2" t="str">
        <x:v>3104302</x:v>
      </x:c>
      <x:c r="H198" s="2" t="str">
        <x:v>2048000.0</x:v>
      </x:c>
      <x:c r="I198" s="2" t="str">
        <x:v>8192</x:v>
      </x:c>
      <x:c r="J198" s="2" t="str">
        <x:v>250.0</x:v>
      </x:c>
      <x:c r="K198" s="2" t="str">
        <x:v>0</x:v>
      </x:c>
      <x:c r="L198" s="2" t="str">
        <x:v>3</x:v>
      </x:c>
      <x:c r="M198" s="2" t="str">
        <x:v>0</x:v>
      </x:c>
      <x:c r="N198" s="2" t="str">
        <x:v>3</x:v>
      </x:c>
      <x:c r="O198" s="2" t="str">
        <x:v>0</x:v>
      </x:c>
      <x:c r="P198" s="2" t="str">
        <x:v>true</x:v>
      </x:c>
      <x:c r="Q198" s="2" t="str">
        <x:v>NA</x:v>
      </x:c>
      <x:c r="R198" s="2" t="str">
        <x:v>0.3859160060528666</x:v>
      </x:c>
      <x:c r="S198" s="2" t="str">
        <x:v>46.34399480872701</x:v>
      </x:c>
    </x:row>
    <x:row r="199">
      <x:c r="A199" s="2" t="str">
        <x:v>DE-CMP-01</x:v>
      </x:c>
      <x:c r="B199" s="2" t="str">
        <x:v>CFG-C01</x:v>
      </x:c>
      <x:c r="C199" s="2" t="n">
        <x:v>46227.70238086805</x:v>
      </x:c>
      <x:c r="D199" s="2" t="str">
        <x:v>os_cfar</x:v>
      </x:c>
      <x:c r="E199" s="2" t="str">
        <x:v>noise_only</x:v>
      </x:c>
      <x:c r="F199" s="2" t="str">
        <x:v>99</x:v>
      </x:c>
      <x:c r="G199" s="2" t="str">
        <x:v>3104302</x:v>
      </x:c>
      <x:c r="H199" s="2" t="str">
        <x:v>2048000.0</x:v>
      </x:c>
      <x:c r="I199" s="2" t="str">
        <x:v>8192</x:v>
      </x:c>
      <x:c r="J199" s="2" t="str">
        <x:v>250.0</x:v>
      </x:c>
      <x:c r="K199" s="2" t="str">
        <x:v>0</x:v>
      </x:c>
      <x:c r="L199" s="2" t="str">
        <x:v>3</x:v>
      </x:c>
      <x:c r="M199" s="2" t="str">
        <x:v>0</x:v>
      </x:c>
      <x:c r="N199" s="2" t="str">
        <x:v>3</x:v>
      </x:c>
      <x:c r="O199" s="2" t="str">
        <x:v>0</x:v>
      </x:c>
      <x:c r="P199" s="2" t="str">
        <x:v>true</x:v>
      </x:c>
      <x:c r="Q199" s="2" t="str">
        <x:v>NA</x:v>
      </x:c>
      <x:c r="R199" s="2" t="str">
        <x:v>13.936375005869195</x:v>
      </x:c>
      <x:c r="S199" s="2" t="str">
        <x:v>48.14088269482614</x:v>
      </x:c>
    </x:row>
    <x:row r="200">
      <x:c r="A200" s="2" t="str">
        <x:v>DE-CMP-01</x:v>
      </x:c>
      <x:c r="B200" s="2" t="str">
        <x:v>CFG-C01</x:v>
      </x:c>
      <x:c r="C200" s="2" t="n">
        <x:v>46227.70238086805</x:v>
      </x:c>
      <x:c r="D200" s="2" t="str">
        <x:v>os_cfar</x:v>
      </x:c>
      <x:c r="E200" s="2" t="str">
        <x:v>noise_only</x:v>
      </x:c>
      <x:c r="F200" s="2" t="str">
        <x:v>100</x:v>
      </x:c>
      <x:c r="G200" s="2" t="str">
        <x:v>3104303</x:v>
      </x:c>
      <x:c r="H200" s="2" t="str">
        <x:v>2048000.0</x:v>
      </x:c>
      <x:c r="I200" s="2" t="str">
        <x:v>8192</x:v>
      </x:c>
      <x:c r="J200" s="2" t="str">
        <x:v>250.0</x:v>
      </x:c>
      <x:c r="K200" s="2" t="str">
        <x:v>0</x:v>
      </x:c>
      <x:c r="L200" s="2" t="str">
        <x:v>3</x:v>
      </x:c>
      <x:c r="M200" s="2" t="str">
        <x:v>0</x:v>
      </x:c>
      <x:c r="N200" s="2" t="str">
        <x:v>3</x:v>
      </x:c>
      <x:c r="O200" s="2" t="str">
        <x:v>0</x:v>
      </x:c>
      <x:c r="P200" s="2" t="str">
        <x:v>true</x:v>
      </x:c>
      <x:c r="Q200" s="2" t="str">
        <x:v>NA</x:v>
      </x:c>
      <x:c r="R200" s="2" t="str">
        <x:v>13.411708001513034</x:v>
      </x:c>
      <x:c r="S200" s="2" t="str">
        <x:v>48.201139154122444</x:v>
      </x:c>
    </x:row>
    <x:row r="201">
      <x:c r="A201" s="2" t="str">
        <x:v>DE-CMP-01</x:v>
      </x:c>
      <x:c r="B201" s="2" t="str">
        <x:v>CFG-C01</x:v>
      </x:c>
      <x:c r="C201" s="2" t="n">
        <x:v>46227.70238086805</x:v>
      </x:c>
      <x:c r="D201" s="2" t="str">
        <x:v>adaptive</x:v>
      </x:c>
      <x:c r="E201" s="2" t="str">
        <x:v>noise_only</x:v>
      </x:c>
      <x:c r="F201" s="2" t="str">
        <x:v>100</x:v>
      </x:c>
      <x:c r="G201" s="2" t="str">
        <x:v>3104303</x:v>
      </x:c>
      <x:c r="H201" s="2" t="str">
        <x:v>2048000.0</x:v>
      </x:c>
      <x:c r="I201" s="2" t="str">
        <x:v>8192</x:v>
      </x:c>
      <x:c r="J201" s="2" t="str">
        <x:v>250.0</x:v>
      </x:c>
      <x:c r="K201" s="2" t="str">
        <x:v>0</x:v>
      </x:c>
      <x:c r="L201" s="2" t="str">
        <x:v>3</x:v>
      </x:c>
      <x:c r="M201" s="2" t="str">
        <x:v>0</x:v>
      </x:c>
      <x:c r="N201" s="2" t="str">
        <x:v>3</x:v>
      </x:c>
      <x:c r="O201" s="2" t="str">
        <x:v>0</x:v>
      </x:c>
      <x:c r="P201" s="2" t="str">
        <x:v>true</x:v>
      </x:c>
      <x:c r="Q201" s="2" t="str">
        <x:v>NA</x:v>
      </x:c>
      <x:c r="R201" s="2" t="str">
        <x:v>0.43854200339410454</x:v>
      </x:c>
      <x:c r="S201" s="2" t="str">
        <x:v>46.316024978671216</x:v>
      </x:c>
    </x:row>
    <x:row r="202">
      <x:c r="A202" s="2" t="str">
        <x:v>DE-CMP-01</x:v>
      </x:c>
      <x:c r="B202" s="2" t="str">
        <x:v>CFG-C01</x:v>
      </x:c>
      <x:c r="C202" s="2" t="n">
        <x:v>46227.70238086805</x:v>
      </x:c>
      <x:c r="D202" s="2" t="str">
        <x:v>adaptive</x:v>
      </x:c>
      <x:c r="E202" s="2" t="str">
        <x:v>single_carrier</x:v>
      </x:c>
      <x:c r="F202" s="2" t="str">
        <x:v>101</x:v>
      </x:c>
      <x:c r="G202" s="2" t="str">
        <x:v>3114204</x:v>
      </x:c>
      <x:c r="H202" s="2" t="str">
        <x:v>2048000.0</x:v>
      </x:c>
      <x:c r="I202" s="2" t="str">
        <x:v>8192</x:v>
      </x:c>
      <x:c r="J202" s="2" t="str">
        <x:v>250.0</x:v>
      </x:c>
      <x:c r="K202" s="2" t="str">
        <x:v>1</x:v>
      </x:c>
      <x:c r="L202" s="2" t="str">
        <x:v>3</x:v>
      </x:c>
      <x:c r="M202" s="2" t="str">
        <x:v>1</x:v>
      </x:c>
      <x:c r="N202" s="2" t="str">
        <x:v>2</x:v>
      </x:c>
      <x:c r="O202" s="2" t="str">
        <x:v>0</x:v>
      </x:c>
      <x:c r="P202" s="2" t="str">
        <x:v>true</x:v>
      </x:c>
      <x:c r="Q202" s="2" t="str">
        <x:v>-85.349492464</x:v>
      </x:c>
      <x:c r="R202" s="2" t="str">
        <x:v>0.41362500633113086</x:v>
      </x:c>
      <x:c r="S202" s="2" t="str">
        <x:v>46.474056793060115</x:v>
      </x:c>
    </x:row>
    <x:row r="203">
      <x:c r="A203" s="2" t="str">
        <x:v>DE-CMP-01</x:v>
      </x:c>
      <x:c r="B203" s="2" t="str">
        <x:v>CFG-C01</x:v>
      </x:c>
      <x:c r="C203" s="2" t="n">
        <x:v>46227.70238086805</x:v>
      </x:c>
      <x:c r="D203" s="2" t="str">
        <x:v>os_cfar</x:v>
      </x:c>
      <x:c r="E203" s="2" t="str">
        <x:v>single_carrier</x:v>
      </x:c>
      <x:c r="F203" s="2" t="str">
        <x:v>101</x:v>
      </x:c>
      <x:c r="G203" s="2" t="str">
        <x:v>3114204</x:v>
      </x:c>
      <x:c r="H203" s="2" t="str">
        <x:v>2048000.0</x:v>
      </x:c>
      <x:c r="I203" s="2" t="str">
        <x:v>8192</x:v>
      </x:c>
      <x:c r="J203" s="2" t="str">
        <x:v>250.0</x:v>
      </x:c>
      <x:c r="K203" s="2" t="str">
        <x:v>1</x:v>
      </x:c>
      <x:c r="L203" s="2" t="str">
        <x:v>3</x:v>
      </x:c>
      <x:c r="M203" s="2" t="str">
        <x:v>1</x:v>
      </x:c>
      <x:c r="N203" s="2" t="str">
        <x:v>2</x:v>
      </x:c>
      <x:c r="O203" s="2" t="str">
        <x:v>0</x:v>
      </x:c>
      <x:c r="P203" s="2" t="str">
        <x:v>true</x:v>
      </x:c>
      <x:c r="Q203" s="2" t="str">
        <x:v>-85.349492464</x:v>
      </x:c>
      <x:c r="R203" s="2" t="str">
        <x:v>14.040708003449254</x:v>
      </x:c>
      <x:c r="S203" s="2" t="str">
        <x:v>48.31847172967903</x:v>
      </x:c>
    </x:row>
    <x:row r="204">
      <x:c r="A204" s="2" t="str">
        <x:v>DE-CMP-01</x:v>
      </x:c>
      <x:c r="B204" s="2" t="str">
        <x:v>CFG-C01</x:v>
      </x:c>
      <x:c r="C204" s="2" t="n">
        <x:v>46227.70238086805</x:v>
      </x:c>
      <x:c r="D204" s="2" t="str">
        <x:v>os_cfar</x:v>
      </x:c>
      <x:c r="E204" s="2" t="str">
        <x:v>single_carrier</x:v>
      </x:c>
      <x:c r="F204" s="2" t="str">
        <x:v>102</x:v>
      </x:c>
      <x:c r="G204" s="2" t="str">
        <x:v>3114205</x:v>
      </x:c>
      <x:c r="H204" s="2" t="str">
        <x:v>2048000.0</x:v>
      </x:c>
      <x:c r="I204" s="2" t="str">
        <x:v>8192</x:v>
      </x:c>
      <x:c r="J204" s="2" t="str">
        <x:v>250.0</x:v>
      </x:c>
      <x:c r="K204" s="2" t="str">
        <x:v>1</x:v>
      </x:c>
      <x:c r="L204" s="2" t="str">
        <x:v>3</x:v>
      </x:c>
      <x:c r="M204" s="2" t="str">
        <x:v>1</x:v>
      </x:c>
      <x:c r="N204" s="2" t="str">
        <x:v>2</x:v>
      </x:c>
      <x:c r="O204" s="2" t="str">
        <x:v>0</x:v>
      </x:c>
      <x:c r="P204" s="2" t="str">
        <x:v>true</x:v>
      </x:c>
      <x:c r="Q204" s="2" t="str">
        <x:v>95.161032342</x:v>
      </x:c>
      <x:c r="R204" s="2" t="str">
        <x:v>13.865082990378141</x:v>
      </x:c>
      <x:c r="S204" s="2" t="str">
        <x:v>48.16729323185329</x:v>
      </x:c>
    </x:row>
    <x:row r="205">
      <x:c r="A205" s="2" t="str">
        <x:v>DE-CMP-01</x:v>
      </x:c>
      <x:c r="B205" s="2" t="str">
        <x:v>CFG-C01</x:v>
      </x:c>
      <x:c r="C205" s="2" t="n">
        <x:v>46227.70238086805</x:v>
      </x:c>
      <x:c r="D205" s="2" t="str">
        <x:v>adaptive</x:v>
      </x:c>
      <x:c r="E205" s="2" t="str">
        <x:v>single_carrier</x:v>
      </x:c>
      <x:c r="F205" s="2" t="str">
        <x:v>102</x:v>
      </x:c>
      <x:c r="G205" s="2" t="str">
        <x:v>3114205</x:v>
      </x:c>
      <x:c r="H205" s="2" t="str">
        <x:v>2048000.0</x:v>
      </x:c>
      <x:c r="I205" s="2" t="str">
        <x:v>8192</x:v>
      </x:c>
      <x:c r="J205" s="2" t="str">
        <x:v>250.0</x:v>
      </x:c>
      <x:c r="K205" s="2" t="str">
        <x:v>1</x:v>
      </x:c>
      <x:c r="L205" s="2" t="str">
        <x:v>3</x:v>
      </x:c>
      <x:c r="M205" s="2" t="str">
        <x:v>1</x:v>
      </x:c>
      <x:c r="N205" s="2" t="str">
        <x:v>2</x:v>
      </x:c>
      <x:c r="O205" s="2" t="str">
        <x:v>0</x:v>
      </x:c>
      <x:c r="P205" s="2" t="str">
        <x:v>true</x:v>
      </x:c>
      <x:c r="Q205" s="2" t="str">
        <x:v>95.161032342</x:v>
      </x:c>
      <x:c r="R205" s="2" t="str">
        <x:v>0.4430839908309281</x:v>
      </x:c>
      <x:c r="S205" s="2" t="str">
        <x:v>46.45237004724601</x:v>
      </x:c>
    </x:row>
    <x:row r="206">
      <x:c r="A206" s="2" t="str">
        <x:v>DE-CMP-01</x:v>
      </x:c>
      <x:c r="B206" s="2" t="str">
        <x:v>CFG-C01</x:v>
      </x:c>
      <x:c r="C206" s="2" t="n">
        <x:v>46227.70238086805</x:v>
      </x:c>
      <x:c r="D206" s="2" t="str">
        <x:v>adaptive</x:v>
      </x:c>
      <x:c r="E206" s="2" t="str">
        <x:v>single_carrier</x:v>
      </x:c>
      <x:c r="F206" s="2" t="str">
        <x:v>103</x:v>
      </x:c>
      <x:c r="G206" s="2" t="str">
        <x:v>3114206</x:v>
      </x:c>
      <x:c r="H206" s="2" t="str">
        <x:v>2048000.0</x:v>
      </x:c>
      <x:c r="I206" s="2" t="str">
        <x:v>8192</x:v>
      </x:c>
      <x:c r="J206" s="2" t="str">
        <x:v>250.0</x:v>
      </x:c>
      <x:c r="K206" s="2" t="str">
        <x:v>1</x:v>
      </x:c>
      <x:c r="L206" s="2" t="str">
        <x:v>3</x:v>
      </x:c>
      <x:c r="M206" s="2" t="str">
        <x:v>1</x:v>
      </x:c>
      <x:c r="N206" s="2" t="str">
        <x:v>2</x:v>
      </x:c>
      <x:c r="O206" s="2" t="str">
        <x:v>0</x:v>
      </x:c>
      <x:c r="P206" s="2" t="str">
        <x:v>true</x:v>
      </x:c>
      <x:c r="Q206" s="2" t="str">
        <x:v>-102.169987390</x:v>
      </x:c>
      <x:c r="R206" s="2" t="str">
        <x:v>0.4240830021444708</x:v>
      </x:c>
      <x:c r="S206" s="2" t="str">
        <x:v>46.40435517173384</x:v>
      </x:c>
    </x:row>
    <x:row r="207">
      <x:c r="A207" s="2" t="str">
        <x:v>DE-CMP-01</x:v>
      </x:c>
      <x:c r="B207" s="2" t="str">
        <x:v>CFG-C01</x:v>
      </x:c>
      <x:c r="C207" s="2" t="n">
        <x:v>46227.70238086805</x:v>
      </x:c>
      <x:c r="D207" s="2" t="str">
        <x:v>os_cfar</x:v>
      </x:c>
      <x:c r="E207" s="2" t="str">
        <x:v>single_carrier</x:v>
      </x:c>
      <x:c r="F207" s="2" t="str">
        <x:v>103</x:v>
      </x:c>
      <x:c r="G207" s="2" t="str">
        <x:v>3114206</x:v>
      </x:c>
      <x:c r="H207" s="2" t="str">
        <x:v>2048000.0</x:v>
      </x:c>
      <x:c r="I207" s="2" t="str">
        <x:v>8192</x:v>
      </x:c>
      <x:c r="J207" s="2" t="str">
        <x:v>250.0</x:v>
      </x:c>
      <x:c r="K207" s="2" t="str">
        <x:v>1</x:v>
      </x:c>
      <x:c r="L207" s="2" t="str">
        <x:v>3</x:v>
      </x:c>
      <x:c r="M207" s="2" t="str">
        <x:v>1</x:v>
      </x:c>
      <x:c r="N207" s="2" t="str">
        <x:v>2</x:v>
      </x:c>
      <x:c r="O207" s="2" t="str">
        <x:v>0</x:v>
      </x:c>
      <x:c r="P207" s="2" t="str">
        <x:v>true</x:v>
      </x:c>
      <x:c r="Q207" s="2" t="str">
        <x:v>-102.169987390</x:v>
      </x:c>
      <x:c r="R207" s="2" t="str">
        <x:v>13.702291995286942</x:v>
      </x:c>
      <x:c r="S207" s="2" t="str">
        <x:v>48.12162262940299</x:v>
      </x:c>
    </x:row>
    <x:row r="208">
      <x:c r="A208" s="2" t="str">
        <x:v>DE-CMP-01</x:v>
      </x:c>
      <x:c r="B208" s="2" t="str">
        <x:v>CFG-C01</x:v>
      </x:c>
      <x:c r="C208" s="2" t="n">
        <x:v>46227.70238086805</x:v>
      </x:c>
      <x:c r="D208" s="2" t="str">
        <x:v>os_cfar</x:v>
      </x:c>
      <x:c r="E208" s="2" t="str">
        <x:v>single_carrier</x:v>
      </x:c>
      <x:c r="F208" s="2" t="str">
        <x:v>104</x:v>
      </x:c>
      <x:c r="G208" s="2" t="str">
        <x:v>3114207</x:v>
      </x:c>
      <x:c r="H208" s="2" t="str">
        <x:v>2048000.0</x:v>
      </x:c>
      <x:c r="I208" s="2" t="str">
        <x:v>8192</x:v>
      </x:c>
      <x:c r="J208" s="2" t="str">
        <x:v>250.0</x:v>
      </x:c>
      <x:c r="K208" s="2" t="str">
        <x:v>1</x:v>
      </x:c>
      <x:c r="L208" s="2" t="str">
        <x:v>3</x:v>
      </x:c>
      <x:c r="M208" s="2" t="str">
        <x:v>1</x:v>
      </x:c>
      <x:c r="N208" s="2" t="str">
        <x:v>2</x:v>
      </x:c>
      <x:c r="O208" s="2" t="str">
        <x:v>0</x:v>
      </x:c>
      <x:c r="P208" s="2" t="str">
        <x:v>true</x:v>
      </x:c>
      <x:c r="Q208" s="2" t="str">
        <x:v>-1.184511889</x:v>
      </x:c>
      <x:c r="R208" s="2" t="str">
        <x:v>13.976916001411155</x:v>
      </x:c>
      <x:c r="S208" s="2" t="str">
        <x:v>48.1329074449732</x:v>
      </x:c>
    </x:row>
    <x:row r="209">
      <x:c r="A209" s="2" t="str">
        <x:v>DE-CMP-01</x:v>
      </x:c>
      <x:c r="B209" s="2" t="str">
        <x:v>CFG-C01</x:v>
      </x:c>
      <x:c r="C209" s="2" t="n">
        <x:v>46227.70238086805</x:v>
      </x:c>
      <x:c r="D209" s="2" t="str">
        <x:v>adaptive</x:v>
      </x:c>
      <x:c r="E209" s="2" t="str">
        <x:v>single_carrier</x:v>
      </x:c>
      <x:c r="F209" s="2" t="str">
        <x:v>104</x:v>
      </x:c>
      <x:c r="G209" s="2" t="str">
        <x:v>3114207</x:v>
      </x:c>
      <x:c r="H209" s="2" t="str">
        <x:v>2048000.0</x:v>
      </x:c>
      <x:c r="I209" s="2" t="str">
        <x:v>8192</x:v>
      </x:c>
      <x:c r="J209" s="2" t="str">
        <x:v>250.0</x:v>
      </x:c>
      <x:c r="K209" s="2" t="str">
        <x:v>1</x:v>
      </x:c>
      <x:c r="L209" s="2" t="str">
        <x:v>3</x:v>
      </x:c>
      <x:c r="M209" s="2" t="str">
        <x:v>1</x:v>
      </x:c>
      <x:c r="N209" s="2" t="str">
        <x:v>2</x:v>
      </x:c>
      <x:c r="O209" s="2" t="str">
        <x:v>0</x:v>
      </x:c>
      <x:c r="P209" s="2" t="str">
        <x:v>true</x:v>
      </x:c>
      <x:c r="Q209" s="2" t="str">
        <x:v>-1.184511889</x:v>
      </x:c>
      <x:c r="R209" s="2" t="str">
        <x:v>0.4145419952692464</x:v>
      </x:c>
      <x:c r="S209" s="2" t="str">
        <x:v>46.324701834505184</x:v>
      </x:c>
    </x:row>
    <x:row r="210">
      <x:c r="A210" s="2" t="str">
        <x:v>DE-CMP-01</x:v>
      </x:c>
      <x:c r="B210" s="2" t="str">
        <x:v>CFG-C01</x:v>
      </x:c>
      <x:c r="C210" s="2" t="n">
        <x:v>46227.70238086805</x:v>
      </x:c>
      <x:c r="D210" s="2" t="str">
        <x:v>adaptive</x:v>
      </x:c>
      <x:c r="E210" s="2" t="str">
        <x:v>single_carrier</x:v>
      </x:c>
      <x:c r="F210" s="2" t="str">
        <x:v>105</x:v>
      </x:c>
      <x:c r="G210" s="2" t="str">
        <x:v>3114208</x:v>
      </x:c>
      <x:c r="H210" s="2" t="str">
        <x:v>2048000.0</x:v>
      </x:c>
      <x:c r="I210" s="2" t="str">
        <x:v>8192</x:v>
      </x:c>
      <x:c r="J210" s="2" t="str">
        <x:v>250.0</x:v>
      </x:c>
      <x:c r="K210" s="2" t="str">
        <x:v>1</x:v>
      </x:c>
      <x:c r="L210" s="2" t="str">
        <x:v>3</x:v>
      </x:c>
      <x:c r="M210" s="2" t="str">
        <x:v>1</x:v>
      </x:c>
      <x:c r="N210" s="2" t="str">
        <x:v>2</x:v>
      </x:c>
      <x:c r="O210" s="2" t="str">
        <x:v>0</x:v>
      </x:c>
      <x:c r="P210" s="2" t="str">
        <x:v>true</x:v>
      </x:c>
      <x:c r="Q210" s="2" t="str">
        <x:v>-63.955822941</x:v>
      </x:c>
      <x:c r="R210" s="2" t="str">
        <x:v>0.39600000309292227</x:v>
      </x:c>
      <x:c r="S210" s="2" t="str">
        <x:v>46.567461270344864</x:v>
      </x:c>
    </x:row>
    <x:row r="211">
      <x:c r="A211" s="2" t="str">
        <x:v>DE-CMP-01</x:v>
      </x:c>
      <x:c r="B211" s="2" t="str">
        <x:v>CFG-C01</x:v>
      </x:c>
      <x:c r="C211" s="2" t="n">
        <x:v>46227.70238086805</x:v>
      </x:c>
      <x:c r="D211" s="2" t="str">
        <x:v>os_cfar</x:v>
      </x:c>
      <x:c r="E211" s="2" t="str">
        <x:v>single_carrier</x:v>
      </x:c>
      <x:c r="F211" s="2" t="str">
        <x:v>105</x:v>
      </x:c>
      <x:c r="G211" s="2" t="str">
        <x:v>3114208</x:v>
      </x:c>
      <x:c r="H211" s="2" t="str">
        <x:v>2048000.0</x:v>
      </x:c>
      <x:c r="I211" s="2" t="str">
        <x:v>8192</x:v>
      </x:c>
      <x:c r="J211" s="2" t="str">
        <x:v>250.0</x:v>
      </x:c>
      <x:c r="K211" s="2" t="str">
        <x:v>1</x:v>
      </x:c>
      <x:c r="L211" s="2" t="str">
        <x:v>3</x:v>
      </x:c>
      <x:c r="M211" s="2" t="str">
        <x:v>1</x:v>
      </x:c>
      <x:c r="N211" s="2" t="str">
        <x:v>2</x:v>
      </x:c>
      <x:c r="O211" s="2" t="str">
        <x:v>0</x:v>
      </x:c>
      <x:c r="P211" s="2" t="str">
        <x:v>true</x:v>
      </x:c>
      <x:c r="Q211" s="2" t="str">
        <x:v>-63.955822941</x:v>
      </x:c>
      <x:c r="R211" s="2" t="str">
        <x:v>13.872291005100124</x:v>
      </x:c>
      <x:c r="S211" s="2" t="str">
        <x:v>48.27189382732929</x:v>
      </x:c>
    </x:row>
    <x:row r="212">
      <x:c r="A212" s="2" t="str">
        <x:v>DE-CMP-01</x:v>
      </x:c>
      <x:c r="B212" s="2" t="str">
        <x:v>CFG-C01</x:v>
      </x:c>
      <x:c r="C212" s="2" t="n">
        <x:v>46227.70238086805</x:v>
      </x:c>
      <x:c r="D212" s="2" t="str">
        <x:v>os_cfar</x:v>
      </x:c>
      <x:c r="E212" s="2" t="str">
        <x:v>single_carrier</x:v>
      </x:c>
      <x:c r="F212" s="2" t="str">
        <x:v>106</x:v>
      </x:c>
      <x:c r="G212" s="2" t="str">
        <x:v>3114209</x:v>
      </x:c>
      <x:c r="H212" s="2" t="str">
        <x:v>2048000.0</x:v>
      </x:c>
      <x:c r="I212" s="2" t="str">
        <x:v>8192</x:v>
      </x:c>
      <x:c r="J212" s="2" t="str">
        <x:v>250.0</x:v>
      </x:c>
      <x:c r="K212" s="2" t="str">
        <x:v>1</x:v>
      </x:c>
      <x:c r="L212" s="2" t="str">
        <x:v>3</x:v>
      </x:c>
      <x:c r="M212" s="2" t="str">
        <x:v>1</x:v>
      </x:c>
      <x:c r="N212" s="2" t="str">
        <x:v>2</x:v>
      </x:c>
      <x:c r="O212" s="2" t="str">
        <x:v>0</x:v>
      </x:c>
      <x:c r="P212" s="2" t="str">
        <x:v>true</x:v>
      </x:c>
      <x:c r="Q212" s="2" t="str">
        <x:v>88.789701650</x:v>
      </x:c>
      <x:c r="R212" s="2" t="str">
        <x:v>13.94849999633152</x:v>
      </x:c>
      <x:c r="S212" s="2" t="str">
        <x:v>48.33689372694324</x:v>
      </x:c>
    </x:row>
    <x:row r="213">
      <x:c r="A213" s="2" t="str">
        <x:v>DE-CMP-01</x:v>
      </x:c>
      <x:c r="B213" s="2" t="str">
        <x:v>CFG-C01</x:v>
      </x:c>
      <x:c r="C213" s="2" t="n">
        <x:v>46227.70238086805</x:v>
      </x:c>
      <x:c r="D213" s="2" t="str">
        <x:v>adaptive</x:v>
      </x:c>
      <x:c r="E213" s="2" t="str">
        <x:v>single_carrier</x:v>
      </x:c>
      <x:c r="F213" s="2" t="str">
        <x:v>106</x:v>
      </x:c>
      <x:c r="G213" s="2" t="str">
        <x:v>3114209</x:v>
      </x:c>
      <x:c r="H213" s="2" t="str">
        <x:v>2048000.0</x:v>
      </x:c>
      <x:c r="I213" s="2" t="str">
        <x:v>8192</x:v>
      </x:c>
      <x:c r="J213" s="2" t="str">
        <x:v>250.0</x:v>
      </x:c>
      <x:c r="K213" s="2" t="str">
        <x:v>1</x:v>
      </x:c>
      <x:c r="L213" s="2" t="str">
        <x:v>3</x:v>
      </x:c>
      <x:c r="M213" s="2" t="str">
        <x:v>1</x:v>
      </x:c>
      <x:c r="N213" s="2" t="str">
        <x:v>2</x:v>
      </x:c>
      <x:c r="O213" s="2" t="str">
        <x:v>0</x:v>
      </x:c>
      <x:c r="P213" s="2" t="str">
        <x:v>true</x:v>
      </x:c>
      <x:c r="Q213" s="2" t="str">
        <x:v>88.789701650</x:v>
      </x:c>
      <x:c r="R213" s="2" t="str">
        <x:v>0.40750000334810466</x:v>
      </x:c>
      <x:c r="S213" s="2" t="str">
        <x:v>46.4291681735527</x:v>
      </x:c>
    </x:row>
    <x:row r="214">
      <x:c r="A214" s="2" t="str">
        <x:v>DE-CMP-01</x:v>
      </x:c>
      <x:c r="B214" s="2" t="str">
        <x:v>CFG-C01</x:v>
      </x:c>
      <x:c r="C214" s="2" t="n">
        <x:v>46227.70238086805</x:v>
      </x:c>
      <x:c r="D214" s="2" t="str">
        <x:v>adaptive</x:v>
      </x:c>
      <x:c r="E214" s="2" t="str">
        <x:v>single_carrier</x:v>
      </x:c>
      <x:c r="F214" s="2" t="str">
        <x:v>107</x:v>
      </x:c>
      <x:c r="G214" s="2" t="str">
        <x:v>3114210</x:v>
      </x:c>
      <x:c r="H214" s="2" t="str">
        <x:v>2048000.0</x:v>
      </x:c>
      <x:c r="I214" s="2" t="str">
        <x:v>8192</x:v>
      </x:c>
      <x:c r="J214" s="2" t="str">
        <x:v>250.0</x:v>
      </x:c>
      <x:c r="K214" s="2" t="str">
        <x:v>1</x:v>
      </x:c>
      <x:c r="L214" s="2" t="str">
        <x:v>3</x:v>
      </x:c>
      <x:c r="M214" s="2" t="str">
        <x:v>1</x:v>
      </x:c>
      <x:c r="N214" s="2" t="str">
        <x:v>2</x:v>
      </x:c>
      <x:c r="O214" s="2" t="str">
        <x:v>0</x:v>
      </x:c>
      <x:c r="P214" s="2" t="str">
        <x:v>true</x:v>
      </x:c>
      <x:c r="Q214" s="2" t="str">
        <x:v>-44.651617562</x:v>
      </x:c>
      <x:c r="R214" s="2" t="str">
        <x:v>0.3817910037469119</x:v>
      </x:c>
      <x:c r="S214" s="2" t="str">
        <x:v>46.35474450250182</x:v>
      </x:c>
    </x:row>
    <x:row r="215">
      <x:c r="A215" s="2" t="str">
        <x:v>DE-CMP-01</x:v>
      </x:c>
      <x:c r="B215" s="2" t="str">
        <x:v>CFG-C01</x:v>
      </x:c>
      <x:c r="C215" s="2" t="n">
        <x:v>46227.70238086805</x:v>
      </x:c>
      <x:c r="D215" s="2" t="str">
        <x:v>os_cfar</x:v>
      </x:c>
      <x:c r="E215" s="2" t="str">
        <x:v>single_carrier</x:v>
      </x:c>
      <x:c r="F215" s="2" t="str">
        <x:v>107</x:v>
      </x:c>
      <x:c r="G215" s="2" t="str">
        <x:v>3114210</x:v>
      </x:c>
      <x:c r="H215" s="2" t="str">
        <x:v>2048000.0</x:v>
      </x:c>
      <x:c r="I215" s="2" t="str">
        <x:v>8192</x:v>
      </x:c>
      <x:c r="J215" s="2" t="str">
        <x:v>250.0</x:v>
      </x:c>
      <x:c r="K215" s="2" t="str">
        <x:v>1</x:v>
      </x:c>
      <x:c r="L215" s="2" t="str">
        <x:v>3</x:v>
      </x:c>
      <x:c r="M215" s="2" t="str">
        <x:v>1</x:v>
      </x:c>
      <x:c r="N215" s="2" t="str">
        <x:v>2</x:v>
      </x:c>
      <x:c r="O215" s="2" t="str">
        <x:v>0</x:v>
      </x:c>
      <x:c r="P215" s="2" t="str">
        <x:v>true</x:v>
      </x:c>
      <x:c r="Q215" s="2" t="str">
        <x:v>-44.651617562</x:v>
      </x:c>
      <x:c r="R215" s="2" t="str">
        <x:v>13.709541992284358</x:v>
      </x:c>
      <x:c r="S215" s="2" t="str">
        <x:v>48.152212034741794</x:v>
      </x:c>
    </x:row>
    <x:row r="216">
      <x:c r="A216" s="2" t="str">
        <x:v>DE-CMP-01</x:v>
      </x:c>
      <x:c r="B216" s="2" t="str">
        <x:v>CFG-C01</x:v>
      </x:c>
      <x:c r="C216" s="2" t="n">
        <x:v>46227.70238086805</x:v>
      </x:c>
      <x:c r="D216" s="2" t="str">
        <x:v>os_cfar</x:v>
      </x:c>
      <x:c r="E216" s="2" t="str">
        <x:v>single_carrier</x:v>
      </x:c>
      <x:c r="F216" s="2" t="str">
        <x:v>108</x:v>
      </x:c>
      <x:c r="G216" s="2" t="str">
        <x:v>3114211</x:v>
      </x:c>
      <x:c r="H216" s="2" t="str">
        <x:v>2048000.0</x:v>
      </x:c>
      <x:c r="I216" s="2" t="str">
        <x:v>8192</x:v>
      </x:c>
      <x:c r="J216" s="2" t="str">
        <x:v>250.0</x:v>
      </x:c>
      <x:c r="K216" s="2" t="str">
        <x:v>1</x:v>
      </x:c>
      <x:c r="L216" s="2" t="str">
        <x:v>3</x:v>
      </x:c>
      <x:c r="M216" s="2" t="str">
        <x:v>1</x:v>
      </x:c>
      <x:c r="N216" s="2" t="str">
        <x:v>2</x:v>
      </x:c>
      <x:c r="O216" s="2" t="str">
        <x:v>0</x:v>
      </x:c>
      <x:c r="P216" s="2" t="str">
        <x:v>true</x:v>
      </x:c>
      <x:c r="Q216" s="2" t="str">
        <x:v>-66.262304204</x:v>
      </x:c>
      <x:c r="R216" s="2" t="str">
        <x:v>13.635833995067514</x:v>
      </x:c>
      <x:c r="S216" s="2" t="str">
        <x:v>48.13990623566071</x:v>
      </x:c>
    </x:row>
    <x:row r="217">
      <x:c r="A217" s="2" t="str">
        <x:v>DE-CMP-01</x:v>
      </x:c>
      <x:c r="B217" s="2" t="str">
        <x:v>CFG-C01</x:v>
      </x:c>
      <x:c r="C217" s="2" t="n">
        <x:v>46227.70238086805</x:v>
      </x:c>
      <x:c r="D217" s="2" t="str">
        <x:v>adaptive</x:v>
      </x:c>
      <x:c r="E217" s="2" t="str">
        <x:v>single_carrier</x:v>
      </x:c>
      <x:c r="F217" s="2" t="str">
        <x:v>108</x:v>
      </x:c>
      <x:c r="G217" s="2" t="str">
        <x:v>3114211</x:v>
      </x:c>
      <x:c r="H217" s="2" t="str">
        <x:v>2048000.0</x:v>
      </x:c>
      <x:c r="I217" s="2" t="str">
        <x:v>8192</x:v>
      </x:c>
      <x:c r="J217" s="2" t="str">
        <x:v>250.0</x:v>
      </x:c>
      <x:c r="K217" s="2" t="str">
        <x:v>1</x:v>
      </x:c>
      <x:c r="L217" s="2" t="str">
        <x:v>3</x:v>
      </x:c>
      <x:c r="M217" s="2" t="str">
        <x:v>1</x:v>
      </x:c>
      <x:c r="N217" s="2" t="str">
        <x:v>2</x:v>
      </x:c>
      <x:c r="O217" s="2" t="str">
        <x:v>0</x:v>
      </x:c>
      <x:c r="P217" s="2" t="str">
        <x:v>true</x:v>
      </x:c>
      <x:c r="Q217" s="2" t="str">
        <x:v>-66.262304204</x:v>
      </x:c>
      <x:c r="R217" s="2" t="str">
        <x:v>0.39900001138448715</x:v>
      </x:c>
      <x:c r="S217" s="2" t="str">
        <x:v>46.43828270472539</x:v>
      </x:c>
    </x:row>
    <x:row r="218">
      <x:c r="A218" s="2" t="str">
        <x:v>DE-CMP-01</x:v>
      </x:c>
      <x:c r="B218" s="2" t="str">
        <x:v>CFG-C01</x:v>
      </x:c>
      <x:c r="C218" s="2" t="n">
        <x:v>46227.70238086805</x:v>
      </x:c>
      <x:c r="D218" s="2" t="str">
        <x:v>adaptive</x:v>
      </x:c>
      <x:c r="E218" s="2" t="str">
        <x:v>single_carrier</x:v>
      </x:c>
      <x:c r="F218" s="2" t="str">
        <x:v>109</x:v>
      </x:c>
      <x:c r="G218" s="2" t="str">
        <x:v>3114212</x:v>
      </x:c>
      <x:c r="H218" s="2" t="str">
        <x:v>2048000.0</x:v>
      </x:c>
      <x:c r="I218" s="2" t="str">
        <x:v>8192</x:v>
      </x:c>
      <x:c r="J218" s="2" t="str">
        <x:v>250.0</x:v>
      </x:c>
      <x:c r="K218" s="2" t="str">
        <x:v>1</x:v>
      </x:c>
      <x:c r="L218" s="2" t="str">
        <x:v>3</x:v>
      </x:c>
      <x:c r="M218" s="2" t="str">
        <x:v>1</x:v>
      </x:c>
      <x:c r="N218" s="2" t="str">
        <x:v>2</x:v>
      </x:c>
      <x:c r="O218" s="2" t="str">
        <x:v>0</x:v>
      </x:c>
      <x:c r="P218" s="2" t="str">
        <x:v>true</x:v>
      </x:c>
      <x:c r="Q218" s="2" t="str">
        <x:v>40.889571023</x:v>
      </x:c>
      <x:c r="R218" s="2" t="str">
        <x:v>0.3973749990109354</x:v>
      </x:c>
      <x:c r="S218" s="2" t="str">
        <x:v>46.50138723634151</x:v>
      </x:c>
    </x:row>
    <x:row r="219">
      <x:c r="A219" s="2" t="str">
        <x:v>DE-CMP-01</x:v>
      </x:c>
      <x:c r="B219" s="2" t="str">
        <x:v>CFG-C01</x:v>
      </x:c>
      <x:c r="C219" s="2" t="n">
        <x:v>46227.70238086805</x:v>
      </x:c>
      <x:c r="D219" s="2" t="str">
        <x:v>os_cfar</x:v>
      </x:c>
      <x:c r="E219" s="2" t="str">
        <x:v>single_carrier</x:v>
      </x:c>
      <x:c r="F219" s="2" t="str">
        <x:v>109</x:v>
      </x:c>
      <x:c r="G219" s="2" t="str">
        <x:v>3114212</x:v>
      </x:c>
      <x:c r="H219" s="2" t="str">
        <x:v>2048000.0</x:v>
      </x:c>
      <x:c r="I219" s="2" t="str">
        <x:v>8192</x:v>
      </x:c>
      <x:c r="J219" s="2" t="str">
        <x:v>250.0</x:v>
      </x:c>
      <x:c r="K219" s="2" t="str">
        <x:v>1</x:v>
      </x:c>
      <x:c r="L219" s="2" t="str">
        <x:v>3</x:v>
      </x:c>
      <x:c r="M219" s="2" t="str">
        <x:v>1</x:v>
      </x:c>
      <x:c r="N219" s="2" t="str">
        <x:v>2</x:v>
      </x:c>
      <x:c r="O219" s="2" t="str">
        <x:v>0</x:v>
      </x:c>
      <x:c r="P219" s="2" t="str">
        <x:v>true</x:v>
      </x:c>
      <x:c r="Q219" s="2" t="str">
        <x:v>40.889571023</x:v>
      </x:c>
      <x:c r="R219" s="2" t="str">
        <x:v>13.584792002802715</x:v>
      </x:c>
      <x:c r="S219" s="2" t="str">
        <x:v>48.29202972657161</x:v>
      </x:c>
    </x:row>
    <x:row r="220">
      <x:c r="A220" s="2" t="str">
        <x:v>DE-CMP-01</x:v>
      </x:c>
      <x:c r="B220" s="2" t="str">
        <x:v>CFG-C01</x:v>
      </x:c>
      <x:c r="C220" s="2" t="n">
        <x:v>46227.70238086805</x:v>
      </x:c>
      <x:c r="D220" s="2" t="str">
        <x:v>os_cfar</x:v>
      </x:c>
      <x:c r="E220" s="2" t="str">
        <x:v>single_carrier</x:v>
      </x:c>
      <x:c r="F220" s="2" t="str">
        <x:v>110</x:v>
      </x:c>
      <x:c r="G220" s="2" t="str">
        <x:v>3114213</x:v>
      </x:c>
      <x:c r="H220" s="2" t="str">
        <x:v>2048000.0</x:v>
      </x:c>
      <x:c r="I220" s="2" t="str">
        <x:v>8192</x:v>
      </x:c>
      <x:c r="J220" s="2" t="str">
        <x:v>250.0</x:v>
      </x:c>
      <x:c r="K220" s="2" t="str">
        <x:v>1</x:v>
      </x:c>
      <x:c r="L220" s="2" t="str">
        <x:v>3</x:v>
      </x:c>
      <x:c r="M220" s="2" t="str">
        <x:v>1</x:v>
      </x:c>
      <x:c r="N220" s="2" t="str">
        <x:v>2</x:v>
      </x:c>
      <x:c r="O220" s="2" t="str">
        <x:v>0</x:v>
      </x:c>
      <x:c r="P220" s="2" t="str">
        <x:v>true</x:v>
      </x:c>
      <x:c r="Q220" s="2" t="str">
        <x:v>-35.174262292</x:v>
      </x:c>
      <x:c r="R220" s="2" t="str">
        <x:v>13.756624990492128</x:v>
      </x:c>
      <x:c r="S220" s="2" t="str">
        <x:v>48.16908459393993</x:v>
      </x:c>
    </x:row>
    <x:row r="221">
      <x:c r="A221" s="2" t="str">
        <x:v>DE-CMP-01</x:v>
      </x:c>
      <x:c r="B221" s="2" t="str">
        <x:v>CFG-C01</x:v>
      </x:c>
      <x:c r="C221" s="2" t="n">
        <x:v>46227.70238086805</x:v>
      </x:c>
      <x:c r="D221" s="2" t="str">
        <x:v>adaptive</x:v>
      </x:c>
      <x:c r="E221" s="2" t="str">
        <x:v>single_carrier</x:v>
      </x:c>
      <x:c r="F221" s="2" t="str">
        <x:v>110</x:v>
      </x:c>
      <x:c r="G221" s="2" t="str">
        <x:v>3114213</x:v>
      </x:c>
      <x:c r="H221" s="2" t="str">
        <x:v>2048000.0</x:v>
      </x:c>
      <x:c r="I221" s="2" t="str">
        <x:v>8192</x:v>
      </x:c>
      <x:c r="J221" s="2" t="str">
        <x:v>250.0</x:v>
      </x:c>
      <x:c r="K221" s="2" t="str">
        <x:v>1</x:v>
      </x:c>
      <x:c r="L221" s="2" t="str">
        <x:v>3</x:v>
      </x:c>
      <x:c r="M221" s="2" t="str">
        <x:v>1</x:v>
      </x:c>
      <x:c r="N221" s="2" t="str">
        <x:v>2</x:v>
      </x:c>
      <x:c r="O221" s="2" t="str">
        <x:v>0</x:v>
      </x:c>
      <x:c r="P221" s="2" t="str">
        <x:v>true</x:v>
      </x:c>
      <x:c r="Q221" s="2" t="str">
        <x:v>-35.174262292</x:v>
      </x:c>
      <x:c r="R221" s="2" t="str">
        <x:v>0.42341700464021415</x:v>
      </x:c>
      <x:c r="S221" s="2" t="str">
        <x:v>46.4779321355896</x:v>
      </x:c>
    </x:row>
    <x:row r="222">
      <x:c r="A222" s="2" t="str">
        <x:v>DE-CMP-01</x:v>
      </x:c>
      <x:c r="B222" s="2" t="str">
        <x:v>CFG-C01</x:v>
      </x:c>
      <x:c r="C222" s="2" t="n">
        <x:v>46227.70238086805</x:v>
      </x:c>
      <x:c r="D222" s="2" t="str">
        <x:v>adaptive</x:v>
      </x:c>
      <x:c r="E222" s="2" t="str">
        <x:v>single_carrier</x:v>
      </x:c>
      <x:c r="F222" s="2" t="str">
        <x:v>111</x:v>
      </x:c>
      <x:c r="G222" s="2" t="str">
        <x:v>3114214</x:v>
      </x:c>
      <x:c r="H222" s="2" t="str">
        <x:v>2048000.0</x:v>
      </x:c>
      <x:c r="I222" s="2" t="str">
        <x:v>8192</x:v>
      </x:c>
      <x:c r="J222" s="2" t="str">
        <x:v>250.0</x:v>
      </x:c>
      <x:c r="K222" s="2" t="str">
        <x:v>1</x:v>
      </x:c>
      <x:c r="L222" s="2" t="str">
        <x:v>3</x:v>
      </x:c>
      <x:c r="M222" s="2" t="str">
        <x:v>1</x:v>
      </x:c>
      <x:c r="N222" s="2" t="str">
        <x:v>2</x:v>
      </x:c>
      <x:c r="O222" s="2" t="str">
        <x:v>0</x:v>
      </x:c>
      <x:c r="P222" s="2" t="str">
        <x:v>true</x:v>
      </x:c>
      <x:c r="Q222" s="2" t="str">
        <x:v>86.299200615</x:v>
      </x:c>
      <x:c r="R222" s="2" t="str">
        <x:v>0.41000000783242285</x:v>
      </x:c>
      <x:c r="S222" s="2" t="str">
        <x:v>46.28145353028517</x:v>
      </x:c>
    </x:row>
    <x:row r="223">
      <x:c r="A223" s="2" t="str">
        <x:v>DE-CMP-01</x:v>
      </x:c>
      <x:c r="B223" s="2" t="str">
        <x:v>CFG-C01</x:v>
      </x:c>
      <x:c r="C223" s="2" t="n">
        <x:v>46227.70238086805</x:v>
      </x:c>
      <x:c r="D223" s="2" t="str">
        <x:v>os_cfar</x:v>
      </x:c>
      <x:c r="E223" s="2" t="str">
        <x:v>single_carrier</x:v>
      </x:c>
      <x:c r="F223" s="2" t="str">
        <x:v>111</x:v>
      </x:c>
      <x:c r="G223" s="2" t="str">
        <x:v>3114214</x:v>
      </x:c>
      <x:c r="H223" s="2" t="str">
        <x:v>2048000.0</x:v>
      </x:c>
      <x:c r="I223" s="2" t="str">
        <x:v>8192</x:v>
      </x:c>
      <x:c r="J223" s="2" t="str">
        <x:v>250.0</x:v>
      </x:c>
      <x:c r="K223" s="2" t="str">
        <x:v>1</x:v>
      </x:c>
      <x:c r="L223" s="2" t="str">
        <x:v>3</x:v>
      </x:c>
      <x:c r="M223" s="2" t="str">
        <x:v>1</x:v>
      </x:c>
      <x:c r="N223" s="2" t="str">
        <x:v>2</x:v>
      </x:c>
      <x:c r="O223" s="2" t="str">
        <x:v>0</x:v>
      </x:c>
      <x:c r="P223" s="2" t="str">
        <x:v>true</x:v>
      </x:c>
      <x:c r="Q223" s="2" t="str">
        <x:v>86.299200615</x:v>
      </x:c>
      <x:c r="R223" s="2" t="str">
        <x:v>13.6842079955386</x:v>
      </x:c>
      <x:c r="S223" s="2" t="str">
        <x:v>48.1725863894797</x:v>
      </x:c>
    </x:row>
    <x:row r="224">
      <x:c r="A224" s="2" t="str">
        <x:v>DE-CMP-01</x:v>
      </x:c>
      <x:c r="B224" s="2" t="str">
        <x:v>CFG-C01</x:v>
      </x:c>
      <x:c r="C224" s="2" t="n">
        <x:v>46227.70238086805</x:v>
      </x:c>
      <x:c r="D224" s="2" t="str">
        <x:v>os_cfar</x:v>
      </x:c>
      <x:c r="E224" s="2" t="str">
        <x:v>single_carrier</x:v>
      </x:c>
      <x:c r="F224" s="2" t="str">
        <x:v>112</x:v>
      </x:c>
      <x:c r="G224" s="2" t="str">
        <x:v>3114215</x:v>
      </x:c>
      <x:c r="H224" s="2" t="str">
        <x:v>2048000.0</x:v>
      </x:c>
      <x:c r="I224" s="2" t="str">
        <x:v>8192</x:v>
      </x:c>
      <x:c r="J224" s="2" t="str">
        <x:v>250.0</x:v>
      </x:c>
      <x:c r="K224" s="2" t="str">
        <x:v>1</x:v>
      </x:c>
      <x:c r="L224" s="2" t="str">
        <x:v>3</x:v>
      </x:c>
      <x:c r="M224" s="2" t="str">
        <x:v>1</x:v>
      </x:c>
      <x:c r="N224" s="2" t="str">
        <x:v>2</x:v>
      </x:c>
      <x:c r="O224" s="2" t="str">
        <x:v>0</x:v>
      </x:c>
      <x:c r="P224" s="2" t="str">
        <x:v>true</x:v>
      </x:c>
      <x:c r="Q224" s="2" t="str">
        <x:v>-19.764048591</x:v>
      </x:c>
      <x:c r="R224" s="2" t="str">
        <x:v>13.799457999994047</x:v>
      </x:c>
      <x:c r="S224" s="2" t="str">
        <x:v>48.19686108008228</x:v>
      </x:c>
    </x:row>
    <x:row r="225">
      <x:c r="A225" s="2" t="str">
        <x:v>DE-CMP-01</x:v>
      </x:c>
      <x:c r="B225" s="2" t="str">
        <x:v>CFG-C01</x:v>
      </x:c>
      <x:c r="C225" s="2" t="n">
        <x:v>46227.70238086805</x:v>
      </x:c>
      <x:c r="D225" s="2" t="str">
        <x:v>adaptive</x:v>
      </x:c>
      <x:c r="E225" s="2" t="str">
        <x:v>single_carrier</x:v>
      </x:c>
      <x:c r="F225" s="2" t="str">
        <x:v>112</x:v>
      </x:c>
      <x:c r="G225" s="2" t="str">
        <x:v>3114215</x:v>
      </x:c>
      <x:c r="H225" s="2" t="str">
        <x:v>2048000.0</x:v>
      </x:c>
      <x:c r="I225" s="2" t="str">
        <x:v>8192</x:v>
      </x:c>
      <x:c r="J225" s="2" t="str">
        <x:v>250.0</x:v>
      </x:c>
      <x:c r="K225" s="2" t="str">
        <x:v>1</x:v>
      </x:c>
      <x:c r="L225" s="2" t="str">
        <x:v>3</x:v>
      </x:c>
      <x:c r="M225" s="2" t="str">
        <x:v>1</x:v>
      </x:c>
      <x:c r="N225" s="2" t="str">
        <x:v>2</x:v>
      </x:c>
      <x:c r="O225" s="2" t="str">
        <x:v>0</x:v>
      </x:c>
      <x:c r="P225" s="2" t="str">
        <x:v>true</x:v>
      </x:c>
      <x:c r="Q225" s="2" t="str">
        <x:v>-19.764048591</x:v>
      </x:c>
      <x:c r="R225" s="2" t="str">
        <x:v>0.4282500012777746</x:v>
      </x:c>
      <x:c r="S225" s="2" t="str">
        <x:v>46.285644034455686</x:v>
      </x:c>
    </x:row>
    <x:row r="226">
      <x:c r="A226" s="2" t="str">
        <x:v>DE-CMP-01</x:v>
      </x:c>
      <x:c r="B226" s="2" t="str">
        <x:v>CFG-C01</x:v>
      </x:c>
      <x:c r="C226" s="2" t="n">
        <x:v>46227.70238086805</x:v>
      </x:c>
      <x:c r="D226" s="2" t="str">
        <x:v>adaptive</x:v>
      </x:c>
      <x:c r="E226" s="2" t="str">
        <x:v>single_carrier</x:v>
      </x:c>
      <x:c r="F226" s="2" t="str">
        <x:v>113</x:v>
      </x:c>
      <x:c r="G226" s="2" t="str">
        <x:v>3114216</x:v>
      </x:c>
      <x:c r="H226" s="2" t="str">
        <x:v>2048000.0</x:v>
      </x:c>
      <x:c r="I226" s="2" t="str">
        <x:v>8192</x:v>
      </x:c>
      <x:c r="J226" s="2" t="str">
        <x:v>250.0</x:v>
      </x:c>
      <x:c r="K226" s="2" t="str">
        <x:v>1</x:v>
      </x:c>
      <x:c r="L226" s="2" t="str">
        <x:v>3</x:v>
      </x:c>
      <x:c r="M226" s="2" t="str">
        <x:v>1</x:v>
      </x:c>
      <x:c r="N226" s="2" t="str">
        <x:v>2</x:v>
      </x:c>
      <x:c r="O226" s="2" t="str">
        <x:v>0</x:v>
      </x:c>
      <x:c r="P226" s="2" t="str">
        <x:v>true</x:v>
      </x:c>
      <x:c r="Q226" s="2" t="str">
        <x:v>-28.043596752</x:v>
      </x:c>
      <x:c r="R226" s="2" t="str">
        <x:v>0.40787499165162444</x:v>
      </x:c>
      <x:c r="S226" s="2" t="str">
        <x:v>46.481069674411565</x:v>
      </x:c>
    </x:row>
    <x:row r="227">
      <x:c r="A227" s="2" t="str">
        <x:v>DE-CMP-01</x:v>
      </x:c>
      <x:c r="B227" s="2" t="str">
        <x:v>CFG-C01</x:v>
      </x:c>
      <x:c r="C227" s="2" t="n">
        <x:v>46227.70238086805</x:v>
      </x:c>
      <x:c r="D227" s="2" t="str">
        <x:v>os_cfar</x:v>
      </x:c>
      <x:c r="E227" s="2" t="str">
        <x:v>single_carrier</x:v>
      </x:c>
      <x:c r="F227" s="2" t="str">
        <x:v>113</x:v>
      </x:c>
      <x:c r="G227" s="2" t="str">
        <x:v>3114216</x:v>
      </x:c>
      <x:c r="H227" s="2" t="str">
        <x:v>2048000.0</x:v>
      </x:c>
      <x:c r="I227" s="2" t="str">
        <x:v>8192</x:v>
      </x:c>
      <x:c r="J227" s="2" t="str">
        <x:v>250.0</x:v>
      </x:c>
      <x:c r="K227" s="2" t="str">
        <x:v>1</x:v>
      </x:c>
      <x:c r="L227" s="2" t="str">
        <x:v>3</x:v>
      </x:c>
      <x:c r="M227" s="2" t="str">
        <x:v>1</x:v>
      </x:c>
      <x:c r="N227" s="2" t="str">
        <x:v>2</x:v>
      </x:c>
      <x:c r="O227" s="2" t="str">
        <x:v>0</x:v>
      </x:c>
      <x:c r="P227" s="2" t="str">
        <x:v>true</x:v>
      </x:c>
      <x:c r="Q227" s="2" t="str">
        <x:v>-28.043596752</x:v>
      </x:c>
      <x:c r="R227" s="2" t="str">
        <x:v>13.897583005018532</x:v>
      </x:c>
      <x:c r="S227" s="2" t="str">
        <x:v>48.22891580580041</x:v>
      </x:c>
    </x:row>
    <x:row r="228">
      <x:c r="A228" s="2" t="str">
        <x:v>DE-CMP-01</x:v>
      </x:c>
      <x:c r="B228" s="2" t="str">
        <x:v>CFG-C01</x:v>
      </x:c>
      <x:c r="C228" s="2" t="n">
        <x:v>46227.70238086805</x:v>
      </x:c>
      <x:c r="D228" s="2" t="str">
        <x:v>os_cfar</x:v>
      </x:c>
      <x:c r="E228" s="2" t="str">
        <x:v>single_carrier</x:v>
      </x:c>
      <x:c r="F228" s="2" t="str">
        <x:v>114</x:v>
      </x:c>
      <x:c r="G228" s="2" t="str">
        <x:v>3114217</x:v>
      </x:c>
      <x:c r="H228" s="2" t="str">
        <x:v>2048000.0</x:v>
      </x:c>
      <x:c r="I228" s="2" t="str">
        <x:v>8192</x:v>
      </x:c>
      <x:c r="J228" s="2" t="str">
        <x:v>250.0</x:v>
      </x:c>
      <x:c r="K228" s="2" t="str">
        <x:v>1</x:v>
      </x:c>
      <x:c r="L228" s="2" t="str">
        <x:v>3</x:v>
      </x:c>
      <x:c r="M228" s="2" t="str">
        <x:v>1</x:v>
      </x:c>
      <x:c r="N228" s="2" t="str">
        <x:v>2</x:v>
      </x:c>
      <x:c r="O228" s="2" t="str">
        <x:v>0</x:v>
      </x:c>
      <x:c r="P228" s="2" t="str">
        <x:v>true</x:v>
      </x:c>
      <x:c r="Q228" s="2" t="str">
        <x:v>-90.080931310</x:v>
      </x:c>
      <x:c r="R228" s="2" t="str">
        <x:v>13.511167009710334</x:v>
      </x:c>
      <x:c r="S228" s="2" t="str">
        <x:v>48.08602970708711</x:v>
      </x:c>
    </x:row>
    <x:row r="229">
      <x:c r="A229" s="2" t="str">
        <x:v>DE-CMP-01</x:v>
      </x:c>
      <x:c r="B229" s="2" t="str">
        <x:v>CFG-C01</x:v>
      </x:c>
      <x:c r="C229" s="2" t="n">
        <x:v>46227.70238086805</x:v>
      </x:c>
      <x:c r="D229" s="2" t="str">
        <x:v>adaptive</x:v>
      </x:c>
      <x:c r="E229" s="2" t="str">
        <x:v>single_carrier</x:v>
      </x:c>
      <x:c r="F229" s="2" t="str">
        <x:v>114</x:v>
      </x:c>
      <x:c r="G229" s="2" t="str">
        <x:v>3114217</x:v>
      </x:c>
      <x:c r="H229" s="2" t="str">
        <x:v>2048000.0</x:v>
      </x:c>
      <x:c r="I229" s="2" t="str">
        <x:v>8192</x:v>
      </x:c>
      <x:c r="J229" s="2" t="str">
        <x:v>250.0</x:v>
      </x:c>
      <x:c r="K229" s="2" t="str">
        <x:v>1</x:v>
      </x:c>
      <x:c r="L229" s="2" t="str">
        <x:v>3</x:v>
      </x:c>
      <x:c r="M229" s="2" t="str">
        <x:v>1</x:v>
      </x:c>
      <x:c r="N229" s="2" t="str">
        <x:v>2</x:v>
      </x:c>
      <x:c r="O229" s="2" t="str">
        <x:v>0</x:v>
      </x:c>
      <x:c r="P229" s="2" t="str">
        <x:v>true</x:v>
      </x:c>
      <x:c r="Q229" s="2" t="str">
        <x:v>-90.080931310</x:v>
      </x:c>
      <x:c r="R229" s="2" t="str">
        <x:v>0.41058399074245244</x:v>
      </x:c>
      <x:c r="S229" s="2" t="str">
        <x:v>46.33709607695742</x:v>
      </x:c>
    </x:row>
    <x:row r="230">
      <x:c r="A230" s="2" t="str">
        <x:v>DE-CMP-01</x:v>
      </x:c>
      <x:c r="B230" s="2" t="str">
        <x:v>CFG-C01</x:v>
      </x:c>
      <x:c r="C230" s="2" t="n">
        <x:v>46227.70238086805</x:v>
      </x:c>
      <x:c r="D230" s="2" t="str">
        <x:v>adaptive</x:v>
      </x:c>
      <x:c r="E230" s="2" t="str">
        <x:v>single_carrier</x:v>
      </x:c>
      <x:c r="F230" s="2" t="str">
        <x:v>115</x:v>
      </x:c>
      <x:c r="G230" s="2" t="str">
        <x:v>3114218</x:v>
      </x:c>
      <x:c r="H230" s="2" t="str">
        <x:v>2048000.0</x:v>
      </x:c>
      <x:c r="I230" s="2" t="str">
        <x:v>8192</x:v>
      </x:c>
      <x:c r="J230" s="2" t="str">
        <x:v>250.0</x:v>
      </x:c>
      <x:c r="K230" s="2" t="str">
        <x:v>1</x:v>
      </x:c>
      <x:c r="L230" s="2" t="str">
        <x:v>3</x:v>
      </x:c>
      <x:c r="M230" s="2" t="str">
        <x:v>1</x:v>
      </x:c>
      <x:c r="N230" s="2" t="str">
        <x:v>2</x:v>
      </x:c>
      <x:c r="O230" s="2" t="str">
        <x:v>0</x:v>
      </x:c>
      <x:c r="P230" s="2" t="str">
        <x:v>true</x:v>
      </x:c>
      <x:c r="Q230" s="2" t="str">
        <x:v>106.842092933</x:v>
      </x:c>
      <x:c r="R230" s="2" t="str">
        <x:v>0.40445898775942624</x:v>
      </x:c>
      <x:c r="S230" s="2" t="str">
        <x:v>46.43032986392549</x:v>
      </x:c>
    </x:row>
    <x:row r="231">
      <x:c r="A231" s="2" t="str">
        <x:v>DE-CMP-01</x:v>
      </x:c>
      <x:c r="B231" s="2" t="str">
        <x:v>CFG-C01</x:v>
      </x:c>
      <x:c r="C231" s="2" t="n">
        <x:v>46227.70238086805</x:v>
      </x:c>
      <x:c r="D231" s="2" t="str">
        <x:v>os_cfar</x:v>
      </x:c>
      <x:c r="E231" s="2" t="str">
        <x:v>single_carrier</x:v>
      </x:c>
      <x:c r="F231" s="2" t="str">
        <x:v>115</x:v>
      </x:c>
      <x:c r="G231" s="2" t="str">
        <x:v>3114218</x:v>
      </x:c>
      <x:c r="H231" s="2" t="str">
        <x:v>2048000.0</x:v>
      </x:c>
      <x:c r="I231" s="2" t="str">
        <x:v>8192</x:v>
      </x:c>
      <x:c r="J231" s="2" t="str">
        <x:v>250.0</x:v>
      </x:c>
      <x:c r="K231" s="2" t="str">
        <x:v>1</x:v>
      </x:c>
      <x:c r="L231" s="2" t="str">
        <x:v>3</x:v>
      </x:c>
      <x:c r="M231" s="2" t="str">
        <x:v>1</x:v>
      </x:c>
      <x:c r="N231" s="2" t="str">
        <x:v>2</x:v>
      </x:c>
      <x:c r="O231" s="2" t="str">
        <x:v>0</x:v>
      </x:c>
      <x:c r="P231" s="2" t="str">
        <x:v>true</x:v>
      </x:c>
      <x:c r="Q231" s="2" t="str">
        <x:v>106.842092933</x:v>
      </x:c>
      <x:c r="R231" s="2" t="str">
        <x:v>13.838667000527494</x:v>
      </x:c>
      <x:c r="S231" s="2" t="str">
        <x:v>48.33574661797731</x:v>
      </x:c>
    </x:row>
    <x:row r="232">
      <x:c r="A232" s="2" t="str">
        <x:v>DE-CMP-01</x:v>
      </x:c>
      <x:c r="B232" s="2" t="str">
        <x:v>CFG-C01</x:v>
      </x:c>
      <x:c r="C232" s="2" t="n">
        <x:v>46227.70238086805</x:v>
      </x:c>
      <x:c r="D232" s="2" t="str">
        <x:v>os_cfar</x:v>
      </x:c>
      <x:c r="E232" s="2" t="str">
        <x:v>single_carrier</x:v>
      </x:c>
      <x:c r="F232" s="2" t="str">
        <x:v>116</x:v>
      </x:c>
      <x:c r="G232" s="2" t="str">
        <x:v>3114219</x:v>
      </x:c>
      <x:c r="H232" s="2" t="str">
        <x:v>2048000.0</x:v>
      </x:c>
      <x:c r="I232" s="2" t="str">
        <x:v>8192</x:v>
      </x:c>
      <x:c r="J232" s="2" t="str">
        <x:v>250.0</x:v>
      </x:c>
      <x:c r="K232" s="2" t="str">
        <x:v>1</x:v>
      </x:c>
      <x:c r="L232" s="2" t="str">
        <x:v>3</x:v>
      </x:c>
      <x:c r="M232" s="2" t="str">
        <x:v>1</x:v>
      </x:c>
      <x:c r="N232" s="2" t="str">
        <x:v>2</x:v>
      </x:c>
      <x:c r="O232" s="2" t="str">
        <x:v>0</x:v>
      </x:c>
      <x:c r="P232" s="2" t="str">
        <x:v>true</x:v>
      </x:c>
      <x:c r="Q232" s="2" t="str">
        <x:v>91.125808394</x:v>
      </x:c>
      <x:c r="R232" s="2" t="str">
        <x:v>14.165999993565492</x:v>
      </x:c>
      <x:c r="S232" s="2" t="str">
        <x:v>48.23281127015066</x:v>
      </x:c>
    </x:row>
    <x:row r="233">
      <x:c r="A233" s="2" t="str">
        <x:v>DE-CMP-01</x:v>
      </x:c>
      <x:c r="B233" s="2" t="str">
        <x:v>CFG-C01</x:v>
      </x:c>
      <x:c r="C233" s="2" t="n">
        <x:v>46227.70238086805</x:v>
      </x:c>
      <x:c r="D233" s="2" t="str">
        <x:v>adaptive</x:v>
      </x:c>
      <x:c r="E233" s="2" t="str">
        <x:v>single_carrier</x:v>
      </x:c>
      <x:c r="F233" s="2" t="str">
        <x:v>116</x:v>
      </x:c>
      <x:c r="G233" s="2" t="str">
        <x:v>3114219</x:v>
      </x:c>
      <x:c r="H233" s="2" t="str">
        <x:v>2048000.0</x:v>
      </x:c>
      <x:c r="I233" s="2" t="str">
        <x:v>8192</x:v>
      </x:c>
      <x:c r="J233" s="2" t="str">
        <x:v>250.0</x:v>
      </x:c>
      <x:c r="K233" s="2" t="str">
        <x:v>1</x:v>
      </x:c>
      <x:c r="L233" s="2" t="str">
        <x:v>3</x:v>
      </x:c>
      <x:c r="M233" s="2" t="str">
        <x:v>1</x:v>
      </x:c>
      <x:c r="N233" s="2" t="str">
        <x:v>2</x:v>
      </x:c>
      <x:c r="O233" s="2" t="str">
        <x:v>0</x:v>
      </x:c>
      <x:c r="P233" s="2" t="str">
        <x:v>true</x:v>
      </x:c>
      <x:c r="Q233" s="2" t="str">
        <x:v>91.125808394</x:v>
      </x:c>
      <x:c r="R233" s="2" t="str">
        <x:v>0.4243750008754432</x:v>
      </x:c>
      <x:c r="S233" s="2" t="str">
        <x:v>46.385362282154134</x:v>
      </x:c>
    </x:row>
    <x:row r="234">
      <x:c r="A234" s="2" t="str">
        <x:v>DE-CMP-01</x:v>
      </x:c>
      <x:c r="B234" s="2" t="str">
        <x:v>CFG-C01</x:v>
      </x:c>
      <x:c r="C234" s="2" t="n">
        <x:v>46227.70238086805</x:v>
      </x:c>
      <x:c r="D234" s="2" t="str">
        <x:v>adaptive</x:v>
      </x:c>
      <x:c r="E234" s="2" t="str">
        <x:v>single_carrier</x:v>
      </x:c>
      <x:c r="F234" s="2" t="str">
        <x:v>117</x:v>
      </x:c>
      <x:c r="G234" s="2" t="str">
        <x:v>3114220</x:v>
      </x:c>
      <x:c r="H234" s="2" t="str">
        <x:v>2048000.0</x:v>
      </x:c>
      <x:c r="I234" s="2" t="str">
        <x:v>8192</x:v>
      </x:c>
      <x:c r="J234" s="2" t="str">
        <x:v>250.0</x:v>
      </x:c>
      <x:c r="K234" s="2" t="str">
        <x:v>1</x:v>
      </x:c>
      <x:c r="L234" s="2" t="str">
        <x:v>3</x:v>
      </x:c>
      <x:c r="M234" s="2" t="str">
        <x:v>1</x:v>
      </x:c>
      <x:c r="N234" s="2" t="str">
        <x:v>2</x:v>
      </x:c>
      <x:c r="O234" s="2" t="str">
        <x:v>0</x:v>
      </x:c>
      <x:c r="P234" s="2" t="str">
        <x:v>true</x:v>
      </x:c>
      <x:c r="Q234" s="2" t="str">
        <x:v>47.135687883</x:v>
      </x:c>
      <x:c r="R234" s="2" t="str">
        <x:v>0.4209580074530095</x:v>
      </x:c>
      <x:c r="S234" s="2" t="str">
        <x:v>46.354162168573204</x:v>
      </x:c>
    </x:row>
    <x:row r="235">
      <x:c r="A235" s="2" t="str">
        <x:v>DE-CMP-01</x:v>
      </x:c>
      <x:c r="B235" s="2" t="str">
        <x:v>CFG-C01</x:v>
      </x:c>
      <x:c r="C235" s="2" t="n">
        <x:v>46227.70238086805</x:v>
      </x:c>
      <x:c r="D235" s="2" t="str">
        <x:v>os_cfar</x:v>
      </x:c>
      <x:c r="E235" s="2" t="str">
        <x:v>single_carrier</x:v>
      </x:c>
      <x:c r="F235" s="2" t="str">
        <x:v>117</x:v>
      </x:c>
      <x:c r="G235" s="2" t="str">
        <x:v>3114220</x:v>
      </x:c>
      <x:c r="H235" s="2" t="str">
        <x:v>2048000.0</x:v>
      </x:c>
      <x:c r="I235" s="2" t="str">
        <x:v>8192</x:v>
      </x:c>
      <x:c r="J235" s="2" t="str">
        <x:v>250.0</x:v>
      </x:c>
      <x:c r="K235" s="2" t="str">
        <x:v>1</x:v>
      </x:c>
      <x:c r="L235" s="2" t="str">
        <x:v>3</x:v>
      </x:c>
      <x:c r="M235" s="2" t="str">
        <x:v>1</x:v>
      </x:c>
      <x:c r="N235" s="2" t="str">
        <x:v>2</x:v>
      </x:c>
      <x:c r="O235" s="2" t="str">
        <x:v>0</x:v>
      </x:c>
      <x:c r="P235" s="2" t="str">
        <x:v>true</x:v>
      </x:c>
      <x:c r="Q235" s="2" t="str">
        <x:v>47.135687883</x:v>
      </x:c>
      <x:c r="R235" s="2" t="str">
        <x:v>13.93541699508205</x:v>
      </x:c>
      <x:c r="S235" s="2" t="str">
        <x:v>48.235547043078306</x:v>
      </x:c>
    </x:row>
    <x:row r="236">
      <x:c r="A236" s="2" t="str">
        <x:v>DE-CMP-01</x:v>
      </x:c>
      <x:c r="B236" s="2" t="str">
        <x:v>CFG-C01</x:v>
      </x:c>
      <x:c r="C236" s="2" t="n">
        <x:v>46227.70238086805</x:v>
      </x:c>
      <x:c r="D236" s="2" t="str">
        <x:v>os_cfar</x:v>
      </x:c>
      <x:c r="E236" s="2" t="str">
        <x:v>single_carrier</x:v>
      </x:c>
      <x:c r="F236" s="2" t="str">
        <x:v>118</x:v>
      </x:c>
      <x:c r="G236" s="2" t="str">
        <x:v>3114221</x:v>
      </x:c>
      <x:c r="H236" s="2" t="str">
        <x:v>2048000.0</x:v>
      </x:c>
      <x:c r="I236" s="2" t="str">
        <x:v>8192</x:v>
      </x:c>
      <x:c r="J236" s="2" t="str">
        <x:v>250.0</x:v>
      </x:c>
      <x:c r="K236" s="2" t="str">
        <x:v>1</x:v>
      </x:c>
      <x:c r="L236" s="2" t="str">
        <x:v>3</x:v>
      </x:c>
      <x:c r="M236" s="2" t="str">
        <x:v>1</x:v>
      </x:c>
      <x:c r="N236" s="2" t="str">
        <x:v>2</x:v>
      </x:c>
      <x:c r="O236" s="2" t="str">
        <x:v>0</x:v>
      </x:c>
      <x:c r="P236" s="2" t="str">
        <x:v>true</x:v>
      </x:c>
      <x:c r="Q236" s="2" t="str">
        <x:v>51.510422814</x:v>
      </x:c>
      <x:c r="R236" s="2" t="str">
        <x:v>14.012584011652507</x:v>
      </x:c>
      <x:c r="S236" s="2" t="str">
        <x:v>48.2696778690801</x:v>
      </x:c>
    </x:row>
    <x:row r="237">
      <x:c r="A237" s="2" t="str">
        <x:v>DE-CMP-01</x:v>
      </x:c>
      <x:c r="B237" s="2" t="str">
        <x:v>CFG-C01</x:v>
      </x:c>
      <x:c r="C237" s="2" t="n">
        <x:v>46227.70238086805</x:v>
      </x:c>
      <x:c r="D237" s="2" t="str">
        <x:v>adaptive</x:v>
      </x:c>
      <x:c r="E237" s="2" t="str">
        <x:v>single_carrier</x:v>
      </x:c>
      <x:c r="F237" s="2" t="str">
        <x:v>118</x:v>
      </x:c>
      <x:c r="G237" s="2" t="str">
        <x:v>3114221</x:v>
      </x:c>
      <x:c r="H237" s="2" t="str">
        <x:v>2048000.0</x:v>
      </x:c>
      <x:c r="I237" s="2" t="str">
        <x:v>8192</x:v>
      </x:c>
      <x:c r="J237" s="2" t="str">
        <x:v>250.0</x:v>
      </x:c>
      <x:c r="K237" s="2" t="str">
        <x:v>1</x:v>
      </x:c>
      <x:c r="L237" s="2" t="str">
        <x:v>3</x:v>
      </x:c>
      <x:c r="M237" s="2" t="str">
        <x:v>1</x:v>
      </x:c>
      <x:c r="N237" s="2" t="str">
        <x:v>2</x:v>
      </x:c>
      <x:c r="O237" s="2" t="str">
        <x:v>0</x:v>
      </x:c>
      <x:c r="P237" s="2" t="str">
        <x:v>true</x:v>
      </x:c>
      <x:c r="Q237" s="2" t="str">
        <x:v>51.510422814</x:v>
      </x:c>
      <x:c r="R237" s="2" t="str">
        <x:v>0.40758299292065203</x:v>
      </x:c>
      <x:c r="S237" s="2" t="str">
        <x:v>46.47559261047903</x:v>
      </x:c>
    </x:row>
    <x:row r="238">
      <x:c r="A238" s="2" t="str">
        <x:v>DE-CMP-01</x:v>
      </x:c>
      <x:c r="B238" s="2" t="str">
        <x:v>CFG-C01</x:v>
      </x:c>
      <x:c r="C238" s="2" t="n">
        <x:v>46227.70238086805</x:v>
      </x:c>
      <x:c r="D238" s="2" t="str">
        <x:v>adaptive</x:v>
      </x:c>
      <x:c r="E238" s="2" t="str">
        <x:v>single_carrier</x:v>
      </x:c>
      <x:c r="F238" s="2" t="str">
        <x:v>119</x:v>
      </x:c>
      <x:c r="G238" s="2" t="str">
        <x:v>3114222</x:v>
      </x:c>
      <x:c r="H238" s="2" t="str">
        <x:v>2048000.0</x:v>
      </x:c>
      <x:c r="I238" s="2" t="str">
        <x:v>8192</x:v>
      </x:c>
      <x:c r="J238" s="2" t="str">
        <x:v>250.0</x:v>
      </x:c>
      <x:c r="K238" s="2" t="str">
        <x:v>1</x:v>
      </x:c>
      <x:c r="L238" s="2" t="str">
        <x:v>3</x:v>
      </x:c>
      <x:c r="M238" s="2" t="str">
        <x:v>1</x:v>
      </x:c>
      <x:c r="N238" s="2" t="str">
        <x:v>2</x:v>
      </x:c>
      <x:c r="O238" s="2" t="str">
        <x:v>0</x:v>
      </x:c>
      <x:c r="P238" s="2" t="str">
        <x:v>true</x:v>
      </x:c>
      <x:c r="Q238" s="2" t="str">
        <x:v>-68.385282287</x:v>
      </x:c>
      <x:c r="R238" s="2" t="str">
        <x:v>0.40020800952333957</x:v>
      </x:c>
      <x:c r="S238" s="2" t="str">
        <x:v>46.37015212353936</x:v>
      </x:c>
    </x:row>
    <x:row r="239">
      <x:c r="A239" s="2" t="str">
        <x:v>DE-CMP-01</x:v>
      </x:c>
      <x:c r="B239" s="2" t="str">
        <x:v>CFG-C01</x:v>
      </x:c>
      <x:c r="C239" s="2" t="n">
        <x:v>46227.70238086805</x:v>
      </x:c>
      <x:c r="D239" s="2" t="str">
        <x:v>os_cfar</x:v>
      </x:c>
      <x:c r="E239" s="2" t="str">
        <x:v>single_carrier</x:v>
      </x:c>
      <x:c r="F239" s="2" t="str">
        <x:v>119</x:v>
      </x:c>
      <x:c r="G239" s="2" t="str">
        <x:v>3114222</x:v>
      </x:c>
      <x:c r="H239" s="2" t="str">
        <x:v>2048000.0</x:v>
      </x:c>
      <x:c r="I239" s="2" t="str">
        <x:v>8192</x:v>
      </x:c>
      <x:c r="J239" s="2" t="str">
        <x:v>250.0</x:v>
      </x:c>
      <x:c r="K239" s="2" t="str">
        <x:v>1</x:v>
      </x:c>
      <x:c r="L239" s="2" t="str">
        <x:v>3</x:v>
      </x:c>
      <x:c r="M239" s="2" t="str">
        <x:v>1</x:v>
      </x:c>
      <x:c r="N239" s="2" t="str">
        <x:v>2</x:v>
      </x:c>
      <x:c r="O239" s="2" t="str">
        <x:v>0</x:v>
      </x:c>
      <x:c r="P239" s="2" t="str">
        <x:v>true</x:v>
      </x:c>
      <x:c r="Q239" s="2" t="str">
        <x:v>-68.385282287</x:v>
      </x:c>
      <x:c r="R239" s="2" t="str">
        <x:v>13.804916990920901</x:v>
      </x:c>
      <x:c r="S239" s="2" t="str">
        <x:v>48.246179298543325</x:v>
      </x:c>
    </x:row>
    <x:row r="240">
      <x:c r="A240" s="2" t="str">
        <x:v>DE-CMP-01</x:v>
      </x:c>
      <x:c r="B240" s="2" t="str">
        <x:v>CFG-C01</x:v>
      </x:c>
      <x:c r="C240" s="2" t="n">
        <x:v>46227.70238086805</x:v>
      </x:c>
      <x:c r="D240" s="2" t="str">
        <x:v>os_cfar</x:v>
      </x:c>
      <x:c r="E240" s="2" t="str">
        <x:v>single_carrier</x:v>
      </x:c>
      <x:c r="F240" s="2" t="str">
        <x:v>120</x:v>
      </x:c>
      <x:c r="G240" s="2" t="str">
        <x:v>3114223</x:v>
      </x:c>
      <x:c r="H240" s="2" t="str">
        <x:v>2048000.0</x:v>
      </x:c>
      <x:c r="I240" s="2" t="str">
        <x:v>8192</x:v>
      </x:c>
      <x:c r="J240" s="2" t="str">
        <x:v>250.0</x:v>
      </x:c>
      <x:c r="K240" s="2" t="str">
        <x:v>1</x:v>
      </x:c>
      <x:c r="L240" s="2" t="str">
        <x:v>3</x:v>
      </x:c>
      <x:c r="M240" s="2" t="str">
        <x:v>1</x:v>
      </x:c>
      <x:c r="N240" s="2" t="str">
        <x:v>2</x:v>
      </x:c>
      <x:c r="O240" s="2" t="str">
        <x:v>0</x:v>
      </x:c>
      <x:c r="P240" s="2" t="str">
        <x:v>true</x:v>
      </x:c>
      <x:c r="Q240" s="2" t="str">
        <x:v>62.981032386</x:v>
      </x:c>
      <x:c r="R240" s="2" t="str">
        <x:v>13.712292013224214</x:v>
      </x:c>
      <x:c r="S240" s="2" t="str">
        <x:v>48.23301413597455</x:v>
      </x:c>
    </x:row>
    <x:row r="241">
      <x:c r="A241" s="2" t="str">
        <x:v>DE-CMP-01</x:v>
      </x:c>
      <x:c r="B241" s="2" t="str">
        <x:v>CFG-C01</x:v>
      </x:c>
      <x:c r="C241" s="2" t="n">
        <x:v>46227.70238086805</x:v>
      </x:c>
      <x:c r="D241" s="2" t="str">
        <x:v>adaptive</x:v>
      </x:c>
      <x:c r="E241" s="2" t="str">
        <x:v>single_carrier</x:v>
      </x:c>
      <x:c r="F241" s="2" t="str">
        <x:v>120</x:v>
      </x:c>
      <x:c r="G241" s="2" t="str">
        <x:v>3114223</x:v>
      </x:c>
      <x:c r="H241" s="2" t="str">
        <x:v>2048000.0</x:v>
      </x:c>
      <x:c r="I241" s="2" t="str">
        <x:v>8192</x:v>
      </x:c>
      <x:c r="J241" s="2" t="str">
        <x:v>250.0</x:v>
      </x:c>
      <x:c r="K241" s="2" t="str">
        <x:v>1</x:v>
      </x:c>
      <x:c r="L241" s="2" t="str">
        <x:v>3</x:v>
      </x:c>
      <x:c r="M241" s="2" t="str">
        <x:v>1</x:v>
      </x:c>
      <x:c r="N241" s="2" t="str">
        <x:v>2</x:v>
      </x:c>
      <x:c r="O241" s="2" t="str">
        <x:v>0</x:v>
      </x:c>
      <x:c r="P241" s="2" t="str">
        <x:v>true</x:v>
      </x:c>
      <x:c r="Q241" s="2" t="str">
        <x:v>62.981032386</x:v>
      </x:c>
      <x:c r="R241" s="2" t="str">
        <x:v>0.4049580020364374</x:v>
      </x:c>
      <x:c r="S241" s="2" t="str">
        <x:v>46.4619647741542</x:v>
      </x:c>
    </x:row>
    <x:row r="242">
      <x:c r="A242" s="2" t="str">
        <x:v>DE-CMP-01</x:v>
      </x:c>
      <x:c r="B242" s="2" t="str">
        <x:v>CFG-C01</x:v>
      </x:c>
      <x:c r="C242" s="2" t="n">
        <x:v>46227.70238086805</x:v>
      </x:c>
      <x:c r="D242" s="2" t="str">
        <x:v>adaptive</x:v>
      </x:c>
      <x:c r="E242" s="2" t="str">
        <x:v>single_carrier</x:v>
      </x:c>
      <x:c r="F242" s="2" t="str">
        <x:v>121</x:v>
      </x:c>
      <x:c r="G242" s="2" t="str">
        <x:v>3114224</x:v>
      </x:c>
      <x:c r="H242" s="2" t="str">
        <x:v>2048000.0</x:v>
      </x:c>
      <x:c r="I242" s="2" t="str">
        <x:v>8192</x:v>
      </x:c>
      <x:c r="J242" s="2" t="str">
        <x:v>250.0</x:v>
      </x:c>
      <x:c r="K242" s="2" t="str">
        <x:v>1</x:v>
      </x:c>
      <x:c r="L242" s="2" t="str">
        <x:v>3</x:v>
      </x:c>
      <x:c r="M242" s="2" t="str">
        <x:v>1</x:v>
      </x:c>
      <x:c r="N242" s="2" t="str">
        <x:v>2</x:v>
      </x:c>
      <x:c r="O242" s="2" t="str">
        <x:v>0</x:v>
      </x:c>
      <x:c r="P242" s="2" t="str">
        <x:v>true</x:v>
      </x:c>
      <x:c r="Q242" s="2" t="str">
        <x:v>-28.480889860</x:v>
      </x:c>
      <x:c r="R242" s="2" t="str">
        <x:v>0.41000000783242285</x:v>
      </x:c>
      <x:c r="S242" s="2" t="str">
        <x:v>46.305074427718914</x:v>
      </x:c>
    </x:row>
    <x:row r="243">
      <x:c r="A243" s="2" t="str">
        <x:v>DE-CMP-01</x:v>
      </x:c>
      <x:c r="B243" s="2" t="str">
        <x:v>CFG-C01</x:v>
      </x:c>
      <x:c r="C243" s="2" t="n">
        <x:v>46227.70238086805</x:v>
      </x:c>
      <x:c r="D243" s="2" t="str">
        <x:v>os_cfar</x:v>
      </x:c>
      <x:c r="E243" s="2" t="str">
        <x:v>single_carrier</x:v>
      </x:c>
      <x:c r="F243" s="2" t="str">
        <x:v>121</x:v>
      </x:c>
      <x:c r="G243" s="2" t="str">
        <x:v>3114224</x:v>
      </x:c>
      <x:c r="H243" s="2" t="str">
        <x:v>2048000.0</x:v>
      </x:c>
      <x:c r="I243" s="2" t="str">
        <x:v>8192</x:v>
      </x:c>
      <x:c r="J243" s="2" t="str">
        <x:v>250.0</x:v>
      </x:c>
      <x:c r="K243" s="2" t="str">
        <x:v>1</x:v>
      </x:c>
      <x:c r="L243" s="2" t="str">
        <x:v>3</x:v>
      </x:c>
      <x:c r="M243" s="2" t="str">
        <x:v>1</x:v>
      </x:c>
      <x:c r="N243" s="2" t="str">
        <x:v>2</x:v>
      </x:c>
      <x:c r="O243" s="2" t="str">
        <x:v>0</x:v>
      </x:c>
      <x:c r="P243" s="2" t="str">
        <x:v>true</x:v>
      </x:c>
      <x:c r="Q243" s="2" t="str">
        <x:v>-28.480889860</x:v>
      </x:c>
      <x:c r="R243" s="2" t="str">
        <x:v>13.811374999932013</x:v>
      </x:c>
      <x:c r="S243" s="2" t="str">
        <x:v>48.262765029637</x:v>
      </x:c>
    </x:row>
    <x:row r="244">
      <x:c r="A244" s="2" t="str">
        <x:v>DE-CMP-01</x:v>
      </x:c>
      <x:c r="B244" s="2" t="str">
        <x:v>CFG-C01</x:v>
      </x:c>
      <x:c r="C244" s="2" t="n">
        <x:v>46227.70238086805</x:v>
      </x:c>
      <x:c r="D244" s="2" t="str">
        <x:v>os_cfar</x:v>
      </x:c>
      <x:c r="E244" s="2" t="str">
        <x:v>single_carrier</x:v>
      </x:c>
      <x:c r="F244" s="2" t="str">
        <x:v>122</x:v>
      </x:c>
      <x:c r="G244" s="2" t="str">
        <x:v>3114225</x:v>
      </x:c>
      <x:c r="H244" s="2" t="str">
        <x:v>2048000.0</x:v>
      </x:c>
      <x:c r="I244" s="2" t="str">
        <x:v>8192</x:v>
      </x:c>
      <x:c r="J244" s="2" t="str">
        <x:v>250.0</x:v>
      </x:c>
      <x:c r="K244" s="2" t="str">
        <x:v>1</x:v>
      </x:c>
      <x:c r="L244" s="2" t="str">
        <x:v>3</x:v>
      </x:c>
      <x:c r="M244" s="2" t="str">
        <x:v>1</x:v>
      </x:c>
      <x:c r="N244" s="2" t="str">
        <x:v>2</x:v>
      </x:c>
      <x:c r="O244" s="2" t="str">
        <x:v>0</x:v>
      </x:c>
      <x:c r="P244" s="2" t="str">
        <x:v>true</x:v>
      </x:c>
      <x:c r="Q244" s="2" t="str">
        <x:v>-78.929839737</x:v>
      </x:c>
      <x:c r="R244" s="2" t="str">
        <x:v>13.64366699999664</x:v>
      </x:c>
      <x:c r="S244" s="2" t="str">
        <x:v>48.26407468607049</x:v>
      </x:c>
    </x:row>
    <x:row r="245">
      <x:c r="A245" s="2" t="str">
        <x:v>DE-CMP-01</x:v>
      </x:c>
      <x:c r="B245" s="2" t="str">
        <x:v>CFG-C01</x:v>
      </x:c>
      <x:c r="C245" s="2" t="n">
        <x:v>46227.70238086805</x:v>
      </x:c>
      <x:c r="D245" s="2" t="str">
        <x:v>adaptive</x:v>
      </x:c>
      <x:c r="E245" s="2" t="str">
        <x:v>single_carrier</x:v>
      </x:c>
      <x:c r="F245" s="2" t="str">
        <x:v>122</x:v>
      </x:c>
      <x:c r="G245" s="2" t="str">
        <x:v>3114225</x:v>
      </x:c>
      <x:c r="H245" s="2" t="str">
        <x:v>2048000.0</x:v>
      </x:c>
      <x:c r="I245" s="2" t="str">
        <x:v>8192</x:v>
      </x:c>
      <x:c r="J245" s="2" t="str">
        <x:v>250.0</x:v>
      </x:c>
      <x:c r="K245" s="2" t="str">
        <x:v>1</x:v>
      </x:c>
      <x:c r="L245" s="2" t="str">
        <x:v>3</x:v>
      </x:c>
      <x:c r="M245" s="2" t="str">
        <x:v>1</x:v>
      </x:c>
      <x:c r="N245" s="2" t="str">
        <x:v>2</x:v>
      </x:c>
      <x:c r="O245" s="2" t="str">
        <x:v>0</x:v>
      </x:c>
      <x:c r="P245" s="2" t="str">
        <x:v>true</x:v>
      </x:c>
      <x:c r="Q245" s="2" t="str">
        <x:v>-78.929839737</x:v>
      </x:c>
      <x:c r="R245" s="2" t="str">
        <x:v>0.4232909996062517</x:v>
      </x:c>
      <x:c r="S245" s="2" t="str">
        <x:v>46.31516210283075</x:v>
      </x:c>
    </x:row>
    <x:row r="246">
      <x:c r="A246" s="2" t="str">
        <x:v>DE-CMP-01</x:v>
      </x:c>
      <x:c r="B246" s="2" t="str">
        <x:v>CFG-C01</x:v>
      </x:c>
      <x:c r="C246" s="2" t="n">
        <x:v>46227.70238086805</x:v>
      </x:c>
      <x:c r="D246" s="2" t="str">
        <x:v>adaptive</x:v>
      </x:c>
      <x:c r="E246" s="2" t="str">
        <x:v>single_carrier</x:v>
      </x:c>
      <x:c r="F246" s="2" t="str">
        <x:v>123</x:v>
      </x:c>
      <x:c r="G246" s="2" t="str">
        <x:v>3114226</x:v>
      </x:c>
      <x:c r="H246" s="2" t="str">
        <x:v>2048000.0</x:v>
      </x:c>
      <x:c r="I246" s="2" t="str">
        <x:v>8192</x:v>
      </x:c>
      <x:c r="J246" s="2" t="str">
        <x:v>250.0</x:v>
      </x:c>
      <x:c r="K246" s="2" t="str">
        <x:v>1</x:v>
      </x:c>
      <x:c r="L246" s="2" t="str">
        <x:v>3</x:v>
      </x:c>
      <x:c r="M246" s="2" t="str">
        <x:v>1</x:v>
      </x:c>
      <x:c r="N246" s="2" t="str">
        <x:v>2</x:v>
      </x:c>
      <x:c r="O246" s="2" t="str">
        <x:v>0</x:v>
      </x:c>
      <x:c r="P246" s="2" t="str">
        <x:v>true</x:v>
      </x:c>
      <x:c r="Q246" s="2" t="str">
        <x:v>121.641038926</x:v>
      </x:c>
      <x:c r="R246" s="2" t="str">
        <x:v>0.4149590095039457</x:v>
      </x:c>
      <x:c r="S246" s="2" t="str">
        <x:v>46.39448638282355</x:v>
      </x:c>
    </x:row>
    <x:row r="247">
      <x:c r="A247" s="2" t="str">
        <x:v>DE-CMP-01</x:v>
      </x:c>
      <x:c r="B247" s="2" t="str">
        <x:v>CFG-C01</x:v>
      </x:c>
      <x:c r="C247" s="2" t="n">
        <x:v>46227.70238086805</x:v>
      </x:c>
      <x:c r="D247" s="2" t="str">
        <x:v>os_cfar</x:v>
      </x:c>
      <x:c r="E247" s="2" t="str">
        <x:v>single_carrier</x:v>
      </x:c>
      <x:c r="F247" s="2" t="str">
        <x:v>123</x:v>
      </x:c>
      <x:c r="G247" s="2" t="str">
        <x:v>3114226</x:v>
      </x:c>
      <x:c r="H247" s="2" t="str">
        <x:v>2048000.0</x:v>
      </x:c>
      <x:c r="I247" s="2" t="str">
        <x:v>8192</x:v>
      </x:c>
      <x:c r="J247" s="2" t="str">
        <x:v>250.0</x:v>
      </x:c>
      <x:c r="K247" s="2" t="str">
        <x:v>1</x:v>
      </x:c>
      <x:c r="L247" s="2" t="str">
        <x:v>3</x:v>
      </x:c>
      <x:c r="M247" s="2" t="str">
        <x:v>1</x:v>
      </x:c>
      <x:c r="N247" s="2" t="str">
        <x:v>2</x:v>
      </x:c>
      <x:c r="O247" s="2" t="str">
        <x:v>0</x:v>
      </x:c>
      <x:c r="P247" s="2" t="str">
        <x:v>true</x:v>
      </x:c>
      <x:c r="Q247" s="2" t="str">
        <x:v>121.641038926</x:v>
      </x:c>
      <x:c r="R247" s="2" t="str">
        <x:v>13.906958003644831</x:v>
      </x:c>
      <x:c r="S247" s="2" t="str">
        <x:v>48.249477847900756</x:v>
      </x:c>
    </x:row>
    <x:row r="248">
      <x:c r="A248" s="2" t="str">
        <x:v>DE-CMP-01</x:v>
      </x:c>
      <x:c r="B248" s="2" t="str">
        <x:v>CFG-C01</x:v>
      </x:c>
      <x:c r="C248" s="2" t="n">
        <x:v>46227.70238086805</x:v>
      </x:c>
      <x:c r="D248" s="2" t="str">
        <x:v>os_cfar</x:v>
      </x:c>
      <x:c r="E248" s="2" t="str">
        <x:v>single_carrier</x:v>
      </x:c>
      <x:c r="F248" s="2" t="str">
        <x:v>124</x:v>
      </x:c>
      <x:c r="G248" s="2" t="str">
        <x:v>3114227</x:v>
      </x:c>
      <x:c r="H248" s="2" t="str">
        <x:v>2048000.0</x:v>
      </x:c>
      <x:c r="I248" s="2" t="str">
        <x:v>8192</x:v>
      </x:c>
      <x:c r="J248" s="2" t="str">
        <x:v>250.0</x:v>
      </x:c>
      <x:c r="K248" s="2" t="str">
        <x:v>1</x:v>
      </x:c>
      <x:c r="L248" s="2" t="str">
        <x:v>3</x:v>
      </x:c>
      <x:c r="M248" s="2" t="str">
        <x:v>1</x:v>
      </x:c>
      <x:c r="N248" s="2" t="str">
        <x:v>2</x:v>
      </x:c>
      <x:c r="O248" s="2" t="str">
        <x:v>0</x:v>
      </x:c>
      <x:c r="P248" s="2" t="str">
        <x:v>true</x:v>
      </x:c>
      <x:c r="Q248" s="2" t="str">
        <x:v>88.617246770</x:v>
      </x:c>
      <x:c r="R248" s="2" t="str">
        <x:v>13.64737500261981</x:v>
      </x:c>
      <x:c r="S248" s="2" t="str">
        <x:v>48.29760895033671</x:v>
      </x:c>
    </x:row>
    <x:row r="249">
      <x:c r="A249" s="2" t="str">
        <x:v>DE-CMP-01</x:v>
      </x:c>
      <x:c r="B249" s="2" t="str">
        <x:v>CFG-C01</x:v>
      </x:c>
      <x:c r="C249" s="2" t="n">
        <x:v>46227.70238086805</x:v>
      </x:c>
      <x:c r="D249" s="2" t="str">
        <x:v>adaptive</x:v>
      </x:c>
      <x:c r="E249" s="2" t="str">
        <x:v>single_carrier</x:v>
      </x:c>
      <x:c r="F249" s="2" t="str">
        <x:v>124</x:v>
      </x:c>
      <x:c r="G249" s="2" t="str">
        <x:v>3114227</x:v>
      </x:c>
      <x:c r="H249" s="2" t="str">
        <x:v>2048000.0</x:v>
      </x:c>
      <x:c r="I249" s="2" t="str">
        <x:v>8192</x:v>
      </x:c>
      <x:c r="J249" s="2" t="str">
        <x:v>250.0</x:v>
      </x:c>
      <x:c r="K249" s="2" t="str">
        <x:v>1</x:v>
      </x:c>
      <x:c r="L249" s="2" t="str">
        <x:v>3</x:v>
      </x:c>
      <x:c r="M249" s="2" t="str">
        <x:v>1</x:v>
      </x:c>
      <x:c r="N249" s="2" t="str">
        <x:v>2</x:v>
      </x:c>
      <x:c r="O249" s="2" t="str">
        <x:v>0</x:v>
      </x:c>
      <x:c r="P249" s="2" t="str">
        <x:v>true</x:v>
      </x:c>
      <x:c r="Q249" s="2" t="str">
        <x:v>88.617246770</x:v>
      </x:c>
      <x:c r="R249" s="2" t="str">
        <x:v>0.4170419997535646</x:v>
      </x:c>
      <x:c r="S249" s="2" t="str">
        <x:v>46.39405315142422</x:v>
      </x:c>
    </x:row>
    <x:row r="250">
      <x:c r="A250" s="2" t="str">
        <x:v>DE-CMP-01</x:v>
      </x:c>
      <x:c r="B250" s="2" t="str">
        <x:v>CFG-C01</x:v>
      </x:c>
      <x:c r="C250" s="2" t="n">
        <x:v>46227.70238086805</x:v>
      </x:c>
      <x:c r="D250" s="2" t="str">
        <x:v>adaptive</x:v>
      </x:c>
      <x:c r="E250" s="2" t="str">
        <x:v>single_carrier</x:v>
      </x:c>
      <x:c r="F250" s="2" t="str">
        <x:v>125</x:v>
      </x:c>
      <x:c r="G250" s="2" t="str">
        <x:v>3114228</x:v>
      </x:c>
      <x:c r="H250" s="2" t="str">
        <x:v>2048000.0</x:v>
      </x:c>
      <x:c r="I250" s="2" t="str">
        <x:v>8192</x:v>
      </x:c>
      <x:c r="J250" s="2" t="str">
        <x:v>250.0</x:v>
      </x:c>
      <x:c r="K250" s="2" t="str">
        <x:v>1</x:v>
      </x:c>
      <x:c r="L250" s="2" t="str">
        <x:v>3</x:v>
      </x:c>
      <x:c r="M250" s="2" t="str">
        <x:v>1</x:v>
      </x:c>
      <x:c r="N250" s="2" t="str">
        <x:v>2</x:v>
      </x:c>
      <x:c r="O250" s="2" t="str">
        <x:v>0</x:v>
      </x:c>
      <x:c r="P250" s="2" t="str">
        <x:v>true</x:v>
      </x:c>
      <x:c r="Q250" s="2" t="str">
        <x:v>122.373725208</x:v>
      </x:c>
      <x:c r="R250" s="2" t="str">
        <x:v>0.4006669914815575</x:v>
      </x:c>
      <x:c r="S250" s="2" t="str">
        <x:v>46.6010440367729</x:v>
      </x:c>
    </x:row>
    <x:row r="251">
      <x:c r="A251" s="2" t="str">
        <x:v>DE-CMP-01</x:v>
      </x:c>
      <x:c r="B251" s="2" t="str">
        <x:v>CFG-C01</x:v>
      </x:c>
      <x:c r="C251" s="2" t="n">
        <x:v>46227.70238086805</x:v>
      </x:c>
      <x:c r="D251" s="2" t="str">
        <x:v>os_cfar</x:v>
      </x:c>
      <x:c r="E251" s="2" t="str">
        <x:v>single_carrier</x:v>
      </x:c>
      <x:c r="F251" s="2" t="str">
        <x:v>125</x:v>
      </x:c>
      <x:c r="G251" s="2" t="str">
        <x:v>3114228</x:v>
      </x:c>
      <x:c r="H251" s="2" t="str">
        <x:v>2048000.0</x:v>
      </x:c>
      <x:c r="I251" s="2" t="str">
        <x:v>8192</x:v>
      </x:c>
      <x:c r="J251" s="2" t="str">
        <x:v>250.0</x:v>
      </x:c>
      <x:c r="K251" s="2" t="str">
        <x:v>1</x:v>
      </x:c>
      <x:c r="L251" s="2" t="str">
        <x:v>3</x:v>
      </x:c>
      <x:c r="M251" s="2" t="str">
        <x:v>1</x:v>
      </x:c>
      <x:c r="N251" s="2" t="str">
        <x:v>2</x:v>
      </x:c>
      <x:c r="O251" s="2" t="str">
        <x:v>0</x:v>
      </x:c>
      <x:c r="P251" s="2" t="str">
        <x:v>true</x:v>
      </x:c>
      <x:c r="Q251" s="2" t="str">
        <x:v>122.373725208</x:v>
      </x:c>
      <x:c r="R251" s="2" t="str">
        <x:v>14.188208995619789</x:v>
      </x:c>
      <x:c r="S251" s="2" t="str">
        <x:v>48.25285192275306</x:v>
      </x:c>
    </x:row>
    <x:row r="252">
      <x:c r="A252" s="2" t="str">
        <x:v>DE-CMP-01</x:v>
      </x:c>
      <x:c r="B252" s="2" t="str">
        <x:v>CFG-C01</x:v>
      </x:c>
      <x:c r="C252" s="2" t="n">
        <x:v>46227.70238086805</x:v>
      </x:c>
      <x:c r="D252" s="2" t="str">
        <x:v>os_cfar</x:v>
      </x:c>
      <x:c r="E252" s="2" t="str">
        <x:v>single_carrier</x:v>
      </x:c>
      <x:c r="F252" s="2" t="str">
        <x:v>126</x:v>
      </x:c>
      <x:c r="G252" s="2" t="str">
        <x:v>3114229</x:v>
      </x:c>
      <x:c r="H252" s="2" t="str">
        <x:v>2048000.0</x:v>
      </x:c>
      <x:c r="I252" s="2" t="str">
        <x:v>8192</x:v>
      </x:c>
      <x:c r="J252" s="2" t="str">
        <x:v>250.0</x:v>
      </x:c>
      <x:c r="K252" s="2" t="str">
        <x:v>1</x:v>
      </x:c>
      <x:c r="L252" s="2" t="str">
        <x:v>3</x:v>
      </x:c>
      <x:c r="M252" s="2" t="str">
        <x:v>1</x:v>
      </x:c>
      <x:c r="N252" s="2" t="str">
        <x:v>2</x:v>
      </x:c>
      <x:c r="O252" s="2" t="str">
        <x:v>0</x:v>
      </x:c>
      <x:c r="P252" s="2" t="str">
        <x:v>true</x:v>
      </x:c>
      <x:c r="Q252" s="2" t="str">
        <x:v>-49.454768686</x:v>
      </x:c>
      <x:c r="R252" s="2" t="str">
        <x:v>14.225040999008343</x:v>
      </x:c>
      <x:c r="S252" s="2" t="str">
        <x:v>48.30410011565593</x:v>
      </x:c>
    </x:row>
    <x:row r="253">
      <x:c r="A253" s="2" t="str">
        <x:v>DE-CMP-01</x:v>
      </x:c>
      <x:c r="B253" s="2" t="str">
        <x:v>CFG-C01</x:v>
      </x:c>
      <x:c r="C253" s="2" t="n">
        <x:v>46227.70238086805</x:v>
      </x:c>
      <x:c r="D253" s="2" t="str">
        <x:v>adaptive</x:v>
      </x:c>
      <x:c r="E253" s="2" t="str">
        <x:v>single_carrier</x:v>
      </x:c>
      <x:c r="F253" s="2" t="str">
        <x:v>126</x:v>
      </x:c>
      <x:c r="G253" s="2" t="str">
        <x:v>3114229</x:v>
      </x:c>
      <x:c r="H253" s="2" t="str">
        <x:v>2048000.0</x:v>
      </x:c>
      <x:c r="I253" s="2" t="str">
        <x:v>8192</x:v>
      </x:c>
      <x:c r="J253" s="2" t="str">
        <x:v>250.0</x:v>
      </x:c>
      <x:c r="K253" s="2" t="str">
        <x:v>1</x:v>
      </x:c>
      <x:c r="L253" s="2" t="str">
        <x:v>3</x:v>
      </x:c>
      <x:c r="M253" s="2" t="str">
        <x:v>1</x:v>
      </x:c>
      <x:c r="N253" s="2" t="str">
        <x:v>2</x:v>
      </x:c>
      <x:c r="O253" s="2" t="str">
        <x:v>0</x:v>
      </x:c>
      <x:c r="P253" s="2" t="str">
        <x:v>true</x:v>
      </x:c>
      <x:c r="Q253" s="2" t="str">
        <x:v>-49.454768686</x:v>
      </x:c>
      <x:c r="R253" s="2" t="str">
        <x:v>0.4132920003030449</x:v>
      </x:c>
      <x:c r="S253" s="2" t="str">
        <x:v>46.41982631595586</x:v>
      </x:c>
    </x:row>
    <x:row r="254">
      <x:c r="A254" s="2" t="str">
        <x:v>DE-CMP-01</x:v>
      </x:c>
      <x:c r="B254" s="2" t="str">
        <x:v>CFG-C01</x:v>
      </x:c>
      <x:c r="C254" s="2" t="n">
        <x:v>46227.70238086805</x:v>
      </x:c>
      <x:c r="D254" s="2" t="str">
        <x:v>adaptive</x:v>
      </x:c>
      <x:c r="E254" s="2" t="str">
        <x:v>single_carrier</x:v>
      </x:c>
      <x:c r="F254" s="2" t="str">
        <x:v>127</x:v>
      </x:c>
      <x:c r="G254" s="2" t="str">
        <x:v>3114230</x:v>
      </x:c>
      <x:c r="H254" s="2" t="str">
        <x:v>2048000.0</x:v>
      </x:c>
      <x:c r="I254" s="2" t="str">
        <x:v>8192</x:v>
      </x:c>
      <x:c r="J254" s="2" t="str">
        <x:v>250.0</x:v>
      </x:c>
      <x:c r="K254" s="2" t="str">
        <x:v>1</x:v>
      </x:c>
      <x:c r="L254" s="2" t="str">
        <x:v>3</x:v>
      </x:c>
      <x:c r="M254" s="2" t="str">
        <x:v>1</x:v>
      </x:c>
      <x:c r="N254" s="2" t="str">
        <x:v>2</x:v>
      </x:c>
      <x:c r="O254" s="2" t="str">
        <x:v>0</x:v>
      </x:c>
      <x:c r="P254" s="2" t="str">
        <x:v>true</x:v>
      </x:c>
      <x:c r="Q254" s="2" t="str">
        <x:v>-45.954625493</x:v>
      </x:c>
      <x:c r="R254" s="2" t="str">
        <x:v>0.42299999040551484</x:v>
      </x:c>
      <x:c r="S254" s="2" t="str">
        <x:v>46.31788576426295</x:v>
      </x:c>
    </x:row>
    <x:row r="255">
      <x:c r="A255" s="2" t="str">
        <x:v>DE-CMP-01</x:v>
      </x:c>
      <x:c r="B255" s="2" t="str">
        <x:v>CFG-C01</x:v>
      </x:c>
      <x:c r="C255" s="2" t="n">
        <x:v>46227.70238086805</x:v>
      </x:c>
      <x:c r="D255" s="2" t="str">
        <x:v>os_cfar</x:v>
      </x:c>
      <x:c r="E255" s="2" t="str">
        <x:v>single_carrier</x:v>
      </x:c>
      <x:c r="F255" s="2" t="str">
        <x:v>127</x:v>
      </x:c>
      <x:c r="G255" s="2" t="str">
        <x:v>3114230</x:v>
      </x:c>
      <x:c r="H255" s="2" t="str">
        <x:v>2048000.0</x:v>
      </x:c>
      <x:c r="I255" s="2" t="str">
        <x:v>8192</x:v>
      </x:c>
      <x:c r="J255" s="2" t="str">
        <x:v>250.0</x:v>
      </x:c>
      <x:c r="K255" s="2" t="str">
        <x:v>1</x:v>
      </x:c>
      <x:c r="L255" s="2" t="str">
        <x:v>3</x:v>
      </x:c>
      <x:c r="M255" s="2" t="str">
        <x:v>1</x:v>
      </x:c>
      <x:c r="N255" s="2" t="str">
        <x:v>2</x:v>
      </x:c>
      <x:c r="O255" s="2" t="str">
        <x:v>0</x:v>
      </x:c>
      <x:c r="P255" s="2" t="str">
        <x:v>true</x:v>
      </x:c>
      <x:c r="Q255" s="2" t="str">
        <x:v>-45.954625493</x:v>
      </x:c>
      <x:c r="R255" s="2" t="str">
        <x:v>13.954834008472972</x:v>
      </x:c>
      <x:c r="S255" s="2" t="str">
        <x:v>48.34449203685107</x:v>
      </x:c>
    </x:row>
    <x:row r="256">
      <x:c r="A256" s="2" t="str">
        <x:v>DE-CMP-01</x:v>
      </x:c>
      <x:c r="B256" s="2" t="str">
        <x:v>CFG-C01</x:v>
      </x:c>
      <x:c r="C256" s="2" t="n">
        <x:v>46227.70238086805</x:v>
      </x:c>
      <x:c r="D256" s="2" t="str">
        <x:v>os_cfar</x:v>
      </x:c>
      <x:c r="E256" s="2" t="str">
        <x:v>single_carrier</x:v>
      </x:c>
      <x:c r="F256" s="2" t="str">
        <x:v>128</x:v>
      </x:c>
      <x:c r="G256" s="2" t="str">
        <x:v>3114231</x:v>
      </x:c>
      <x:c r="H256" s="2" t="str">
        <x:v>2048000.0</x:v>
      </x:c>
      <x:c r="I256" s="2" t="str">
        <x:v>8192</x:v>
      </x:c>
      <x:c r="J256" s="2" t="str">
        <x:v>250.0</x:v>
      </x:c>
      <x:c r="K256" s="2" t="str">
        <x:v>1</x:v>
      </x:c>
      <x:c r="L256" s="2" t="str">
        <x:v>3</x:v>
      </x:c>
      <x:c r="M256" s="2" t="str">
        <x:v>1</x:v>
      </x:c>
      <x:c r="N256" s="2" t="str">
        <x:v>2</x:v>
      </x:c>
      <x:c r="O256" s="2" t="str">
        <x:v>0</x:v>
      </x:c>
      <x:c r="P256" s="2" t="str">
        <x:v>true</x:v>
      </x:c>
      <x:c r="Q256" s="2" t="str">
        <x:v>-86.744797575</x:v>
      </x:c>
      <x:c r="R256" s="2" t="str">
        <x:v>13.948958003311418</x:v>
      </x:c>
      <x:c r="S256" s="2" t="str">
        <x:v>48.187604839378864</x:v>
      </x:c>
    </x:row>
    <x:row r="257">
      <x:c r="A257" s="2" t="str">
        <x:v>DE-CMP-01</x:v>
      </x:c>
      <x:c r="B257" s="2" t="str">
        <x:v>CFG-C01</x:v>
      </x:c>
      <x:c r="C257" s="2" t="n">
        <x:v>46227.70238086805</x:v>
      </x:c>
      <x:c r="D257" s="2" t="str">
        <x:v>adaptive</x:v>
      </x:c>
      <x:c r="E257" s="2" t="str">
        <x:v>single_carrier</x:v>
      </x:c>
      <x:c r="F257" s="2" t="str">
        <x:v>128</x:v>
      </x:c>
      <x:c r="G257" s="2" t="str">
        <x:v>3114231</x:v>
      </x:c>
      <x:c r="H257" s="2" t="str">
        <x:v>2048000.0</x:v>
      </x:c>
      <x:c r="I257" s="2" t="str">
        <x:v>8192</x:v>
      </x:c>
      <x:c r="J257" s="2" t="str">
        <x:v>250.0</x:v>
      </x:c>
      <x:c r="K257" s="2" t="str">
        <x:v>1</x:v>
      </x:c>
      <x:c r="L257" s="2" t="str">
        <x:v>3</x:v>
      </x:c>
      <x:c r="M257" s="2" t="str">
        <x:v>1</x:v>
      </x:c>
      <x:c r="N257" s="2" t="str">
        <x:v>2</x:v>
      </x:c>
      <x:c r="O257" s="2" t="str">
        <x:v>0</x:v>
      </x:c>
      <x:c r="P257" s="2" t="str">
        <x:v>true</x:v>
      </x:c>
      <x:c r="Q257" s="2" t="str">
        <x:v>-86.744797575</x:v>
      </x:c>
      <x:c r="R257" s="2" t="str">
        <x:v>0.46191600267775357</x:v>
      </x:c>
      <x:c r="S257" s="2" t="str">
        <x:v>46.42248401732898</x:v>
      </x:c>
    </x:row>
    <x:row r="258">
      <x:c r="A258" s="2" t="str">
        <x:v>DE-CMP-01</x:v>
      </x:c>
      <x:c r="B258" s="2" t="str">
        <x:v>CFG-C01</x:v>
      </x:c>
      <x:c r="C258" s="2" t="n">
        <x:v>46227.70238086805</x:v>
      </x:c>
      <x:c r="D258" s="2" t="str">
        <x:v>adaptive</x:v>
      </x:c>
      <x:c r="E258" s="2" t="str">
        <x:v>single_carrier</x:v>
      </x:c>
      <x:c r="F258" s="2" t="str">
        <x:v>129</x:v>
      </x:c>
      <x:c r="G258" s="2" t="str">
        <x:v>3114232</x:v>
      </x:c>
      <x:c r="H258" s="2" t="str">
        <x:v>2048000.0</x:v>
      </x:c>
      <x:c r="I258" s="2" t="str">
        <x:v>8192</x:v>
      </x:c>
      <x:c r="J258" s="2" t="str">
        <x:v>250.0</x:v>
      </x:c>
      <x:c r="K258" s="2" t="str">
        <x:v>1</x:v>
      </x:c>
      <x:c r="L258" s="2" t="str">
        <x:v>3</x:v>
      </x:c>
      <x:c r="M258" s="2" t="str">
        <x:v>1</x:v>
      </x:c>
      <x:c r="N258" s="2" t="str">
        <x:v>2</x:v>
      </x:c>
      <x:c r="O258" s="2" t="str">
        <x:v>0</x:v>
      </x:c>
      <x:c r="P258" s="2" t="str">
        <x:v>true</x:v>
      </x:c>
      <x:c r="Q258" s="2" t="str">
        <x:v>52.862375199</x:v>
      </x:c>
      <x:c r="R258" s="2" t="str">
        <x:v>0.3922080068150535</x:v>
      </x:c>
      <x:c r="S258" s="2" t="str">
        <x:v>46.3672334191518</x:v>
      </x:c>
    </x:row>
    <x:row r="259">
      <x:c r="A259" s="2" t="str">
        <x:v>DE-CMP-01</x:v>
      </x:c>
      <x:c r="B259" s="2" t="str">
        <x:v>CFG-C01</x:v>
      </x:c>
      <x:c r="C259" s="2" t="n">
        <x:v>46227.70238086805</x:v>
      </x:c>
      <x:c r="D259" s="2" t="str">
        <x:v>os_cfar</x:v>
      </x:c>
      <x:c r="E259" s="2" t="str">
        <x:v>single_carrier</x:v>
      </x:c>
      <x:c r="F259" s="2" t="str">
        <x:v>129</x:v>
      </x:c>
      <x:c r="G259" s="2" t="str">
        <x:v>3114232</x:v>
      </x:c>
      <x:c r="H259" s="2" t="str">
        <x:v>2048000.0</x:v>
      </x:c>
      <x:c r="I259" s="2" t="str">
        <x:v>8192</x:v>
      </x:c>
      <x:c r="J259" s="2" t="str">
        <x:v>250.0</x:v>
      </x:c>
      <x:c r="K259" s="2" t="str">
        <x:v>1</x:v>
      </x:c>
      <x:c r="L259" s="2" t="str">
        <x:v>3</x:v>
      </x:c>
      <x:c r="M259" s="2" t="str">
        <x:v>1</x:v>
      </x:c>
      <x:c r="N259" s="2" t="str">
        <x:v>2</x:v>
      </x:c>
      <x:c r="O259" s="2" t="str">
        <x:v>0</x:v>
      </x:c>
      <x:c r="P259" s="2" t="str">
        <x:v>true</x:v>
      </x:c>
      <x:c r="Q259" s="2" t="str">
        <x:v>52.862375199</x:v>
      </x:c>
      <x:c r="R259" s="2" t="str">
        <x:v>13.678540999535471</x:v>
      </x:c>
      <x:c r="S259" s="2" t="str">
        <x:v>48.11188490892881</x:v>
      </x:c>
    </x:row>
    <x:row r="260">
      <x:c r="A260" s="2" t="str">
        <x:v>DE-CMP-01</x:v>
      </x:c>
      <x:c r="B260" s="2" t="str">
        <x:v>CFG-C01</x:v>
      </x:c>
      <x:c r="C260" s="2" t="n">
        <x:v>46227.70238086805</x:v>
      </x:c>
      <x:c r="D260" s="2" t="str">
        <x:v>os_cfar</x:v>
      </x:c>
      <x:c r="E260" s="2" t="str">
        <x:v>single_carrier</x:v>
      </x:c>
      <x:c r="F260" s="2" t="str">
        <x:v>130</x:v>
      </x:c>
      <x:c r="G260" s="2" t="str">
        <x:v>3114233</x:v>
      </x:c>
      <x:c r="H260" s="2" t="str">
        <x:v>2048000.0</x:v>
      </x:c>
      <x:c r="I260" s="2" t="str">
        <x:v>8192</x:v>
      </x:c>
      <x:c r="J260" s="2" t="str">
        <x:v>250.0</x:v>
      </x:c>
      <x:c r="K260" s="2" t="str">
        <x:v>1</x:v>
      </x:c>
      <x:c r="L260" s="2" t="str">
        <x:v>3</x:v>
      </x:c>
      <x:c r="M260" s="2" t="str">
        <x:v>1</x:v>
      </x:c>
      <x:c r="N260" s="2" t="str">
        <x:v>2</x:v>
      </x:c>
      <x:c r="O260" s="2" t="str">
        <x:v>0</x:v>
      </x:c>
      <x:c r="P260" s="2" t="str">
        <x:v>true</x:v>
      </x:c>
      <x:c r="Q260" s="2" t="str">
        <x:v>39.058645815</x:v>
      </x:c>
      <x:c r="R260" s="2" t="str">
        <x:v>13.615457995911129</x:v>
      </x:c>
      <x:c r="S260" s="2" t="str">
        <x:v>48.0558934973551</x:v>
      </x:c>
    </x:row>
    <x:row r="261">
      <x:c r="A261" s="2" t="str">
        <x:v>DE-CMP-01</x:v>
      </x:c>
      <x:c r="B261" s="2" t="str">
        <x:v>CFG-C01</x:v>
      </x:c>
      <x:c r="C261" s="2" t="n">
        <x:v>46227.70238086805</x:v>
      </x:c>
      <x:c r="D261" s="2" t="str">
        <x:v>adaptive</x:v>
      </x:c>
      <x:c r="E261" s="2" t="str">
        <x:v>single_carrier</x:v>
      </x:c>
      <x:c r="F261" s="2" t="str">
        <x:v>130</x:v>
      </x:c>
      <x:c r="G261" s="2" t="str">
        <x:v>3114233</x:v>
      </x:c>
      <x:c r="H261" s="2" t="str">
        <x:v>2048000.0</x:v>
      </x:c>
      <x:c r="I261" s="2" t="str">
        <x:v>8192</x:v>
      </x:c>
      <x:c r="J261" s="2" t="str">
        <x:v>250.0</x:v>
      </x:c>
      <x:c r="K261" s="2" t="str">
        <x:v>1</x:v>
      </x:c>
      <x:c r="L261" s="2" t="str">
        <x:v>3</x:v>
      </x:c>
      <x:c r="M261" s="2" t="str">
        <x:v>1</x:v>
      </x:c>
      <x:c r="N261" s="2" t="str">
        <x:v>2</x:v>
      </x:c>
      <x:c r="O261" s="2" t="str">
        <x:v>0</x:v>
      </x:c>
      <x:c r="P261" s="2" t="str">
        <x:v>true</x:v>
      </x:c>
      <x:c r="Q261" s="2" t="str">
        <x:v>39.058645815</x:v>
      </x:c>
      <x:c r="R261" s="2" t="str">
        <x:v>0.42829199810512364</x:v>
      </x:c>
      <x:c r="S261" s="2" t="str">
        <x:v>46.28924326894968</x:v>
      </x:c>
    </x:row>
    <x:row r="262">
      <x:c r="A262" s="2" t="str">
        <x:v>DE-CMP-01</x:v>
      </x:c>
      <x:c r="B262" s="2" t="str">
        <x:v>CFG-C01</x:v>
      </x:c>
      <x:c r="C262" s="2" t="n">
        <x:v>46227.70238086805</x:v>
      </x:c>
      <x:c r="D262" s="2" t="str">
        <x:v>adaptive</x:v>
      </x:c>
      <x:c r="E262" s="2" t="str">
        <x:v>single_carrier</x:v>
      </x:c>
      <x:c r="F262" s="2" t="str">
        <x:v>131</x:v>
      </x:c>
      <x:c r="G262" s="2" t="str">
        <x:v>3114234</x:v>
      </x:c>
      <x:c r="H262" s="2" t="str">
        <x:v>2048000.0</x:v>
      </x:c>
      <x:c r="I262" s="2" t="str">
        <x:v>8192</x:v>
      </x:c>
      <x:c r="J262" s="2" t="str">
        <x:v>250.0</x:v>
      </x:c>
      <x:c r="K262" s="2" t="str">
        <x:v>1</x:v>
      </x:c>
      <x:c r="L262" s="2" t="str">
        <x:v>3</x:v>
      </x:c>
      <x:c r="M262" s="2" t="str">
        <x:v>1</x:v>
      </x:c>
      <x:c r="N262" s="2" t="str">
        <x:v>2</x:v>
      </x:c>
      <x:c r="O262" s="2" t="str">
        <x:v>0</x:v>
      </x:c>
      <x:c r="P262" s="2" t="str">
        <x:v>true</x:v>
      </x:c>
      <x:c r="Q262" s="2" t="str">
        <x:v>113.177096545</x:v>
      </x:c>
      <x:c r="R262" s="2" t="str">
        <x:v>0.4092500021215528</x:v>
      </x:c>
      <x:c r="S262" s="2" t="str">
        <x:v>46.620040246521256</x:v>
      </x:c>
    </x:row>
    <x:row r="263">
      <x:c r="A263" s="2" t="str">
        <x:v>DE-CMP-01</x:v>
      </x:c>
      <x:c r="B263" s="2" t="str">
        <x:v>CFG-C01</x:v>
      </x:c>
      <x:c r="C263" s="2" t="n">
        <x:v>46227.70238086805</x:v>
      </x:c>
      <x:c r="D263" s="2" t="str">
        <x:v>os_cfar</x:v>
      </x:c>
      <x:c r="E263" s="2" t="str">
        <x:v>single_carrier</x:v>
      </x:c>
      <x:c r="F263" s="2" t="str">
        <x:v>131</x:v>
      </x:c>
      <x:c r="G263" s="2" t="str">
        <x:v>3114234</x:v>
      </x:c>
      <x:c r="H263" s="2" t="str">
        <x:v>2048000.0</x:v>
      </x:c>
      <x:c r="I263" s="2" t="str">
        <x:v>8192</x:v>
      </x:c>
      <x:c r="J263" s="2" t="str">
        <x:v>250.0</x:v>
      </x:c>
      <x:c r="K263" s="2" t="str">
        <x:v>1</x:v>
      </x:c>
      <x:c r="L263" s="2" t="str">
        <x:v>3</x:v>
      </x:c>
      <x:c r="M263" s="2" t="str">
        <x:v>1</x:v>
      </x:c>
      <x:c r="N263" s="2" t="str">
        <x:v>2</x:v>
      </x:c>
      <x:c r="O263" s="2" t="str">
        <x:v>0</x:v>
      </x:c>
      <x:c r="P263" s="2" t="str">
        <x:v>true</x:v>
      </x:c>
      <x:c r="Q263" s="2" t="str">
        <x:v>113.177096545</x:v>
      </x:c>
      <x:c r="R263" s="2" t="str">
        <x:v>13.753249993897043</x:v>
      </x:c>
      <x:c r="S263" s="2" t="str">
        <x:v>48.37894071424376</x:v>
      </x:c>
    </x:row>
    <x:row r="264">
      <x:c r="A264" s="2" t="str">
        <x:v>DE-CMP-01</x:v>
      </x:c>
      <x:c r="B264" s="2" t="str">
        <x:v>CFG-C01</x:v>
      </x:c>
      <x:c r="C264" s="2" t="n">
        <x:v>46227.70238086805</x:v>
      </x:c>
      <x:c r="D264" s="2" t="str">
        <x:v>os_cfar</x:v>
      </x:c>
      <x:c r="E264" s="2" t="str">
        <x:v>single_carrier</x:v>
      </x:c>
      <x:c r="F264" s="2" t="str">
        <x:v>132</x:v>
      </x:c>
      <x:c r="G264" s="2" t="str">
        <x:v>3114235</x:v>
      </x:c>
      <x:c r="H264" s="2" t="str">
        <x:v>2048000.0</x:v>
      </x:c>
      <x:c r="I264" s="2" t="str">
        <x:v>8192</x:v>
      </x:c>
      <x:c r="J264" s="2" t="str">
        <x:v>250.0</x:v>
      </x:c>
      <x:c r="K264" s="2" t="str">
        <x:v>1</x:v>
      </x:c>
      <x:c r="L264" s="2" t="str">
        <x:v>3</x:v>
      </x:c>
      <x:c r="M264" s="2" t="str">
        <x:v>1</x:v>
      </x:c>
      <x:c r="N264" s="2" t="str">
        <x:v>2</x:v>
      </x:c>
      <x:c r="O264" s="2" t="str">
        <x:v>0</x:v>
      </x:c>
      <x:c r="P264" s="2" t="str">
        <x:v>true</x:v>
      </x:c>
      <x:c r="Q264" s="2" t="str">
        <x:v>59.223469125</x:v>
      </x:c>
      <x:c r="R264" s="2" t="str">
        <x:v>13.838583006872796</x:v>
      </x:c>
      <x:c r="S264" s="2" t="str">
        <x:v>48.24650018370909</x:v>
      </x:c>
    </x:row>
    <x:row r="265">
      <x:c r="A265" s="2" t="str">
        <x:v>DE-CMP-01</x:v>
      </x:c>
      <x:c r="B265" s="2" t="str">
        <x:v>CFG-C01</x:v>
      </x:c>
      <x:c r="C265" s="2" t="n">
        <x:v>46227.70238086805</x:v>
      </x:c>
      <x:c r="D265" s="2" t="str">
        <x:v>adaptive</x:v>
      </x:c>
      <x:c r="E265" s="2" t="str">
        <x:v>single_carrier</x:v>
      </x:c>
      <x:c r="F265" s="2" t="str">
        <x:v>132</x:v>
      </x:c>
      <x:c r="G265" s="2" t="str">
        <x:v>3114235</x:v>
      </x:c>
      <x:c r="H265" s="2" t="str">
        <x:v>2048000.0</x:v>
      </x:c>
      <x:c r="I265" s="2" t="str">
        <x:v>8192</x:v>
      </x:c>
      <x:c r="J265" s="2" t="str">
        <x:v>250.0</x:v>
      </x:c>
      <x:c r="K265" s="2" t="str">
        <x:v>1</x:v>
      </x:c>
      <x:c r="L265" s="2" t="str">
        <x:v>3</x:v>
      </x:c>
      <x:c r="M265" s="2" t="str">
        <x:v>1</x:v>
      </x:c>
      <x:c r="N265" s="2" t="str">
        <x:v>2</x:v>
      </x:c>
      <x:c r="O265" s="2" t="str">
        <x:v>0</x:v>
      </x:c>
      <x:c r="P265" s="2" t="str">
        <x:v>true</x:v>
      </x:c>
      <x:c r="Q265" s="2" t="str">
        <x:v>59.223469125</x:v>
      </x:c>
      <x:c r="R265" s="2" t="str">
        <x:v>0.4256249958416447</x:v>
      </x:c>
      <x:c r="S265" s="2" t="str">
        <x:v>46.326690659682924</x:v>
      </x:c>
    </x:row>
    <x:row r="266">
      <x:c r="A266" s="2" t="str">
        <x:v>DE-CMP-01</x:v>
      </x:c>
      <x:c r="B266" s="2" t="str">
        <x:v>CFG-C01</x:v>
      </x:c>
      <x:c r="C266" s="2" t="n">
        <x:v>46227.70238086805</x:v>
      </x:c>
      <x:c r="D266" s="2" t="str">
        <x:v>adaptive</x:v>
      </x:c>
      <x:c r="E266" s="2" t="str">
        <x:v>single_carrier</x:v>
      </x:c>
      <x:c r="F266" s="2" t="str">
        <x:v>133</x:v>
      </x:c>
      <x:c r="G266" s="2" t="str">
        <x:v>3114236</x:v>
      </x:c>
      <x:c r="H266" s="2" t="str">
        <x:v>2048000.0</x:v>
      </x:c>
      <x:c r="I266" s="2" t="str">
        <x:v>8192</x:v>
      </x:c>
      <x:c r="J266" s="2" t="str">
        <x:v>250.0</x:v>
      </x:c>
      <x:c r="K266" s="2" t="str">
        <x:v>1</x:v>
      </x:c>
      <x:c r="L266" s="2" t="str">
        <x:v>3</x:v>
      </x:c>
      <x:c r="M266" s="2" t="str">
        <x:v>1</x:v>
      </x:c>
      <x:c r="N266" s="2" t="str">
        <x:v>2</x:v>
      </x:c>
      <x:c r="O266" s="2" t="str">
        <x:v>0</x:v>
      </x:c>
      <x:c r="P266" s="2" t="str">
        <x:v>true</x:v>
      </x:c>
      <x:c r="Q266" s="2" t="str">
        <x:v>-11.655366662</x:v>
      </x:c>
      <x:c r="R266" s="2" t="str">
        <x:v>0.4104160034330562</x:v>
      </x:c>
      <x:c r="S266" s="2" t="str">
        <x:v>46.35079796402699</x:v>
      </x:c>
    </x:row>
    <x:row r="267">
      <x:c r="A267" s="2" t="str">
        <x:v>DE-CMP-01</x:v>
      </x:c>
      <x:c r="B267" s="2" t="str">
        <x:v>CFG-C01</x:v>
      </x:c>
      <x:c r="C267" s="2" t="n">
        <x:v>46227.70238086805</x:v>
      </x:c>
      <x:c r="D267" s="2" t="str">
        <x:v>os_cfar</x:v>
      </x:c>
      <x:c r="E267" s="2" t="str">
        <x:v>single_carrier</x:v>
      </x:c>
      <x:c r="F267" s="2" t="str">
        <x:v>133</x:v>
      </x:c>
      <x:c r="G267" s="2" t="str">
        <x:v>3114236</x:v>
      </x:c>
      <x:c r="H267" s="2" t="str">
        <x:v>2048000.0</x:v>
      </x:c>
      <x:c r="I267" s="2" t="str">
        <x:v>8192</x:v>
      </x:c>
      <x:c r="J267" s="2" t="str">
        <x:v>250.0</x:v>
      </x:c>
      <x:c r="K267" s="2" t="str">
        <x:v>1</x:v>
      </x:c>
      <x:c r="L267" s="2" t="str">
        <x:v>3</x:v>
      </x:c>
      <x:c r="M267" s="2" t="str">
        <x:v>1</x:v>
      </x:c>
      <x:c r="N267" s="2" t="str">
        <x:v>2</x:v>
      </x:c>
      <x:c r="O267" s="2" t="str">
        <x:v>0</x:v>
      </x:c>
      <x:c r="P267" s="2" t="str">
        <x:v>true</x:v>
      </x:c>
      <x:c r="Q267" s="2" t="str">
        <x:v>-11.655366662</x:v>
      </x:c>
      <x:c r="R267" s="2" t="str">
        <x:v>13.889082998503</x:v>
      </x:c>
      <x:c r="S267" s="2" t="str">
        <x:v>48.04376769492631</x:v>
      </x:c>
    </x:row>
    <x:row r="268">
      <x:c r="A268" s="2" t="str">
        <x:v>DE-CMP-01</x:v>
      </x:c>
      <x:c r="B268" s="2" t="str">
        <x:v>CFG-C01</x:v>
      </x:c>
      <x:c r="C268" s="2" t="n">
        <x:v>46227.70238086805</x:v>
      </x:c>
      <x:c r="D268" s="2" t="str">
        <x:v>os_cfar</x:v>
      </x:c>
      <x:c r="E268" s="2" t="str">
        <x:v>single_carrier</x:v>
      </x:c>
      <x:c r="F268" s="2" t="str">
        <x:v>134</x:v>
      </x:c>
      <x:c r="G268" s="2" t="str">
        <x:v>3114237</x:v>
      </x:c>
      <x:c r="H268" s="2" t="str">
        <x:v>2048000.0</x:v>
      </x:c>
      <x:c r="I268" s="2" t="str">
        <x:v>8192</x:v>
      </x:c>
      <x:c r="J268" s="2" t="str">
        <x:v>250.0</x:v>
      </x:c>
      <x:c r="K268" s="2" t="str">
        <x:v>1</x:v>
      </x:c>
      <x:c r="L268" s="2" t="str">
        <x:v>3</x:v>
      </x:c>
      <x:c r="M268" s="2" t="str">
        <x:v>1</x:v>
      </x:c>
      <x:c r="N268" s="2" t="str">
        <x:v>2</x:v>
      </x:c>
      <x:c r="O268" s="2" t="str">
        <x:v>0</x:v>
      </x:c>
      <x:c r="P268" s="2" t="str">
        <x:v>true</x:v>
      </x:c>
      <x:c r="Q268" s="2" t="str">
        <x:v>79.773170602</x:v>
      </x:c>
      <x:c r="R268" s="2" t="str">
        <x:v>14.05374999740161</x:v>
      </x:c>
      <x:c r="S268" s="2" t="str">
        <x:v>48.231798366759605</x:v>
      </x:c>
    </x:row>
    <x:row r="269">
      <x:c r="A269" s="2" t="str">
        <x:v>DE-CMP-01</x:v>
      </x:c>
      <x:c r="B269" s="2" t="str">
        <x:v>CFG-C01</x:v>
      </x:c>
      <x:c r="C269" s="2" t="n">
        <x:v>46227.70238086805</x:v>
      </x:c>
      <x:c r="D269" s="2" t="str">
        <x:v>adaptive</x:v>
      </x:c>
      <x:c r="E269" s="2" t="str">
        <x:v>single_carrier</x:v>
      </x:c>
      <x:c r="F269" s="2" t="str">
        <x:v>134</x:v>
      </x:c>
      <x:c r="G269" s="2" t="str">
        <x:v>3114237</x:v>
      </x:c>
      <x:c r="H269" s="2" t="str">
        <x:v>2048000.0</x:v>
      </x:c>
      <x:c r="I269" s="2" t="str">
        <x:v>8192</x:v>
      </x:c>
      <x:c r="J269" s="2" t="str">
        <x:v>250.0</x:v>
      </x:c>
      <x:c r="K269" s="2" t="str">
        <x:v>1</x:v>
      </x:c>
      <x:c r="L269" s="2" t="str">
        <x:v>3</x:v>
      </x:c>
      <x:c r="M269" s="2" t="str">
        <x:v>1</x:v>
      </x:c>
      <x:c r="N269" s="2" t="str">
        <x:v>2</x:v>
      </x:c>
      <x:c r="O269" s="2" t="str">
        <x:v>0</x:v>
      </x:c>
      <x:c r="P269" s="2" t="str">
        <x:v>true</x:v>
      </x:c>
      <x:c r="Q269" s="2" t="str">
        <x:v>79.773170602</x:v>
      </x:c>
      <x:c r="R269" s="2" t="str">
        <x:v>0.41116699867416173</x:v>
      </x:c>
      <x:c r="S269" s="2" t="str">
        <x:v>46.33920632745709</x:v>
      </x:c>
    </x:row>
    <x:row r="270">
      <x:c r="A270" s="2" t="str">
        <x:v>DE-CMP-01</x:v>
      </x:c>
      <x:c r="B270" s="2" t="str">
        <x:v>CFG-C01</x:v>
      </x:c>
      <x:c r="C270" s="2" t="n">
        <x:v>46227.70238086805</x:v>
      </x:c>
      <x:c r="D270" s="2" t="str">
        <x:v>adaptive</x:v>
      </x:c>
      <x:c r="E270" s="2" t="str">
        <x:v>single_carrier</x:v>
      </x:c>
      <x:c r="F270" s="2" t="str">
        <x:v>135</x:v>
      </x:c>
      <x:c r="G270" s="2" t="str">
        <x:v>3114238</x:v>
      </x:c>
      <x:c r="H270" s="2" t="str">
        <x:v>2048000.0</x:v>
      </x:c>
      <x:c r="I270" s="2" t="str">
        <x:v>8192</x:v>
      </x:c>
      <x:c r="J270" s="2" t="str">
        <x:v>250.0</x:v>
      </x:c>
      <x:c r="K270" s="2" t="str">
        <x:v>1</x:v>
      </x:c>
      <x:c r="L270" s="2" t="str">
        <x:v>3</x:v>
      </x:c>
      <x:c r="M270" s="2" t="str">
        <x:v>1</x:v>
      </x:c>
      <x:c r="N270" s="2" t="str">
        <x:v>2</x:v>
      </x:c>
      <x:c r="O270" s="2" t="str">
        <x:v>0</x:v>
      </x:c>
      <x:c r="P270" s="2" t="str">
        <x:v>true</x:v>
      </x:c>
      <x:c r="Q270" s="2" t="str">
        <x:v>-78.054116511</x:v>
      </x:c>
      <x:c r="R270" s="2" t="str">
        <x:v>0.386208004783839</x:v>
      </x:c>
      <x:c r="S270" s="2" t="str">
        <x:v>46.45188030876786</x:v>
      </x:c>
    </x:row>
    <x:row r="271">
      <x:c r="A271" s="2" t="str">
        <x:v>DE-CMP-01</x:v>
      </x:c>
      <x:c r="B271" s="2" t="str">
        <x:v>CFG-C01</x:v>
      </x:c>
      <x:c r="C271" s="2" t="n">
        <x:v>46227.70238086805</x:v>
      </x:c>
      <x:c r="D271" s="2" t="str">
        <x:v>os_cfar</x:v>
      </x:c>
      <x:c r="E271" s="2" t="str">
        <x:v>single_carrier</x:v>
      </x:c>
      <x:c r="F271" s="2" t="str">
        <x:v>135</x:v>
      </x:c>
      <x:c r="G271" s="2" t="str">
        <x:v>3114238</x:v>
      </x:c>
      <x:c r="H271" s="2" t="str">
        <x:v>2048000.0</x:v>
      </x:c>
      <x:c r="I271" s="2" t="str">
        <x:v>8192</x:v>
      </x:c>
      <x:c r="J271" s="2" t="str">
        <x:v>250.0</x:v>
      </x:c>
      <x:c r="K271" s="2" t="str">
        <x:v>1</x:v>
      </x:c>
      <x:c r="L271" s="2" t="str">
        <x:v>3</x:v>
      </x:c>
      <x:c r="M271" s="2" t="str">
        <x:v>1</x:v>
      </x:c>
      <x:c r="N271" s="2" t="str">
        <x:v>2</x:v>
      </x:c>
      <x:c r="O271" s="2" t="str">
        <x:v>0</x:v>
      </x:c>
      <x:c r="P271" s="2" t="str">
        <x:v>true</x:v>
      </x:c>
      <x:c r="Q271" s="2" t="str">
        <x:v>-78.054116511</x:v>
      </x:c>
      <x:c r="R271" s="2" t="str">
        <x:v>14.11937500233762</x:v>
      </x:c>
      <x:c r="S271" s="2" t="str">
        <x:v>48.24997425679804</x:v>
      </x:c>
    </x:row>
    <x:row r="272">
      <x:c r="A272" s="2" t="str">
        <x:v>DE-CMP-01</x:v>
      </x:c>
      <x:c r="B272" s="2" t="str">
        <x:v>CFG-C01</x:v>
      </x:c>
      <x:c r="C272" s="2" t="n">
        <x:v>46227.70238086805</x:v>
      </x:c>
      <x:c r="D272" s="2" t="str">
        <x:v>os_cfar</x:v>
      </x:c>
      <x:c r="E272" s="2" t="str">
        <x:v>single_carrier</x:v>
      </x:c>
      <x:c r="F272" s="2" t="str">
        <x:v>136</x:v>
      </x:c>
      <x:c r="G272" s="2" t="str">
        <x:v>3114239</x:v>
      </x:c>
      <x:c r="H272" s="2" t="str">
        <x:v>2048000.0</x:v>
      </x:c>
      <x:c r="I272" s="2" t="str">
        <x:v>8192</x:v>
      </x:c>
      <x:c r="J272" s="2" t="str">
        <x:v>250.0</x:v>
      </x:c>
      <x:c r="K272" s="2" t="str">
        <x:v>1</x:v>
      </x:c>
      <x:c r="L272" s="2" t="str">
        <x:v>3</x:v>
      </x:c>
      <x:c r="M272" s="2" t="str">
        <x:v>1</x:v>
      </x:c>
      <x:c r="N272" s="2" t="str">
        <x:v>2</x:v>
      </x:c>
      <x:c r="O272" s="2" t="str">
        <x:v>0</x:v>
      </x:c>
      <x:c r="P272" s="2" t="str">
        <x:v>true</x:v>
      </x:c>
      <x:c r="Q272" s="2" t="str">
        <x:v>31.697545253</x:v>
      </x:c>
      <x:c r="R272" s="2" t="str">
        <x:v>13.507334006135352</x:v>
      </x:c>
      <x:c r="S272" s="2" t="str">
        <x:v>48.07921190530537</x:v>
      </x:c>
    </x:row>
    <x:row r="273">
      <x:c r="A273" s="2" t="str">
        <x:v>DE-CMP-01</x:v>
      </x:c>
      <x:c r="B273" s="2" t="str">
        <x:v>CFG-C01</x:v>
      </x:c>
      <x:c r="C273" s="2" t="n">
        <x:v>46227.70238086805</x:v>
      </x:c>
      <x:c r="D273" s="2" t="str">
        <x:v>adaptive</x:v>
      </x:c>
      <x:c r="E273" s="2" t="str">
        <x:v>single_carrier</x:v>
      </x:c>
      <x:c r="F273" s="2" t="str">
        <x:v>136</x:v>
      </x:c>
      <x:c r="G273" s="2" t="str">
        <x:v>3114239</x:v>
      </x:c>
      <x:c r="H273" s="2" t="str">
        <x:v>2048000.0</x:v>
      </x:c>
      <x:c r="I273" s="2" t="str">
        <x:v>8192</x:v>
      </x:c>
      <x:c r="J273" s="2" t="str">
        <x:v>250.0</x:v>
      </x:c>
      <x:c r="K273" s="2" t="str">
        <x:v>1</x:v>
      </x:c>
      <x:c r="L273" s="2" t="str">
        <x:v>3</x:v>
      </x:c>
      <x:c r="M273" s="2" t="str">
        <x:v>1</x:v>
      </x:c>
      <x:c r="N273" s="2" t="str">
        <x:v>2</x:v>
      </x:c>
      <x:c r="O273" s="2" t="str">
        <x:v>0</x:v>
      </x:c>
      <x:c r="P273" s="2" t="str">
        <x:v>true</x:v>
      </x:c>
      <x:c r="Q273" s="2" t="str">
        <x:v>31.697545253</x:v>
      </x:c>
      <x:c r="R273" s="2" t="str">
        <x:v>0.4193749919068068</x:v>
      </x:c>
      <x:c r="S273" s="2" t="str">
        <x:v>46.35009992738599</x:v>
      </x:c>
    </x:row>
    <x:row r="274">
      <x:c r="A274" s="2" t="str">
        <x:v>DE-CMP-01</x:v>
      </x:c>
      <x:c r="B274" s="2" t="str">
        <x:v>CFG-C01</x:v>
      </x:c>
      <x:c r="C274" s="2" t="n">
        <x:v>46227.70238086805</x:v>
      </x:c>
      <x:c r="D274" s="2" t="str">
        <x:v>adaptive</x:v>
      </x:c>
      <x:c r="E274" s="2" t="str">
        <x:v>single_carrier</x:v>
      </x:c>
      <x:c r="F274" s="2" t="str">
        <x:v>137</x:v>
      </x:c>
      <x:c r="G274" s="2" t="str">
        <x:v>3114240</x:v>
      </x:c>
      <x:c r="H274" s="2" t="str">
        <x:v>2048000.0</x:v>
      </x:c>
      <x:c r="I274" s="2" t="str">
        <x:v>8192</x:v>
      </x:c>
      <x:c r="J274" s="2" t="str">
        <x:v>250.0</x:v>
      </x:c>
      <x:c r="K274" s="2" t="str">
        <x:v>1</x:v>
      </x:c>
      <x:c r="L274" s="2" t="str">
        <x:v>3</x:v>
      </x:c>
      <x:c r="M274" s="2" t="str">
        <x:v>1</x:v>
      </x:c>
      <x:c r="N274" s="2" t="str">
        <x:v>2</x:v>
      </x:c>
      <x:c r="O274" s="2" t="str">
        <x:v>0</x:v>
      </x:c>
      <x:c r="P274" s="2" t="str">
        <x:v>true</x:v>
      </x:c>
      <x:c r="Q274" s="2" t="str">
        <x:v>76.960512117</x:v>
      </x:c>
      <x:c r="R274" s="2" t="str">
        <x:v>0.4130829911446199</x:v>
      </x:c>
      <x:c r="S274" s="2" t="str">
        <x:v>46.35896112332685</x:v>
      </x:c>
    </x:row>
    <x:row r="275">
      <x:c r="A275" s="2" t="str">
        <x:v>DE-CMP-01</x:v>
      </x:c>
      <x:c r="B275" s="2" t="str">
        <x:v>CFG-C01</x:v>
      </x:c>
      <x:c r="C275" s="2" t="n">
        <x:v>46227.70238086805</x:v>
      </x:c>
      <x:c r="D275" s="2" t="str">
        <x:v>os_cfar</x:v>
      </x:c>
      <x:c r="E275" s="2" t="str">
        <x:v>single_carrier</x:v>
      </x:c>
      <x:c r="F275" s="2" t="str">
        <x:v>137</x:v>
      </x:c>
      <x:c r="G275" s="2" t="str">
        <x:v>3114240</x:v>
      </x:c>
      <x:c r="H275" s="2" t="str">
        <x:v>2048000.0</x:v>
      </x:c>
      <x:c r="I275" s="2" t="str">
        <x:v>8192</x:v>
      </x:c>
      <x:c r="J275" s="2" t="str">
        <x:v>250.0</x:v>
      </x:c>
      <x:c r="K275" s="2" t="str">
        <x:v>1</x:v>
      </x:c>
      <x:c r="L275" s="2" t="str">
        <x:v>3</x:v>
      </x:c>
      <x:c r="M275" s="2" t="str">
        <x:v>1</x:v>
      </x:c>
      <x:c r="N275" s="2" t="str">
        <x:v>2</x:v>
      </x:c>
      <x:c r="O275" s="2" t="str">
        <x:v>0</x:v>
      </x:c>
      <x:c r="P275" s="2" t="str">
        <x:v>true</x:v>
      </x:c>
      <x:c r="Q275" s="2" t="str">
        <x:v>76.960512117</x:v>
      </x:c>
      <x:c r="R275" s="2" t="str">
        <x:v>13.703916993108578</x:v>
      </x:c>
      <x:c r="S275" s="2" t="str">
        <x:v>48.15781978891371</x:v>
      </x:c>
    </x:row>
    <x:row r="276">
      <x:c r="A276" s="2" t="str">
        <x:v>DE-CMP-01</x:v>
      </x:c>
      <x:c r="B276" s="2" t="str">
        <x:v>CFG-C01</x:v>
      </x:c>
      <x:c r="C276" s="2" t="n">
        <x:v>46227.70238086805</x:v>
      </x:c>
      <x:c r="D276" s="2" t="str">
        <x:v>os_cfar</x:v>
      </x:c>
      <x:c r="E276" s="2" t="str">
        <x:v>single_carrier</x:v>
      </x:c>
      <x:c r="F276" s="2" t="str">
        <x:v>138</x:v>
      </x:c>
      <x:c r="G276" s="2" t="str">
        <x:v>3114241</x:v>
      </x:c>
      <x:c r="H276" s="2" t="str">
        <x:v>2048000.0</x:v>
      </x:c>
      <x:c r="I276" s="2" t="str">
        <x:v>8192</x:v>
      </x:c>
      <x:c r="J276" s="2" t="str">
        <x:v>250.0</x:v>
      </x:c>
      <x:c r="K276" s="2" t="str">
        <x:v>1</x:v>
      </x:c>
      <x:c r="L276" s="2" t="str">
        <x:v>3</x:v>
      </x:c>
      <x:c r="M276" s="2" t="str">
        <x:v>1</x:v>
      </x:c>
      <x:c r="N276" s="2" t="str">
        <x:v>2</x:v>
      </x:c>
      <x:c r="O276" s="2" t="str">
        <x:v>0</x:v>
      </x:c>
      <x:c r="P276" s="2" t="str">
        <x:v>true</x:v>
      </x:c>
      <x:c r="Q276" s="2" t="str">
        <x:v>115.561674875</x:v>
      </x:c>
      <x:c r="R276" s="2" t="str">
        <x:v>13.898000004701316</x:v>
      </x:c>
      <x:c r="S276" s="2" t="str">
        <x:v>48.341888778422756</x:v>
      </x:c>
    </x:row>
    <x:row r="277">
      <x:c r="A277" s="2" t="str">
        <x:v>DE-CMP-01</x:v>
      </x:c>
      <x:c r="B277" s="2" t="str">
        <x:v>CFG-C01</x:v>
      </x:c>
      <x:c r="C277" s="2" t="n">
        <x:v>46227.70238086805</x:v>
      </x:c>
      <x:c r="D277" s="2" t="str">
        <x:v>adaptive</x:v>
      </x:c>
      <x:c r="E277" s="2" t="str">
        <x:v>single_carrier</x:v>
      </x:c>
      <x:c r="F277" s="2" t="str">
        <x:v>138</x:v>
      </x:c>
      <x:c r="G277" s="2" t="str">
        <x:v>3114241</x:v>
      </x:c>
      <x:c r="H277" s="2" t="str">
        <x:v>2048000.0</x:v>
      </x:c>
      <x:c r="I277" s="2" t="str">
        <x:v>8192</x:v>
      </x:c>
      <x:c r="J277" s="2" t="str">
        <x:v>250.0</x:v>
      </x:c>
      <x:c r="K277" s="2" t="str">
        <x:v>1</x:v>
      </x:c>
      <x:c r="L277" s="2" t="str">
        <x:v>3</x:v>
      </x:c>
      <x:c r="M277" s="2" t="str">
        <x:v>1</x:v>
      </x:c>
      <x:c r="N277" s="2" t="str">
        <x:v>2</x:v>
      </x:c>
      <x:c r="O277" s="2" t="str">
        <x:v>0</x:v>
      </x:c>
      <x:c r="P277" s="2" t="str">
        <x:v>true</x:v>
      </x:c>
      <x:c r="Q277" s="2" t="str">
        <x:v>115.561674875</x:v>
      </x:c>
      <x:c r="R277" s="2" t="str">
        <x:v>0.41045800026040524</x:v>
      </x:c>
      <x:c r="S277" s="2" t="str">
        <x:v>46.44821277597713</x:v>
      </x:c>
    </x:row>
    <x:row r="278">
      <x:c r="A278" s="2" t="str">
        <x:v>DE-CMP-01</x:v>
      </x:c>
      <x:c r="B278" s="2" t="str">
        <x:v>CFG-C01</x:v>
      </x:c>
      <x:c r="C278" s="2" t="n">
        <x:v>46227.70238086805</x:v>
      </x:c>
      <x:c r="D278" s="2" t="str">
        <x:v>adaptive</x:v>
      </x:c>
      <x:c r="E278" s="2" t="str">
        <x:v>single_carrier</x:v>
      </x:c>
      <x:c r="F278" s="2" t="str">
        <x:v>139</x:v>
      </x:c>
      <x:c r="G278" s="2" t="str">
        <x:v>3114242</x:v>
      </x:c>
      <x:c r="H278" s="2" t="str">
        <x:v>2048000.0</x:v>
      </x:c>
      <x:c r="I278" s="2" t="str">
        <x:v>8192</x:v>
      </x:c>
      <x:c r="J278" s="2" t="str">
        <x:v>250.0</x:v>
      </x:c>
      <x:c r="K278" s="2" t="str">
        <x:v>1</x:v>
      </x:c>
      <x:c r="L278" s="2" t="str">
        <x:v>3</x:v>
      </x:c>
      <x:c r="M278" s="2" t="str">
        <x:v>1</x:v>
      </x:c>
      <x:c r="N278" s="2" t="str">
        <x:v>2</x:v>
      </x:c>
      <x:c r="O278" s="2" t="str">
        <x:v>0</x:v>
      </x:c>
      <x:c r="P278" s="2" t="str">
        <x:v>true</x:v>
      </x:c>
      <x:c r="Q278" s="2" t="str">
        <x:v>-100.470390588</x:v>
      </x:c>
      <x:c r="R278" s="2" t="str">
        <x:v>0.4239160043653101</x:v>
      </x:c>
      <x:c r="S278" s="2" t="str">
        <x:v>46.383448115229996</x:v>
      </x:c>
    </x:row>
    <x:row r="279">
      <x:c r="A279" s="2" t="str">
        <x:v>DE-CMP-01</x:v>
      </x:c>
      <x:c r="B279" s="2" t="str">
        <x:v>CFG-C01</x:v>
      </x:c>
      <x:c r="C279" s="2" t="n">
        <x:v>46227.70238086805</x:v>
      </x:c>
      <x:c r="D279" s="2" t="str">
        <x:v>os_cfar</x:v>
      </x:c>
      <x:c r="E279" s="2" t="str">
        <x:v>single_carrier</x:v>
      </x:c>
      <x:c r="F279" s="2" t="str">
        <x:v>139</x:v>
      </x:c>
      <x:c r="G279" s="2" t="str">
        <x:v>3114242</x:v>
      </x:c>
      <x:c r="H279" s="2" t="str">
        <x:v>2048000.0</x:v>
      </x:c>
      <x:c r="I279" s="2" t="str">
        <x:v>8192</x:v>
      </x:c>
      <x:c r="J279" s="2" t="str">
        <x:v>250.0</x:v>
      </x:c>
      <x:c r="K279" s="2" t="str">
        <x:v>1</x:v>
      </x:c>
      <x:c r="L279" s="2" t="str">
        <x:v>3</x:v>
      </x:c>
      <x:c r="M279" s="2" t="str">
        <x:v>1</x:v>
      </x:c>
      <x:c r="N279" s="2" t="str">
        <x:v>2</x:v>
      </x:c>
      <x:c r="O279" s="2" t="str">
        <x:v>0</x:v>
      </x:c>
      <x:c r="P279" s="2" t="str">
        <x:v>true</x:v>
      </x:c>
      <x:c r="Q279" s="2" t="str">
        <x:v>-100.470390588</x:v>
      </x:c>
      <x:c r="R279" s="2" t="str">
        <x:v>13.79208300204482</x:v>
      </x:c>
      <x:c r="S279" s="2" t="str">
        <x:v>48.180306697059656</x:v>
      </x:c>
    </x:row>
    <x:row r="280">
      <x:c r="A280" s="2" t="str">
        <x:v>DE-CMP-01</x:v>
      </x:c>
      <x:c r="B280" s="2" t="str">
        <x:v>CFG-C01</x:v>
      </x:c>
      <x:c r="C280" s="2" t="n">
        <x:v>46227.70238086805</x:v>
      </x:c>
      <x:c r="D280" s="2" t="str">
        <x:v>os_cfar</x:v>
      </x:c>
      <x:c r="E280" s="2" t="str">
        <x:v>single_carrier</x:v>
      </x:c>
      <x:c r="F280" s="2" t="str">
        <x:v>140</x:v>
      </x:c>
      <x:c r="G280" s="2" t="str">
        <x:v>3114243</x:v>
      </x:c>
      <x:c r="H280" s="2" t="str">
        <x:v>2048000.0</x:v>
      </x:c>
      <x:c r="I280" s="2" t="str">
        <x:v>8192</x:v>
      </x:c>
      <x:c r="J280" s="2" t="str">
        <x:v>250.0</x:v>
      </x:c>
      <x:c r="K280" s="2" t="str">
        <x:v>1</x:v>
      </x:c>
      <x:c r="L280" s="2" t="str">
        <x:v>3</x:v>
      </x:c>
      <x:c r="M280" s="2" t="str">
        <x:v>1</x:v>
      </x:c>
      <x:c r="N280" s="2" t="str">
        <x:v>2</x:v>
      </x:c>
      <x:c r="O280" s="2" t="str">
        <x:v>0</x:v>
      </x:c>
      <x:c r="P280" s="2" t="str">
        <x:v>true</x:v>
      </x:c>
      <x:c r="Q280" s="2" t="str">
        <x:v>14.463540178</x:v>
      </x:c>
      <x:c r="R280" s="2" t="str">
        <x:v>13.922459009336308</x:v>
      </x:c>
      <x:c r="S280" s="2" t="str">
        <x:v>48.13220750654185</x:v>
      </x:c>
    </x:row>
    <x:row r="281">
      <x:c r="A281" s="2" t="str">
        <x:v>DE-CMP-01</x:v>
      </x:c>
      <x:c r="B281" s="2" t="str">
        <x:v>CFG-C01</x:v>
      </x:c>
      <x:c r="C281" s="2" t="n">
        <x:v>46227.70238086805</x:v>
      </x:c>
      <x:c r="D281" s="2" t="str">
        <x:v>adaptive</x:v>
      </x:c>
      <x:c r="E281" s="2" t="str">
        <x:v>single_carrier</x:v>
      </x:c>
      <x:c r="F281" s="2" t="str">
        <x:v>140</x:v>
      </x:c>
      <x:c r="G281" s="2" t="str">
        <x:v>3114243</x:v>
      </x:c>
      <x:c r="H281" s="2" t="str">
        <x:v>2048000.0</x:v>
      </x:c>
      <x:c r="I281" s="2" t="str">
        <x:v>8192</x:v>
      </x:c>
      <x:c r="J281" s="2" t="str">
        <x:v>250.0</x:v>
      </x:c>
      <x:c r="K281" s="2" t="str">
        <x:v>1</x:v>
      </x:c>
      <x:c r="L281" s="2" t="str">
        <x:v>3</x:v>
      </x:c>
      <x:c r="M281" s="2" t="str">
        <x:v>1</x:v>
      </x:c>
      <x:c r="N281" s="2" t="str">
        <x:v>2</x:v>
      </x:c>
      <x:c r="O281" s="2" t="str">
        <x:v>0</x:v>
      </x:c>
      <x:c r="P281" s="2" t="str">
        <x:v>true</x:v>
      </x:c>
      <x:c r="Q281" s="2" t="str">
        <x:v>14.463540178</x:v>
      </x:c>
      <x:c r="R281" s="2" t="str">
        <x:v>0.4184580029686913</x:v>
      </x:c>
      <x:c r="S281" s="2" t="str">
        <x:v>46.30296740145549</x:v>
      </x:c>
    </x:row>
    <x:row r="282">
      <x:c r="A282" s="2" t="str">
        <x:v>DE-CMP-01</x:v>
      </x:c>
      <x:c r="B282" s="2" t="str">
        <x:v>CFG-C01</x:v>
      </x:c>
      <x:c r="C282" s="2" t="n">
        <x:v>46227.70238086805</x:v>
      </x:c>
      <x:c r="D282" s="2" t="str">
        <x:v>adaptive</x:v>
      </x:c>
      <x:c r="E282" s="2" t="str">
        <x:v>single_carrier</x:v>
      </x:c>
      <x:c r="F282" s="2" t="str">
        <x:v>141</x:v>
      </x:c>
      <x:c r="G282" s="2" t="str">
        <x:v>3114244</x:v>
      </x:c>
      <x:c r="H282" s="2" t="str">
        <x:v>2048000.0</x:v>
      </x:c>
      <x:c r="I282" s="2" t="str">
        <x:v>8192</x:v>
      </x:c>
      <x:c r="J282" s="2" t="str">
        <x:v>250.0</x:v>
      </x:c>
      <x:c r="K282" s="2" t="str">
        <x:v>1</x:v>
      </x:c>
      <x:c r="L282" s="2" t="str">
        <x:v>3</x:v>
      </x:c>
      <x:c r="M282" s="2" t="str">
        <x:v>1</x:v>
      </x:c>
      <x:c r="N282" s="2" t="str">
        <x:v>2</x:v>
      </x:c>
      <x:c r="O282" s="2" t="str">
        <x:v>0</x:v>
      </x:c>
      <x:c r="P282" s="2" t="str">
        <x:v>true</x:v>
      </x:c>
      <x:c r="Q282" s="2" t="str">
        <x:v>-39.691461606</x:v>
      </x:c>
      <x:c r="R282" s="2" t="str">
        <x:v>0.41024999518413097</x:v>
      </x:c>
      <x:c r="S282" s="2" t="str">
        <x:v>46.316167271950334</x:v>
      </x:c>
    </x:row>
    <x:row r="283">
      <x:c r="A283" s="2" t="str">
        <x:v>DE-CMP-01</x:v>
      </x:c>
      <x:c r="B283" s="2" t="str">
        <x:v>CFG-C01</x:v>
      </x:c>
      <x:c r="C283" s="2" t="n">
        <x:v>46227.70238086805</x:v>
      </x:c>
      <x:c r="D283" s="2" t="str">
        <x:v>os_cfar</x:v>
      </x:c>
      <x:c r="E283" s="2" t="str">
        <x:v>single_carrier</x:v>
      </x:c>
      <x:c r="F283" s="2" t="str">
        <x:v>141</x:v>
      </x:c>
      <x:c r="G283" s="2" t="str">
        <x:v>3114244</x:v>
      </x:c>
      <x:c r="H283" s="2" t="str">
        <x:v>2048000.0</x:v>
      </x:c>
      <x:c r="I283" s="2" t="str">
        <x:v>8192</x:v>
      </x:c>
      <x:c r="J283" s="2" t="str">
        <x:v>250.0</x:v>
      </x:c>
      <x:c r="K283" s="2" t="str">
        <x:v>1</x:v>
      </x:c>
      <x:c r="L283" s="2" t="str">
        <x:v>3</x:v>
      </x:c>
      <x:c r="M283" s="2" t="str">
        <x:v>1</x:v>
      </x:c>
      <x:c r="N283" s="2" t="str">
        <x:v>2</x:v>
      </x:c>
      <x:c r="O283" s="2" t="str">
        <x:v>0</x:v>
      </x:c>
      <x:c r="P283" s="2" t="str">
        <x:v>true</x:v>
      </x:c>
      <x:c r="Q283" s="2" t="str">
        <x:v>-39.691461606</x:v>
      </x:c>
      <x:c r="R283" s="2" t="str">
        <x:v>13.86458300112281</x:v>
      </x:c>
      <x:c r="S283" s="2" t="str">
        <x:v>48.16395853458009</x:v>
      </x:c>
    </x:row>
    <x:row r="284">
      <x:c r="A284" s="2" t="str">
        <x:v>DE-CMP-01</x:v>
      </x:c>
      <x:c r="B284" s="2" t="str">
        <x:v>CFG-C01</x:v>
      </x:c>
      <x:c r="C284" s="2" t="n">
        <x:v>46227.70238086805</x:v>
      </x:c>
      <x:c r="D284" s="2" t="str">
        <x:v>os_cfar</x:v>
      </x:c>
      <x:c r="E284" s="2" t="str">
        <x:v>single_carrier</x:v>
      </x:c>
      <x:c r="F284" s="2" t="str">
        <x:v>142</x:v>
      </x:c>
      <x:c r="G284" s="2" t="str">
        <x:v>3114245</x:v>
      </x:c>
      <x:c r="H284" s="2" t="str">
        <x:v>2048000.0</x:v>
      </x:c>
      <x:c r="I284" s="2" t="str">
        <x:v>8192</x:v>
      </x:c>
      <x:c r="J284" s="2" t="str">
        <x:v>250.0</x:v>
      </x:c>
      <x:c r="K284" s="2" t="str">
        <x:v>1</x:v>
      </x:c>
      <x:c r="L284" s="2" t="str">
        <x:v>3</x:v>
      </x:c>
      <x:c r="M284" s="2" t="str">
        <x:v>1</x:v>
      </x:c>
      <x:c r="N284" s="2" t="str">
        <x:v>2</x:v>
      </x:c>
      <x:c r="O284" s="2" t="str">
        <x:v>0</x:v>
      </x:c>
      <x:c r="P284" s="2" t="str">
        <x:v>true</x:v>
      </x:c>
      <x:c r="Q284" s="2" t="str">
        <x:v>122.838508347</x:v>
      </x:c>
      <x:c r="R284" s="2" t="str">
        <x:v>13.973708002595231</x:v>
      </x:c>
      <x:c r="S284" s="2" t="str">
        <x:v>48.17310356813344</x:v>
      </x:c>
    </x:row>
    <x:row r="285">
      <x:c r="A285" s="2" t="str">
        <x:v>DE-CMP-01</x:v>
      </x:c>
      <x:c r="B285" s="2" t="str">
        <x:v>CFG-C01</x:v>
      </x:c>
      <x:c r="C285" s="2" t="n">
        <x:v>46227.70238086805</x:v>
      </x:c>
      <x:c r="D285" s="2" t="str">
        <x:v>adaptive</x:v>
      </x:c>
      <x:c r="E285" s="2" t="str">
        <x:v>single_carrier</x:v>
      </x:c>
      <x:c r="F285" s="2" t="str">
        <x:v>142</x:v>
      </x:c>
      <x:c r="G285" s="2" t="str">
        <x:v>3114245</x:v>
      </x:c>
      <x:c r="H285" s="2" t="str">
        <x:v>2048000.0</x:v>
      </x:c>
      <x:c r="I285" s="2" t="str">
        <x:v>8192</x:v>
      </x:c>
      <x:c r="J285" s="2" t="str">
        <x:v>250.0</x:v>
      </x:c>
      <x:c r="K285" s="2" t="str">
        <x:v>1</x:v>
      </x:c>
      <x:c r="L285" s="2" t="str">
        <x:v>3</x:v>
      </x:c>
      <x:c r="M285" s="2" t="str">
        <x:v>1</x:v>
      </x:c>
      <x:c r="N285" s="2" t="str">
        <x:v>2</x:v>
      </x:c>
      <x:c r="O285" s="2" t="str">
        <x:v>0</x:v>
      </x:c>
      <x:c r="P285" s="2" t="str">
        <x:v>true</x:v>
      </x:c>
      <x:c r="Q285" s="2" t="str">
        <x:v>122.838508347</x:v>
      </x:c>
      <x:c r="R285" s="2" t="str">
        <x:v>0.37408299976959825</x:v>
      </x:c>
      <x:c r="S285" s="2" t="str">
        <x:v>46.468509144164415</x:v>
      </x:c>
    </x:row>
    <x:row r="286">
      <x:c r="A286" s="2" t="str">
        <x:v>DE-CMP-01</x:v>
      </x:c>
      <x:c r="B286" s="2" t="str">
        <x:v>CFG-C01</x:v>
      </x:c>
      <x:c r="C286" s="2" t="n">
        <x:v>46227.70238086805</x:v>
      </x:c>
      <x:c r="D286" s="2" t="str">
        <x:v>adaptive</x:v>
      </x:c>
      <x:c r="E286" s="2" t="str">
        <x:v>single_carrier</x:v>
      </x:c>
      <x:c r="F286" s="2" t="str">
        <x:v>143</x:v>
      </x:c>
      <x:c r="G286" s="2" t="str">
        <x:v>3114246</x:v>
      </x:c>
      <x:c r="H286" s="2" t="str">
        <x:v>2048000.0</x:v>
      </x:c>
      <x:c r="I286" s="2" t="str">
        <x:v>8192</x:v>
      </x:c>
      <x:c r="J286" s="2" t="str">
        <x:v>250.0</x:v>
      </x:c>
      <x:c r="K286" s="2" t="str">
        <x:v>1</x:v>
      </x:c>
      <x:c r="L286" s="2" t="str">
        <x:v>3</x:v>
      </x:c>
      <x:c r="M286" s="2" t="str">
        <x:v>1</x:v>
      </x:c>
      <x:c r="N286" s="2" t="str">
        <x:v>2</x:v>
      </x:c>
      <x:c r="O286" s="2" t="str">
        <x:v>0</x:v>
      </x:c>
      <x:c r="P286" s="2" t="str">
        <x:v>true</x:v>
      </x:c>
      <x:c r="Q286" s="2" t="str">
        <x:v>64.478052739</x:v>
      </x:c>
      <x:c r="R286" s="2" t="str">
        <x:v>0.3732920013135299</x:v>
      </x:c>
      <x:c r="S286" s="2" t="str">
        <x:v>46.36586770123006</x:v>
      </x:c>
    </x:row>
    <x:row r="287">
      <x:c r="A287" s="2" t="str">
        <x:v>DE-CMP-01</x:v>
      </x:c>
      <x:c r="B287" s="2" t="str">
        <x:v>CFG-C01</x:v>
      </x:c>
      <x:c r="C287" s="2" t="n">
        <x:v>46227.70238086805</x:v>
      </x:c>
      <x:c r="D287" s="2" t="str">
        <x:v>os_cfar</x:v>
      </x:c>
      <x:c r="E287" s="2" t="str">
        <x:v>single_carrier</x:v>
      </x:c>
      <x:c r="F287" s="2" t="str">
        <x:v>143</x:v>
      </x:c>
      <x:c r="G287" s="2" t="str">
        <x:v>3114246</x:v>
      </x:c>
      <x:c r="H287" s="2" t="str">
        <x:v>2048000.0</x:v>
      </x:c>
      <x:c r="I287" s="2" t="str">
        <x:v>8192</x:v>
      </x:c>
      <x:c r="J287" s="2" t="str">
        <x:v>250.0</x:v>
      </x:c>
      <x:c r="K287" s="2" t="str">
        <x:v>1</x:v>
      </x:c>
      <x:c r="L287" s="2" t="str">
        <x:v>3</x:v>
      </x:c>
      <x:c r="M287" s="2" t="str">
        <x:v>1</x:v>
      </x:c>
      <x:c r="N287" s="2" t="str">
        <x:v>2</x:v>
      </x:c>
      <x:c r="O287" s="2" t="str">
        <x:v>0</x:v>
      </x:c>
      <x:c r="P287" s="2" t="str">
        <x:v>true</x:v>
      </x:c>
      <x:c r="Q287" s="2" t="str">
        <x:v>64.478052739</x:v>
      </x:c>
      <x:c r="R287" s="2" t="str">
        <x:v>13.689250001334585</x:v>
      </x:c>
      <x:c r="S287" s="2" t="str">
        <x:v>48.24753527241649</x:v>
      </x:c>
    </x:row>
    <x:row r="288">
      <x:c r="A288" s="2" t="str">
        <x:v>DE-CMP-01</x:v>
      </x:c>
      <x:c r="B288" s="2" t="str">
        <x:v>CFG-C01</x:v>
      </x:c>
      <x:c r="C288" s="2" t="n">
        <x:v>46227.70238086805</x:v>
      </x:c>
      <x:c r="D288" s="2" t="str">
        <x:v>os_cfar</x:v>
      </x:c>
      <x:c r="E288" s="2" t="str">
        <x:v>single_carrier</x:v>
      </x:c>
      <x:c r="F288" s="2" t="str">
        <x:v>144</x:v>
      </x:c>
      <x:c r="G288" s="2" t="str">
        <x:v>3114247</x:v>
      </x:c>
      <x:c r="H288" s="2" t="str">
        <x:v>2048000.0</x:v>
      </x:c>
      <x:c r="I288" s="2" t="str">
        <x:v>8192</x:v>
      </x:c>
      <x:c r="J288" s="2" t="str">
        <x:v>250.0</x:v>
      </x:c>
      <x:c r="K288" s="2" t="str">
        <x:v>1</x:v>
      </x:c>
      <x:c r="L288" s="2" t="str">
        <x:v>3</x:v>
      </x:c>
      <x:c r="M288" s="2" t="str">
        <x:v>1</x:v>
      </x:c>
      <x:c r="N288" s="2" t="str">
        <x:v>2</x:v>
      </x:c>
      <x:c r="O288" s="2" t="str">
        <x:v>0</x:v>
      </x:c>
      <x:c r="P288" s="2" t="str">
        <x:v>true</x:v>
      </x:c>
      <x:c r="Q288" s="2" t="str">
        <x:v>-14.288906468</x:v>
      </x:c>
      <x:c r="R288" s="2" t="str">
        <x:v>13.754916988546029</x:v>
      </x:c>
      <x:c r="S288" s="2" t="str">
        <x:v>48.19199724438413</x:v>
      </x:c>
    </x:row>
    <x:row r="289">
      <x:c r="A289" s="2" t="str">
        <x:v>DE-CMP-01</x:v>
      </x:c>
      <x:c r="B289" s="2" t="str">
        <x:v>CFG-C01</x:v>
      </x:c>
      <x:c r="C289" s="2" t="n">
        <x:v>46227.70238086805</x:v>
      </x:c>
      <x:c r="D289" s="2" t="str">
        <x:v>adaptive</x:v>
      </x:c>
      <x:c r="E289" s="2" t="str">
        <x:v>single_carrier</x:v>
      </x:c>
      <x:c r="F289" s="2" t="str">
        <x:v>144</x:v>
      </x:c>
      <x:c r="G289" s="2" t="str">
        <x:v>3114247</x:v>
      </x:c>
      <x:c r="H289" s="2" t="str">
        <x:v>2048000.0</x:v>
      </x:c>
      <x:c r="I289" s="2" t="str">
        <x:v>8192</x:v>
      </x:c>
      <x:c r="J289" s="2" t="str">
        <x:v>250.0</x:v>
      </x:c>
      <x:c r="K289" s="2" t="str">
        <x:v>1</x:v>
      </x:c>
      <x:c r="L289" s="2" t="str">
        <x:v>3</x:v>
      </x:c>
      <x:c r="M289" s="2" t="str">
        <x:v>1</x:v>
      </x:c>
      <x:c r="N289" s="2" t="str">
        <x:v>2</x:v>
      </x:c>
      <x:c r="O289" s="2" t="str">
        <x:v>0</x:v>
      </x:c>
      <x:c r="P289" s="2" t="str">
        <x:v>true</x:v>
      </x:c>
      <x:c r="Q289" s="2" t="str">
        <x:v>-14.288906468</x:v>
      </x:c>
      <x:c r="R289" s="2" t="str">
        <x:v>0.4242080030962825</x:v>
      </x:c>
      <x:c r="S289" s="2" t="str">
        <x:v>46.40247914292226</x:v>
      </x:c>
    </x:row>
    <x:row r="290">
      <x:c r="A290" s="2" t="str">
        <x:v>DE-CMP-01</x:v>
      </x:c>
      <x:c r="B290" s="2" t="str">
        <x:v>CFG-C01</x:v>
      </x:c>
      <x:c r="C290" s="2" t="n">
        <x:v>46227.70238086805</x:v>
      </x:c>
      <x:c r="D290" s="2" t="str">
        <x:v>adaptive</x:v>
      </x:c>
      <x:c r="E290" s="2" t="str">
        <x:v>single_carrier</x:v>
      </x:c>
      <x:c r="F290" s="2" t="str">
        <x:v>145</x:v>
      </x:c>
      <x:c r="G290" s="2" t="str">
        <x:v>3114248</x:v>
      </x:c>
      <x:c r="H290" s="2" t="str">
        <x:v>2048000.0</x:v>
      </x:c>
      <x:c r="I290" s="2" t="str">
        <x:v>8192</x:v>
      </x:c>
      <x:c r="J290" s="2" t="str">
        <x:v>250.0</x:v>
      </x:c>
      <x:c r="K290" s="2" t="str">
        <x:v>1</x:v>
      </x:c>
      <x:c r="L290" s="2" t="str">
        <x:v>3</x:v>
      </x:c>
      <x:c r="M290" s="2" t="str">
        <x:v>1</x:v>
      </x:c>
      <x:c r="N290" s="2" t="str">
        <x:v>2</x:v>
      </x:c>
      <x:c r="O290" s="2" t="str">
        <x:v>0</x:v>
      </x:c>
      <x:c r="P290" s="2" t="str">
        <x:v>true</x:v>
      </x:c>
      <x:c r="Q290" s="2" t="str">
        <x:v>63.853274443</x:v>
      </x:c>
      <x:c r="R290" s="2" t="str">
        <x:v>0.41408299875911325</x:v>
      </x:c>
      <x:c r="S290" s="2" t="str">
        <x:v>46.53790040705732</x:v>
      </x:c>
    </x:row>
    <x:row r="291">
      <x:c r="A291" s="2" t="str">
        <x:v>DE-CMP-01</x:v>
      </x:c>
      <x:c r="B291" s="2" t="str">
        <x:v>CFG-C01</x:v>
      </x:c>
      <x:c r="C291" s="2" t="n">
        <x:v>46227.70238086805</x:v>
      </x:c>
      <x:c r="D291" s="2" t="str">
        <x:v>os_cfar</x:v>
      </x:c>
      <x:c r="E291" s="2" t="str">
        <x:v>single_carrier</x:v>
      </x:c>
      <x:c r="F291" s="2" t="str">
        <x:v>145</x:v>
      </x:c>
      <x:c r="G291" s="2" t="str">
        <x:v>3114248</x:v>
      </x:c>
      <x:c r="H291" s="2" t="str">
        <x:v>2048000.0</x:v>
      </x:c>
      <x:c r="I291" s="2" t="str">
        <x:v>8192</x:v>
      </x:c>
      <x:c r="J291" s="2" t="str">
        <x:v>250.0</x:v>
      </x:c>
      <x:c r="K291" s="2" t="str">
        <x:v>1</x:v>
      </x:c>
      <x:c r="L291" s="2" t="str">
        <x:v>3</x:v>
      </x:c>
      <x:c r="M291" s="2" t="str">
        <x:v>1</x:v>
      </x:c>
      <x:c r="N291" s="2" t="str">
        <x:v>2</x:v>
      </x:c>
      <x:c r="O291" s="2" t="str">
        <x:v>0</x:v>
      </x:c>
      <x:c r="P291" s="2" t="str">
        <x:v>true</x:v>
      </x:c>
      <x:c r="Q291" s="2" t="str">
        <x:v>63.853274443</x:v>
      </x:c>
      <x:c r="R291" s="2" t="str">
        <x:v>13.750833008089103</x:v>
      </x:c>
      <x:c r="S291" s="2" t="str">
        <x:v>48.217009130234736</x:v>
      </x:c>
    </x:row>
    <x:row r="292">
      <x:c r="A292" s="2" t="str">
        <x:v>DE-CMP-01</x:v>
      </x:c>
      <x:c r="B292" s="2" t="str">
        <x:v>CFG-C01</x:v>
      </x:c>
      <x:c r="C292" s="2" t="n">
        <x:v>46227.70238086805</x:v>
      </x:c>
      <x:c r="D292" s="2" t="str">
        <x:v>os_cfar</x:v>
      </x:c>
      <x:c r="E292" s="2" t="str">
        <x:v>single_carrier</x:v>
      </x:c>
      <x:c r="F292" s="2" t="str">
        <x:v>146</x:v>
      </x:c>
      <x:c r="G292" s="2" t="str">
        <x:v>3114249</x:v>
      </x:c>
      <x:c r="H292" s="2" t="str">
        <x:v>2048000.0</x:v>
      </x:c>
      <x:c r="I292" s="2" t="str">
        <x:v>8192</x:v>
      </x:c>
      <x:c r="J292" s="2" t="str">
        <x:v>250.0</x:v>
      </x:c>
      <x:c r="K292" s="2" t="str">
        <x:v>1</x:v>
      </x:c>
      <x:c r="L292" s="2" t="str">
        <x:v>3</x:v>
      </x:c>
      <x:c r="M292" s="2" t="str">
        <x:v>1</x:v>
      </x:c>
      <x:c r="N292" s="2" t="str">
        <x:v>2</x:v>
      </x:c>
      <x:c r="O292" s="2" t="str">
        <x:v>0</x:v>
      </x:c>
      <x:c r="P292" s="2" t="str">
        <x:v>true</x:v>
      </x:c>
      <x:c r="Q292" s="2" t="str">
        <x:v>-89.819800988</x:v>
      </x:c>
      <x:c r="R292" s="2" t="str">
        <x:v>13.863915999536403</x:v>
      </x:c>
      <x:c r="S292" s="2" t="str">
        <x:v>48.242058422701255</x:v>
      </x:c>
    </x:row>
    <x:row r="293">
      <x:c r="A293" s="2" t="str">
        <x:v>DE-CMP-01</x:v>
      </x:c>
      <x:c r="B293" s="2" t="str">
        <x:v>CFG-C01</x:v>
      </x:c>
      <x:c r="C293" s="2" t="n">
        <x:v>46227.70238086805</x:v>
      </x:c>
      <x:c r="D293" s="2" t="str">
        <x:v>adaptive</x:v>
      </x:c>
      <x:c r="E293" s="2" t="str">
        <x:v>single_carrier</x:v>
      </x:c>
      <x:c r="F293" s="2" t="str">
        <x:v>146</x:v>
      </x:c>
      <x:c r="G293" s="2" t="str">
        <x:v>3114249</x:v>
      </x:c>
      <x:c r="H293" s="2" t="str">
        <x:v>2048000.0</x:v>
      </x:c>
      <x:c r="I293" s="2" t="str">
        <x:v>8192</x:v>
      </x:c>
      <x:c r="J293" s="2" t="str">
        <x:v>250.0</x:v>
      </x:c>
      <x:c r="K293" s="2" t="str">
        <x:v>1</x:v>
      </x:c>
      <x:c r="L293" s="2" t="str">
        <x:v>3</x:v>
      </x:c>
      <x:c r="M293" s="2" t="str">
        <x:v>1</x:v>
      </x:c>
      <x:c r="N293" s="2" t="str">
        <x:v>2</x:v>
      </x:c>
      <x:c r="O293" s="2" t="str">
        <x:v>0</x:v>
      </x:c>
      <x:c r="P293" s="2" t="str">
        <x:v>true</x:v>
      </x:c>
      <x:c r="Q293" s="2" t="str">
        <x:v>-89.819800988</x:v>
      </x:c>
      <x:c r="R293" s="2" t="str">
        <x:v>0.41612499626353383</x:v>
      </x:c>
      <x:c r="S293" s="2" t="str">
        <x:v>46.609266241444175</x:v>
      </x:c>
    </x:row>
    <x:row r="294">
      <x:c r="A294" s="2" t="str">
        <x:v>DE-CMP-01</x:v>
      </x:c>
      <x:c r="B294" s="2" t="str">
        <x:v>CFG-C01</x:v>
      </x:c>
      <x:c r="C294" s="2" t="n">
        <x:v>46227.70238086805</x:v>
      </x:c>
      <x:c r="D294" s="2" t="str">
        <x:v>adaptive</x:v>
      </x:c>
      <x:c r="E294" s="2" t="str">
        <x:v>single_carrier</x:v>
      </x:c>
      <x:c r="F294" s="2" t="str">
        <x:v>147</x:v>
      </x:c>
      <x:c r="G294" s="2" t="str">
        <x:v>3114250</x:v>
      </x:c>
      <x:c r="H294" s="2" t="str">
        <x:v>2048000.0</x:v>
      </x:c>
      <x:c r="I294" s="2" t="str">
        <x:v>8192</x:v>
      </x:c>
      <x:c r="J294" s="2" t="str">
        <x:v>250.0</x:v>
      </x:c>
      <x:c r="K294" s="2" t="str">
        <x:v>1</x:v>
      </x:c>
      <x:c r="L294" s="2" t="str">
        <x:v>3</x:v>
      </x:c>
      <x:c r="M294" s="2" t="str">
        <x:v>1</x:v>
      </x:c>
      <x:c r="N294" s="2" t="str">
        <x:v>2</x:v>
      </x:c>
      <x:c r="O294" s="2" t="str">
        <x:v>0</x:v>
      </x:c>
      <x:c r="P294" s="2" t="str">
        <x:v>true</x:v>
      </x:c>
      <x:c r="Q294" s="2" t="str">
        <x:v>-37.030753971</x:v>
      </x:c>
      <x:c r="R294" s="2" t="str">
        <x:v>0.40833299863152206</x:v>
      </x:c>
      <x:c r="S294" s="2" t="str">
        <x:v>46.463978292980656</x:v>
      </x:c>
    </x:row>
    <x:row r="295">
      <x:c r="A295" s="2" t="str">
        <x:v>DE-CMP-01</x:v>
      </x:c>
      <x:c r="B295" s="2" t="str">
        <x:v>CFG-C01</x:v>
      </x:c>
      <x:c r="C295" s="2" t="n">
        <x:v>46227.70238086805</x:v>
      </x:c>
      <x:c r="D295" s="2" t="str">
        <x:v>os_cfar</x:v>
      </x:c>
      <x:c r="E295" s="2" t="str">
        <x:v>single_carrier</x:v>
      </x:c>
      <x:c r="F295" s="2" t="str">
        <x:v>147</x:v>
      </x:c>
      <x:c r="G295" s="2" t="str">
        <x:v>3114250</x:v>
      </x:c>
      <x:c r="H295" s="2" t="str">
        <x:v>2048000.0</x:v>
      </x:c>
      <x:c r="I295" s="2" t="str">
        <x:v>8192</x:v>
      </x:c>
      <x:c r="J295" s="2" t="str">
        <x:v>250.0</x:v>
      </x:c>
      <x:c r="K295" s="2" t="str">
        <x:v>1</x:v>
      </x:c>
      <x:c r="L295" s="2" t="str">
        <x:v>3</x:v>
      </x:c>
      <x:c r="M295" s="2" t="str">
        <x:v>1</x:v>
      </x:c>
      <x:c r="N295" s="2" t="str">
        <x:v>2</x:v>
      </x:c>
      <x:c r="O295" s="2" t="str">
        <x:v>0</x:v>
      </x:c>
      <x:c r="P295" s="2" t="str">
        <x:v>true</x:v>
      </x:c>
      <x:c r="Q295" s="2" t="str">
        <x:v>-37.030753971</x:v>
      </x:c>
      <x:c r="R295" s="2" t="str">
        <x:v>13.830291005433537</x:v>
      </x:c>
      <x:c r="S295" s="2" t="str">
        <x:v>48.14767678054105</x:v>
      </x:c>
    </x:row>
    <x:row r="296">
      <x:c r="A296" s="2" t="str">
        <x:v>DE-CMP-01</x:v>
      </x:c>
      <x:c r="B296" s="2" t="str">
        <x:v>CFG-C01</x:v>
      </x:c>
      <x:c r="C296" s="2" t="n">
        <x:v>46227.70238086805</x:v>
      </x:c>
      <x:c r="D296" s="2" t="str">
        <x:v>os_cfar</x:v>
      </x:c>
      <x:c r="E296" s="2" t="str">
        <x:v>single_carrier</x:v>
      </x:c>
      <x:c r="F296" s="2" t="str">
        <x:v>148</x:v>
      </x:c>
      <x:c r="G296" s="2" t="str">
        <x:v>3114251</x:v>
      </x:c>
      <x:c r="H296" s="2" t="str">
        <x:v>2048000.0</x:v>
      </x:c>
      <x:c r="I296" s="2" t="str">
        <x:v>8192</x:v>
      </x:c>
      <x:c r="J296" s="2" t="str">
        <x:v>250.0</x:v>
      </x:c>
      <x:c r="K296" s="2" t="str">
        <x:v>1</x:v>
      </x:c>
      <x:c r="L296" s="2" t="str">
        <x:v>3</x:v>
      </x:c>
      <x:c r="M296" s="2" t="str">
        <x:v>1</x:v>
      </x:c>
      <x:c r="N296" s="2" t="str">
        <x:v>2</x:v>
      </x:c>
      <x:c r="O296" s="2" t="str">
        <x:v>0</x:v>
      </x:c>
      <x:c r="P296" s="2" t="str">
        <x:v>true</x:v>
      </x:c>
      <x:c r="Q296" s="2" t="str">
        <x:v>-70.440074075</x:v>
      </x:c>
      <x:c r="R296" s="2" t="str">
        <x:v>13.84983299067244</x:v>
      </x:c>
      <x:c r="S296" s="2" t="str">
        <x:v>48.184285754225826</x:v>
      </x:c>
    </x:row>
    <x:row r="297">
      <x:c r="A297" s="2" t="str">
        <x:v>DE-CMP-01</x:v>
      </x:c>
      <x:c r="B297" s="2" t="str">
        <x:v>CFG-C01</x:v>
      </x:c>
      <x:c r="C297" s="2" t="n">
        <x:v>46227.70238086805</x:v>
      </x:c>
      <x:c r="D297" s="2" t="str">
        <x:v>adaptive</x:v>
      </x:c>
      <x:c r="E297" s="2" t="str">
        <x:v>single_carrier</x:v>
      </x:c>
      <x:c r="F297" s="2" t="str">
        <x:v>148</x:v>
      </x:c>
      <x:c r="G297" s="2" t="str">
        <x:v>3114251</x:v>
      </x:c>
      <x:c r="H297" s="2" t="str">
        <x:v>2048000.0</x:v>
      </x:c>
      <x:c r="I297" s="2" t="str">
        <x:v>8192</x:v>
      </x:c>
      <x:c r="J297" s="2" t="str">
        <x:v>250.0</x:v>
      </x:c>
      <x:c r="K297" s="2" t="str">
        <x:v>1</x:v>
      </x:c>
      <x:c r="L297" s="2" t="str">
        <x:v>3</x:v>
      </x:c>
      <x:c r="M297" s="2" t="str">
        <x:v>1</x:v>
      </x:c>
      <x:c r="N297" s="2" t="str">
        <x:v>2</x:v>
      </x:c>
      <x:c r="O297" s="2" t="str">
        <x:v>0</x:v>
      </x:c>
      <x:c r="P297" s="2" t="str">
        <x:v>true</x:v>
      </x:c>
      <x:c r="Q297" s="2" t="str">
        <x:v>-70.440074075</x:v>
      </x:c>
      <x:c r="R297" s="2" t="str">
        <x:v>0.3759579994948581</x:v>
      </x:c>
      <x:c r="S297" s="2" t="str">
        <x:v>46.28190334889985</x:v>
      </x:c>
    </x:row>
    <x:row r="298">
      <x:c r="A298" s="2" t="str">
        <x:v>DE-CMP-01</x:v>
      </x:c>
      <x:c r="B298" s="2" t="str">
        <x:v>CFG-C01</x:v>
      </x:c>
      <x:c r="C298" s="2" t="n">
        <x:v>46227.70238086805</x:v>
      </x:c>
      <x:c r="D298" s="2" t="str">
        <x:v>adaptive</x:v>
      </x:c>
      <x:c r="E298" s="2" t="str">
        <x:v>single_carrier</x:v>
      </x:c>
      <x:c r="F298" s="2" t="str">
        <x:v>149</x:v>
      </x:c>
      <x:c r="G298" s="2" t="str">
        <x:v>3114252</x:v>
      </x:c>
      <x:c r="H298" s="2" t="str">
        <x:v>2048000.0</x:v>
      </x:c>
      <x:c r="I298" s="2" t="str">
        <x:v>8192</x:v>
      </x:c>
      <x:c r="J298" s="2" t="str">
        <x:v>250.0</x:v>
      </x:c>
      <x:c r="K298" s="2" t="str">
        <x:v>1</x:v>
      </x:c>
      <x:c r="L298" s="2" t="str">
        <x:v>3</x:v>
      </x:c>
      <x:c r="M298" s="2" t="str">
        <x:v>1</x:v>
      </x:c>
      <x:c r="N298" s="2" t="str">
        <x:v>2</x:v>
      </x:c>
      <x:c r="O298" s="2" t="str">
        <x:v>0</x:v>
      </x:c>
      <x:c r="P298" s="2" t="str">
        <x:v>true</x:v>
      </x:c>
      <x:c r="Q298" s="2" t="str">
        <x:v>101.189322148</x:v>
      </x:c>
      <x:c r="R298" s="2" t="str">
        <x:v>0.4051669966429472</x:v>
      </x:c>
      <x:c r="S298" s="2" t="str">
        <x:v>46.64877421216027</x:v>
      </x:c>
    </x:row>
    <x:row r="299">
      <x:c r="A299" s="2" t="str">
        <x:v>DE-CMP-01</x:v>
      </x:c>
      <x:c r="B299" s="2" t="str">
        <x:v>CFG-C01</x:v>
      </x:c>
      <x:c r="C299" s="2" t="n">
        <x:v>46227.70238086805</x:v>
      </x:c>
      <x:c r="D299" s="2" t="str">
        <x:v>os_cfar</x:v>
      </x:c>
      <x:c r="E299" s="2" t="str">
        <x:v>single_carrier</x:v>
      </x:c>
      <x:c r="F299" s="2" t="str">
        <x:v>149</x:v>
      </x:c>
      <x:c r="G299" s="2" t="str">
        <x:v>3114252</x:v>
      </x:c>
      <x:c r="H299" s="2" t="str">
        <x:v>2048000.0</x:v>
      </x:c>
      <x:c r="I299" s="2" t="str">
        <x:v>8192</x:v>
      </x:c>
      <x:c r="J299" s="2" t="str">
        <x:v>250.0</x:v>
      </x:c>
      <x:c r="K299" s="2" t="str">
        <x:v>1</x:v>
      </x:c>
      <x:c r="L299" s="2" t="str">
        <x:v>3</x:v>
      </x:c>
      <x:c r="M299" s="2" t="str">
        <x:v>1</x:v>
      </x:c>
      <x:c r="N299" s="2" t="str">
        <x:v>2</x:v>
      </x:c>
      <x:c r="O299" s="2" t="str">
        <x:v>0</x:v>
      </x:c>
      <x:c r="P299" s="2" t="str">
        <x:v>true</x:v>
      </x:c>
      <x:c r="Q299" s="2" t="str">
        <x:v>101.189322148</x:v>
      </x:c>
      <x:c r="R299" s="2" t="str">
        <x:v>13.999500006320886</x:v>
      </x:c>
      <x:c r="S299" s="2" t="str">
        <x:v>48.324472579936185</x:v>
      </x:c>
    </x:row>
    <x:row r="300">
      <x:c r="A300" s="2" t="str">
        <x:v>DE-CMP-01</x:v>
      </x:c>
      <x:c r="B300" s="2" t="str">
        <x:v>CFG-C01</x:v>
      </x:c>
      <x:c r="C300" s="2" t="n">
        <x:v>46227.70238086805</x:v>
      </x:c>
      <x:c r="D300" s="2" t="str">
        <x:v>os_cfar</x:v>
      </x:c>
      <x:c r="E300" s="2" t="str">
        <x:v>single_carrier</x:v>
      </x:c>
      <x:c r="F300" s="2" t="str">
        <x:v>150</x:v>
      </x:c>
      <x:c r="G300" s="2" t="str">
        <x:v>3114253</x:v>
      </x:c>
      <x:c r="H300" s="2" t="str">
        <x:v>2048000.0</x:v>
      </x:c>
      <x:c r="I300" s="2" t="str">
        <x:v>8192</x:v>
      </x:c>
      <x:c r="J300" s="2" t="str">
        <x:v>250.0</x:v>
      </x:c>
      <x:c r="K300" s="2" t="str">
        <x:v>1</x:v>
      </x:c>
      <x:c r="L300" s="2" t="str">
        <x:v>3</x:v>
      </x:c>
      <x:c r="M300" s="2" t="str">
        <x:v>1</x:v>
      </x:c>
      <x:c r="N300" s="2" t="str">
        <x:v>2</x:v>
      </x:c>
      <x:c r="O300" s="2" t="str">
        <x:v>0</x:v>
      </x:c>
      <x:c r="P300" s="2" t="str">
        <x:v>true</x:v>
      </x:c>
      <x:c r="Q300" s="2" t="str">
        <x:v>121.868480005</x:v>
      </x:c>
      <x:c r="R300" s="2" t="str">
        <x:v>13.882750004995614</x:v>
      </x:c>
      <x:c r="S300" s="2" t="str">
        <x:v>48.25029725433164</x:v>
      </x:c>
    </x:row>
    <x:row r="301">
      <x:c r="A301" s="2" t="str">
        <x:v>DE-CMP-01</x:v>
      </x:c>
      <x:c r="B301" s="2" t="str">
        <x:v>CFG-C01</x:v>
      </x:c>
      <x:c r="C301" s="2" t="n">
        <x:v>46227.70238086805</x:v>
      </x:c>
      <x:c r="D301" s="2" t="str">
        <x:v>adaptive</x:v>
      </x:c>
      <x:c r="E301" s="2" t="str">
        <x:v>single_carrier</x:v>
      </x:c>
      <x:c r="F301" s="2" t="str">
        <x:v>150</x:v>
      </x:c>
      <x:c r="G301" s="2" t="str">
        <x:v>3114253</x:v>
      </x:c>
      <x:c r="H301" s="2" t="str">
        <x:v>2048000.0</x:v>
      </x:c>
      <x:c r="I301" s="2" t="str">
        <x:v>8192</x:v>
      </x:c>
      <x:c r="J301" s="2" t="str">
        <x:v>250.0</x:v>
      </x:c>
      <x:c r="K301" s="2" t="str">
        <x:v>1</x:v>
      </x:c>
      <x:c r="L301" s="2" t="str">
        <x:v>3</x:v>
      </x:c>
      <x:c r="M301" s="2" t="str">
        <x:v>1</x:v>
      </x:c>
      <x:c r="N301" s="2" t="str">
        <x:v>2</x:v>
      </x:c>
      <x:c r="O301" s="2" t="str">
        <x:v>0</x:v>
      </x:c>
      <x:c r="P301" s="2" t="str">
        <x:v>true</x:v>
      </x:c>
      <x:c r="Q301" s="2" t="str">
        <x:v>121.868480005</x:v>
      </x:c>
      <x:c r="R301" s="2" t="str">
        <x:v>0.4268749908078462</x:v>
      </x:c>
      <x:c r="S301" s="2" t="str">
        <x:v>46.550822789348075</x:v>
      </x:c>
    </x:row>
    <x:row r="302">
      <x:c r="A302" s="2" t="str">
        <x:v>DE-CMP-01</x:v>
      </x:c>
      <x:c r="B302" s="2" t="str">
        <x:v>CFG-C01</x:v>
      </x:c>
      <x:c r="C302" s="2" t="n">
        <x:v>46227.70238086805</x:v>
      </x:c>
      <x:c r="D302" s="2" t="str">
        <x:v>adaptive</x:v>
      </x:c>
      <x:c r="E302" s="2" t="str">
        <x:v>single_carrier</x:v>
      </x:c>
      <x:c r="F302" s="2" t="str">
        <x:v>151</x:v>
      </x:c>
      <x:c r="G302" s="2" t="str">
        <x:v>3114254</x:v>
      </x:c>
      <x:c r="H302" s="2" t="str">
        <x:v>2048000.0</x:v>
      </x:c>
      <x:c r="I302" s="2" t="str">
        <x:v>8192</x:v>
      </x:c>
      <x:c r="J302" s="2" t="str">
        <x:v>250.0</x:v>
      </x:c>
      <x:c r="K302" s="2" t="str">
        <x:v>1</x:v>
      </x:c>
      <x:c r="L302" s="2" t="str">
        <x:v>3</x:v>
      </x:c>
      <x:c r="M302" s="2" t="str">
        <x:v>1</x:v>
      </x:c>
      <x:c r="N302" s="2" t="str">
        <x:v>2</x:v>
      </x:c>
      <x:c r="O302" s="2" t="str">
        <x:v>0</x:v>
      </x:c>
      <x:c r="P302" s="2" t="str">
        <x:v>true</x:v>
      </x:c>
      <x:c r="Q302" s="2" t="str">
        <x:v>3.581444994</x:v>
      </x:c>
      <x:c r="R302" s="2" t="str">
        <x:v>0.42174999543931335</x:v>
      </x:c>
      <x:c r="S302" s="2" t="str">
        <x:v>46.50679324261403</x:v>
      </x:c>
    </x:row>
    <x:row r="303">
      <x:c r="A303" s="2" t="str">
        <x:v>DE-CMP-01</x:v>
      </x:c>
      <x:c r="B303" s="2" t="str">
        <x:v>CFG-C01</x:v>
      </x:c>
      <x:c r="C303" s="2" t="n">
        <x:v>46227.70238086805</x:v>
      </x:c>
      <x:c r="D303" s="2" t="str">
        <x:v>os_cfar</x:v>
      </x:c>
      <x:c r="E303" s="2" t="str">
        <x:v>single_carrier</x:v>
      </x:c>
      <x:c r="F303" s="2" t="str">
        <x:v>151</x:v>
      </x:c>
      <x:c r="G303" s="2" t="str">
        <x:v>3114254</x:v>
      </x:c>
      <x:c r="H303" s="2" t="str">
        <x:v>2048000.0</x:v>
      </x:c>
      <x:c r="I303" s="2" t="str">
        <x:v>8192</x:v>
      </x:c>
      <x:c r="J303" s="2" t="str">
        <x:v>250.0</x:v>
      </x:c>
      <x:c r="K303" s="2" t="str">
        <x:v>1</x:v>
      </x:c>
      <x:c r="L303" s="2" t="str">
        <x:v>3</x:v>
      </x:c>
      <x:c r="M303" s="2" t="str">
        <x:v>1</x:v>
      </x:c>
      <x:c r="N303" s="2" t="str">
        <x:v>2</x:v>
      </x:c>
      <x:c r="O303" s="2" t="str">
        <x:v>0</x:v>
      </x:c>
      <x:c r="P303" s="2" t="str">
        <x:v>true</x:v>
      </x:c>
      <x:c r="Q303" s="2" t="str">
        <x:v>3.581444994</x:v>
      </x:c>
      <x:c r="R303" s="2" t="str">
        <x:v>14.127417001873255</x:v>
      </x:c>
      <x:c r="S303" s="2" t="str">
        <x:v>48.29916342849147</x:v>
      </x:c>
    </x:row>
    <x:row r="304">
      <x:c r="A304" s="2" t="str">
        <x:v>DE-CMP-01</x:v>
      </x:c>
      <x:c r="B304" s="2" t="str">
        <x:v>CFG-C01</x:v>
      </x:c>
      <x:c r="C304" s="2" t="n">
        <x:v>46227.70238086805</x:v>
      </x:c>
      <x:c r="D304" s="2" t="str">
        <x:v>os_cfar</x:v>
      </x:c>
      <x:c r="E304" s="2" t="str">
        <x:v>single_carrier</x:v>
      </x:c>
      <x:c r="F304" s="2" t="str">
        <x:v>152</x:v>
      </x:c>
      <x:c r="G304" s="2" t="str">
        <x:v>3114255</x:v>
      </x:c>
      <x:c r="H304" s="2" t="str">
        <x:v>2048000.0</x:v>
      </x:c>
      <x:c r="I304" s="2" t="str">
        <x:v>8192</x:v>
      </x:c>
      <x:c r="J304" s="2" t="str">
        <x:v>250.0</x:v>
      </x:c>
      <x:c r="K304" s="2" t="str">
        <x:v>1</x:v>
      </x:c>
      <x:c r="L304" s="2" t="str">
        <x:v>3</x:v>
      </x:c>
      <x:c r="M304" s="2" t="str">
        <x:v>1</x:v>
      </x:c>
      <x:c r="N304" s="2" t="str">
        <x:v>2</x:v>
      </x:c>
      <x:c r="O304" s="2" t="str">
        <x:v>0</x:v>
      </x:c>
      <x:c r="P304" s="2" t="str">
        <x:v>true</x:v>
      </x:c>
      <x:c r="Q304" s="2" t="str">
        <x:v>-1.747456057</x:v>
      </x:c>
      <x:c r="R304" s="2" t="str">
        <x:v>13.682832999620587</x:v>
      </x:c>
      <x:c r="S304" s="2" t="str">
        <x:v>48.15223439346056</x:v>
      </x:c>
    </x:row>
    <x:row r="305">
      <x:c r="A305" s="2" t="str">
        <x:v>DE-CMP-01</x:v>
      </x:c>
      <x:c r="B305" s="2" t="str">
        <x:v>CFG-C01</x:v>
      </x:c>
      <x:c r="C305" s="2" t="n">
        <x:v>46227.70238086805</x:v>
      </x:c>
      <x:c r="D305" s="2" t="str">
        <x:v>adaptive</x:v>
      </x:c>
      <x:c r="E305" s="2" t="str">
        <x:v>single_carrier</x:v>
      </x:c>
      <x:c r="F305" s="2" t="str">
        <x:v>152</x:v>
      </x:c>
      <x:c r="G305" s="2" t="str">
        <x:v>3114255</x:v>
      </x:c>
      <x:c r="H305" s="2" t="str">
        <x:v>2048000.0</x:v>
      </x:c>
      <x:c r="I305" s="2" t="str">
        <x:v>8192</x:v>
      </x:c>
      <x:c r="J305" s="2" t="str">
        <x:v>250.0</x:v>
      </x:c>
      <x:c r="K305" s="2" t="str">
        <x:v>1</x:v>
      </x:c>
      <x:c r="L305" s="2" t="str">
        <x:v>3</x:v>
      </x:c>
      <x:c r="M305" s="2" t="str">
        <x:v>1</x:v>
      </x:c>
      <x:c r="N305" s="2" t="str">
        <x:v>2</x:v>
      </x:c>
      <x:c r="O305" s="2" t="str">
        <x:v>0</x:v>
      </x:c>
      <x:c r="P305" s="2" t="str">
        <x:v>true</x:v>
      </x:c>
      <x:c r="Q305" s="2" t="str">
        <x:v>-1.747456057</x:v>
      </x:c>
      <x:c r="R305" s="2" t="str">
        <x:v>0.40187500417232513</x:v>
      </x:c>
      <x:c r="S305" s="2" t="str">
        <x:v>46.457638048174765</x:v>
      </x:c>
    </x:row>
    <x:row r="306">
      <x:c r="A306" s="2" t="str">
        <x:v>DE-CMP-01</x:v>
      </x:c>
      <x:c r="B306" s="2" t="str">
        <x:v>CFG-C01</x:v>
      </x:c>
      <x:c r="C306" s="2" t="n">
        <x:v>46227.70238086805</x:v>
      </x:c>
      <x:c r="D306" s="2" t="str">
        <x:v>adaptive</x:v>
      </x:c>
      <x:c r="E306" s="2" t="str">
        <x:v>single_carrier</x:v>
      </x:c>
      <x:c r="F306" s="2" t="str">
        <x:v>153</x:v>
      </x:c>
      <x:c r="G306" s="2" t="str">
        <x:v>3114256</x:v>
      </x:c>
      <x:c r="H306" s="2" t="str">
        <x:v>2048000.0</x:v>
      </x:c>
      <x:c r="I306" s="2" t="str">
        <x:v>8192</x:v>
      </x:c>
      <x:c r="J306" s="2" t="str">
        <x:v>250.0</x:v>
      </x:c>
      <x:c r="K306" s="2" t="str">
        <x:v>1</x:v>
      </x:c>
      <x:c r="L306" s="2" t="str">
        <x:v>3</x:v>
      </x:c>
      <x:c r="M306" s="2" t="str">
        <x:v>1</x:v>
      </x:c>
      <x:c r="N306" s="2" t="str">
        <x:v>2</x:v>
      </x:c>
      <x:c r="O306" s="2" t="str">
        <x:v>0</x:v>
      </x:c>
      <x:c r="P306" s="2" t="str">
        <x:v>true</x:v>
      </x:c>
      <x:c r="Q306" s="2" t="str">
        <x:v>-25.193059803</x:v>
      </x:c>
      <x:c r="R306" s="2" t="str">
        <x:v>0.4005410009995103</x:v>
      </x:c>
      <x:c r="S306" s="2" t="str">
        <x:v>46.24750502042601</x:v>
      </x:c>
    </x:row>
    <x:row r="307">
      <x:c r="A307" s="2" t="str">
        <x:v>DE-CMP-01</x:v>
      </x:c>
      <x:c r="B307" s="2" t="str">
        <x:v>CFG-C01</x:v>
      </x:c>
      <x:c r="C307" s="2" t="n">
        <x:v>46227.70238086805</x:v>
      </x:c>
      <x:c r="D307" s="2" t="str">
        <x:v>os_cfar</x:v>
      </x:c>
      <x:c r="E307" s="2" t="str">
        <x:v>single_carrier</x:v>
      </x:c>
      <x:c r="F307" s="2" t="str">
        <x:v>153</x:v>
      </x:c>
      <x:c r="G307" s="2" t="str">
        <x:v>3114256</x:v>
      </x:c>
      <x:c r="H307" s="2" t="str">
        <x:v>2048000.0</x:v>
      </x:c>
      <x:c r="I307" s="2" t="str">
        <x:v>8192</x:v>
      </x:c>
      <x:c r="J307" s="2" t="str">
        <x:v>250.0</x:v>
      </x:c>
      <x:c r="K307" s="2" t="str">
        <x:v>1</x:v>
      </x:c>
      <x:c r="L307" s="2" t="str">
        <x:v>3</x:v>
      </x:c>
      <x:c r="M307" s="2" t="str">
        <x:v>1</x:v>
      </x:c>
      <x:c r="N307" s="2" t="str">
        <x:v>2</x:v>
      </x:c>
      <x:c r="O307" s="2" t="str">
        <x:v>0</x:v>
      </x:c>
      <x:c r="P307" s="2" t="str">
        <x:v>true</x:v>
      </x:c>
      <x:c r="Q307" s="2" t="str">
        <x:v>-25.193059803</x:v>
      </x:c>
      <x:c r="R307" s="2" t="str">
        <x:v>13.755666994256899</x:v>
      </x:c>
      <x:c r="S307" s="2" t="str">
        <x:v>48.124754857036294</x:v>
      </x:c>
    </x:row>
    <x:row r="308">
      <x:c r="A308" s="2" t="str">
        <x:v>DE-CMP-01</x:v>
      </x:c>
      <x:c r="B308" s="2" t="str">
        <x:v>CFG-C01</x:v>
      </x:c>
      <x:c r="C308" s="2" t="n">
        <x:v>46227.70238086805</x:v>
      </x:c>
      <x:c r="D308" s="2" t="str">
        <x:v>os_cfar</x:v>
      </x:c>
      <x:c r="E308" s="2" t="str">
        <x:v>single_carrier</x:v>
      </x:c>
      <x:c r="F308" s="2" t="str">
        <x:v>154</x:v>
      </x:c>
      <x:c r="G308" s="2" t="str">
        <x:v>3114257</x:v>
      </x:c>
      <x:c r="H308" s="2" t="str">
        <x:v>2048000.0</x:v>
      </x:c>
      <x:c r="I308" s="2" t="str">
        <x:v>8192</x:v>
      </x:c>
      <x:c r="J308" s="2" t="str">
        <x:v>250.0</x:v>
      </x:c>
      <x:c r="K308" s="2" t="str">
        <x:v>1</x:v>
      </x:c>
      <x:c r="L308" s="2" t="str">
        <x:v>3</x:v>
      </x:c>
      <x:c r="M308" s="2" t="str">
        <x:v>1</x:v>
      </x:c>
      <x:c r="N308" s="2" t="str">
        <x:v>2</x:v>
      </x:c>
      <x:c r="O308" s="2" t="str">
        <x:v>0</x:v>
      </x:c>
      <x:c r="P308" s="2" t="str">
        <x:v>true</x:v>
      </x:c>
      <x:c r="Q308" s="2" t="str">
        <x:v>65.346423059</x:v>
      </x:c>
      <x:c r="R308" s="2" t="str">
        <x:v>13.826708003762178</x:v>
      </x:c>
      <x:c r="S308" s="2" t="str">
        <x:v>48.32616970810613</x:v>
      </x:c>
    </x:row>
    <x:row r="309">
      <x:c r="A309" s="2" t="str">
        <x:v>DE-CMP-01</x:v>
      </x:c>
      <x:c r="B309" s="2" t="str">
        <x:v>CFG-C01</x:v>
      </x:c>
      <x:c r="C309" s="2" t="n">
        <x:v>46227.70238086805</x:v>
      </x:c>
      <x:c r="D309" s="2" t="str">
        <x:v>adaptive</x:v>
      </x:c>
      <x:c r="E309" s="2" t="str">
        <x:v>single_carrier</x:v>
      </x:c>
      <x:c r="F309" s="2" t="str">
        <x:v>154</x:v>
      </x:c>
      <x:c r="G309" s="2" t="str">
        <x:v>3114257</x:v>
      </x:c>
      <x:c r="H309" s="2" t="str">
        <x:v>2048000.0</x:v>
      </x:c>
      <x:c r="I309" s="2" t="str">
        <x:v>8192</x:v>
      </x:c>
      <x:c r="J309" s="2" t="str">
        <x:v>250.0</x:v>
      </x:c>
      <x:c r="K309" s="2" t="str">
        <x:v>1</x:v>
      </x:c>
      <x:c r="L309" s="2" t="str">
        <x:v>3</x:v>
      </x:c>
      <x:c r="M309" s="2" t="str">
        <x:v>1</x:v>
      </x:c>
      <x:c r="N309" s="2" t="str">
        <x:v>2</x:v>
      </x:c>
      <x:c r="O309" s="2" t="str">
        <x:v>0</x:v>
      </x:c>
      <x:c r="P309" s="2" t="str">
        <x:v>true</x:v>
      </x:c>
      <x:c r="Q309" s="2" t="str">
        <x:v>65.346423059</x:v>
      </x:c>
      <x:c r="R309" s="2" t="str">
        <x:v>0.40629200520925224</x:v>
      </x:c>
      <x:c r="S309" s="2" t="str">
        <x:v>46.54496117279128</x:v>
      </x:c>
    </x:row>
    <x:row r="310">
      <x:c r="A310" s="2" t="str">
        <x:v>DE-CMP-01</x:v>
      </x:c>
      <x:c r="B310" s="2" t="str">
        <x:v>CFG-C01</x:v>
      </x:c>
      <x:c r="C310" s="2" t="n">
        <x:v>46227.70238086805</x:v>
      </x:c>
      <x:c r="D310" s="2" t="str">
        <x:v>adaptive</x:v>
      </x:c>
      <x:c r="E310" s="2" t="str">
        <x:v>single_carrier</x:v>
      </x:c>
      <x:c r="F310" s="2" t="str">
        <x:v>155</x:v>
      </x:c>
      <x:c r="G310" s="2" t="str">
        <x:v>3114258</x:v>
      </x:c>
      <x:c r="H310" s="2" t="str">
        <x:v>2048000.0</x:v>
      </x:c>
      <x:c r="I310" s="2" t="str">
        <x:v>8192</x:v>
      </x:c>
      <x:c r="J310" s="2" t="str">
        <x:v>250.0</x:v>
      </x:c>
      <x:c r="K310" s="2" t="str">
        <x:v>1</x:v>
      </x:c>
      <x:c r="L310" s="2" t="str">
        <x:v>3</x:v>
      </x:c>
      <x:c r="M310" s="2" t="str">
        <x:v>1</x:v>
      </x:c>
      <x:c r="N310" s="2" t="str">
        <x:v>2</x:v>
      </x:c>
      <x:c r="O310" s="2" t="str">
        <x:v>0</x:v>
      </x:c>
      <x:c r="P310" s="2" t="str">
        <x:v>true</x:v>
      </x:c>
      <x:c r="Q310" s="2" t="str">
        <x:v>89.827105647</x:v>
      </x:c>
      <x:c r="R310" s="2" t="str">
        <x:v>0.4190420004306361</x:v>
      </x:c>
      <x:c r="S310" s="2" t="str">
        <x:v>46.38653417507958</x:v>
      </x:c>
    </x:row>
    <x:row r="311">
      <x:c r="A311" s="2" t="str">
        <x:v>DE-CMP-01</x:v>
      </x:c>
      <x:c r="B311" s="2" t="str">
        <x:v>CFG-C01</x:v>
      </x:c>
      <x:c r="C311" s="2" t="n">
        <x:v>46227.70238086805</x:v>
      </x:c>
      <x:c r="D311" s="2" t="str">
        <x:v>os_cfar</x:v>
      </x:c>
      <x:c r="E311" s="2" t="str">
        <x:v>single_carrier</x:v>
      </x:c>
      <x:c r="F311" s="2" t="str">
        <x:v>155</x:v>
      </x:c>
      <x:c r="G311" s="2" t="str">
        <x:v>3114258</x:v>
      </x:c>
      <x:c r="H311" s="2" t="str">
        <x:v>2048000.0</x:v>
      </x:c>
      <x:c r="I311" s="2" t="str">
        <x:v>8192</x:v>
      </x:c>
      <x:c r="J311" s="2" t="str">
        <x:v>250.0</x:v>
      </x:c>
      <x:c r="K311" s="2" t="str">
        <x:v>1</x:v>
      </x:c>
      <x:c r="L311" s="2" t="str">
        <x:v>3</x:v>
      </x:c>
      <x:c r="M311" s="2" t="str">
        <x:v>1</x:v>
      </x:c>
      <x:c r="N311" s="2" t="str">
        <x:v>2</x:v>
      </x:c>
      <x:c r="O311" s="2" t="str">
        <x:v>0</x:v>
      </x:c>
      <x:c r="P311" s="2" t="str">
        <x:v>true</x:v>
      </x:c>
      <x:c r="Q311" s="2" t="str">
        <x:v>89.827105647</x:v>
      </x:c>
      <x:c r="R311" s="2" t="str">
        <x:v>13.868416994228028</x:v>
      </x:c>
      <x:c r="S311" s="2" t="str">
        <x:v>48.19251386960853</x:v>
      </x:c>
    </x:row>
    <x:row r="312">
      <x:c r="A312" s="2" t="str">
        <x:v>DE-CMP-01</x:v>
      </x:c>
      <x:c r="B312" s="2" t="str">
        <x:v>CFG-C01</x:v>
      </x:c>
      <x:c r="C312" s="2" t="n">
        <x:v>46227.70238086805</x:v>
      </x:c>
      <x:c r="D312" s="2" t="str">
        <x:v>os_cfar</x:v>
      </x:c>
      <x:c r="E312" s="2" t="str">
        <x:v>single_carrier</x:v>
      </x:c>
      <x:c r="F312" s="2" t="str">
        <x:v>156</x:v>
      </x:c>
      <x:c r="G312" s="2" t="str">
        <x:v>3114259</x:v>
      </x:c>
      <x:c r="H312" s="2" t="str">
        <x:v>2048000.0</x:v>
      </x:c>
      <x:c r="I312" s="2" t="str">
        <x:v>8192</x:v>
      </x:c>
      <x:c r="J312" s="2" t="str">
        <x:v>250.0</x:v>
      </x:c>
      <x:c r="K312" s="2" t="str">
        <x:v>1</x:v>
      </x:c>
      <x:c r="L312" s="2" t="str">
        <x:v>3</x:v>
      </x:c>
      <x:c r="M312" s="2" t="str">
        <x:v>1</x:v>
      </x:c>
      <x:c r="N312" s="2" t="str">
        <x:v>2</x:v>
      </x:c>
      <x:c r="O312" s="2" t="str">
        <x:v>0</x:v>
      </x:c>
      <x:c r="P312" s="2" t="str">
        <x:v>true</x:v>
      </x:c>
      <x:c r="Q312" s="2" t="str">
        <x:v>106.147431177</x:v>
      </x:c>
      <x:c r="R312" s="2" t="str">
        <x:v>13.861667001037858</x:v>
      </x:c>
      <x:c r="S312" s="2" t="str">
        <x:v>48.27034163781589</x:v>
      </x:c>
    </x:row>
    <x:row r="313">
      <x:c r="A313" s="2" t="str">
        <x:v>DE-CMP-01</x:v>
      </x:c>
      <x:c r="B313" s="2" t="str">
        <x:v>CFG-C01</x:v>
      </x:c>
      <x:c r="C313" s="2" t="n">
        <x:v>46227.70238086805</x:v>
      </x:c>
      <x:c r="D313" s="2" t="str">
        <x:v>adaptive</x:v>
      </x:c>
      <x:c r="E313" s="2" t="str">
        <x:v>single_carrier</x:v>
      </x:c>
      <x:c r="F313" s="2" t="str">
        <x:v>156</x:v>
      </x:c>
      <x:c r="G313" s="2" t="str">
        <x:v>3114259</x:v>
      </x:c>
      <x:c r="H313" s="2" t="str">
        <x:v>2048000.0</x:v>
      </x:c>
      <x:c r="I313" s="2" t="str">
        <x:v>8192</x:v>
      </x:c>
      <x:c r="J313" s="2" t="str">
        <x:v>250.0</x:v>
      </x:c>
      <x:c r="K313" s="2" t="str">
        <x:v>1</x:v>
      </x:c>
      <x:c r="L313" s="2" t="str">
        <x:v>3</x:v>
      </x:c>
      <x:c r="M313" s="2" t="str">
        <x:v>1</x:v>
      </x:c>
      <x:c r="N313" s="2" t="str">
        <x:v>2</x:v>
      </x:c>
      <x:c r="O313" s="2" t="str">
        <x:v>0</x:v>
      </x:c>
      <x:c r="P313" s="2" t="str">
        <x:v>true</x:v>
      </x:c>
      <x:c r="Q313" s="2" t="str">
        <x:v>106.147431177</x:v>
      </x:c>
      <x:c r="R313" s="2" t="str">
        <x:v>0.39937499968800694</x:v>
      </x:c>
      <x:c r="S313" s="2" t="str">
        <x:v>46.386027558517206</x:v>
      </x:c>
    </x:row>
    <x:row r="314">
      <x:c r="A314" s="2" t="str">
        <x:v>DE-CMP-01</x:v>
      </x:c>
      <x:c r="B314" s="2" t="str">
        <x:v>CFG-C01</x:v>
      </x:c>
      <x:c r="C314" s="2" t="n">
        <x:v>46227.70238086805</x:v>
      </x:c>
      <x:c r="D314" s="2" t="str">
        <x:v>adaptive</x:v>
      </x:c>
      <x:c r="E314" s="2" t="str">
        <x:v>single_carrier</x:v>
      </x:c>
      <x:c r="F314" s="2" t="str">
        <x:v>157</x:v>
      </x:c>
      <x:c r="G314" s="2" t="str">
        <x:v>3114260</x:v>
      </x:c>
      <x:c r="H314" s="2" t="str">
        <x:v>2048000.0</x:v>
      </x:c>
      <x:c r="I314" s="2" t="str">
        <x:v>8192</x:v>
      </x:c>
      <x:c r="J314" s="2" t="str">
        <x:v>250.0</x:v>
      </x:c>
      <x:c r="K314" s="2" t="str">
        <x:v>1</x:v>
      </x:c>
      <x:c r="L314" s="2" t="str">
        <x:v>3</x:v>
      </x:c>
      <x:c r="M314" s="2" t="str">
        <x:v>1</x:v>
      </x:c>
      <x:c r="N314" s="2" t="str">
        <x:v>2</x:v>
      </x:c>
      <x:c r="O314" s="2" t="str">
        <x:v>0</x:v>
      </x:c>
      <x:c r="P314" s="2" t="str">
        <x:v>true</x:v>
      </x:c>
      <x:c r="Q314" s="2" t="str">
        <x:v>-59.126238416</x:v>
      </x:c>
      <x:c r="R314" s="2" t="str">
        <x:v>0.37525000516325235</x:v>
      </x:c>
      <x:c r="S314" s="2" t="str">
        <x:v>46.3263292100555</x:v>
      </x:c>
    </x:row>
    <x:row r="315">
      <x:c r="A315" s="2" t="str">
        <x:v>DE-CMP-01</x:v>
      </x:c>
      <x:c r="B315" s="2" t="str">
        <x:v>CFG-C01</x:v>
      </x:c>
      <x:c r="C315" s="2" t="n">
        <x:v>46227.70238086805</x:v>
      </x:c>
      <x:c r="D315" s="2" t="str">
        <x:v>os_cfar</x:v>
      </x:c>
      <x:c r="E315" s="2" t="str">
        <x:v>single_carrier</x:v>
      </x:c>
      <x:c r="F315" s="2" t="str">
        <x:v>157</x:v>
      </x:c>
      <x:c r="G315" s="2" t="str">
        <x:v>3114260</x:v>
      </x:c>
      <x:c r="H315" s="2" t="str">
        <x:v>2048000.0</x:v>
      </x:c>
      <x:c r="I315" s="2" t="str">
        <x:v>8192</x:v>
      </x:c>
      <x:c r="J315" s="2" t="str">
        <x:v>250.0</x:v>
      </x:c>
      <x:c r="K315" s="2" t="str">
        <x:v>1</x:v>
      </x:c>
      <x:c r="L315" s="2" t="str">
        <x:v>3</x:v>
      </x:c>
      <x:c r="M315" s="2" t="str">
        <x:v>1</x:v>
      </x:c>
      <x:c r="N315" s="2" t="str">
        <x:v>2</x:v>
      </x:c>
      <x:c r="O315" s="2" t="str">
        <x:v>0</x:v>
      </x:c>
      <x:c r="P315" s="2" t="str">
        <x:v>true</x:v>
      </x:c>
      <x:c r="Q315" s="2" t="str">
        <x:v>-59.126238416</x:v>
      </x:c>
      <x:c r="R315" s="2" t="str">
        <x:v>13.685249999980442</x:v>
      </x:c>
      <x:c r="S315" s="2" t="str">
        <x:v>48.178787553877825</x:v>
      </x:c>
    </x:row>
    <x:row r="316">
      <x:c r="A316" s="2" t="str">
        <x:v>DE-CMP-01</x:v>
      </x:c>
      <x:c r="B316" s="2" t="str">
        <x:v>CFG-C01</x:v>
      </x:c>
      <x:c r="C316" s="2" t="n">
        <x:v>46227.70238086805</x:v>
      </x:c>
      <x:c r="D316" s="2" t="str">
        <x:v>os_cfar</x:v>
      </x:c>
      <x:c r="E316" s="2" t="str">
        <x:v>single_carrier</x:v>
      </x:c>
      <x:c r="F316" s="2" t="str">
        <x:v>158</x:v>
      </x:c>
      <x:c r="G316" s="2" t="str">
        <x:v>3114261</x:v>
      </x:c>
      <x:c r="H316" s="2" t="str">
        <x:v>2048000.0</x:v>
      </x:c>
      <x:c r="I316" s="2" t="str">
        <x:v>8192</x:v>
      </x:c>
      <x:c r="J316" s="2" t="str">
        <x:v>250.0</x:v>
      </x:c>
      <x:c r="K316" s="2" t="str">
        <x:v>1</x:v>
      </x:c>
      <x:c r="L316" s="2" t="str">
        <x:v>3</x:v>
      </x:c>
      <x:c r="M316" s="2" t="str">
        <x:v>1</x:v>
      </x:c>
      <x:c r="N316" s="2" t="str">
        <x:v>2</x:v>
      </x:c>
      <x:c r="O316" s="2" t="str">
        <x:v>0</x:v>
      </x:c>
      <x:c r="P316" s="2" t="str">
        <x:v>true</x:v>
      </x:c>
      <x:c r="Q316" s="2" t="str">
        <x:v>-98.261282933</x:v>
      </x:c>
      <x:c r="R316" s="2" t="str">
        <x:v>14.010625003720634</x:v>
      </x:c>
      <x:c r="S316" s="2" t="str">
        <x:v>48.12900622822369</x:v>
      </x:c>
    </x:row>
    <x:row r="317">
      <x:c r="A317" s="2" t="str">
        <x:v>DE-CMP-01</x:v>
      </x:c>
      <x:c r="B317" s="2" t="str">
        <x:v>CFG-C01</x:v>
      </x:c>
      <x:c r="C317" s="2" t="n">
        <x:v>46227.70238086805</x:v>
      </x:c>
      <x:c r="D317" s="2" t="str">
        <x:v>adaptive</x:v>
      </x:c>
      <x:c r="E317" s="2" t="str">
        <x:v>single_carrier</x:v>
      </x:c>
      <x:c r="F317" s="2" t="str">
        <x:v>158</x:v>
      </x:c>
      <x:c r="G317" s="2" t="str">
        <x:v>3114261</x:v>
      </x:c>
      <x:c r="H317" s="2" t="str">
        <x:v>2048000.0</x:v>
      </x:c>
      <x:c r="I317" s="2" t="str">
        <x:v>8192</x:v>
      </x:c>
      <x:c r="J317" s="2" t="str">
        <x:v>250.0</x:v>
      </x:c>
      <x:c r="K317" s="2" t="str">
        <x:v>1</x:v>
      </x:c>
      <x:c r="L317" s="2" t="str">
        <x:v>3</x:v>
      </x:c>
      <x:c r="M317" s="2" t="str">
        <x:v>1</x:v>
      </x:c>
      <x:c r="N317" s="2" t="str">
        <x:v>2</x:v>
      </x:c>
      <x:c r="O317" s="2" t="str">
        <x:v>0</x:v>
      </x:c>
      <x:c r="P317" s="2" t="str">
        <x:v>true</x:v>
      </x:c>
      <x:c r="Q317" s="2" t="str">
        <x:v>-98.261282933</x:v>
      </x:c>
      <x:c r="R317" s="2" t="str">
        <x:v>0.49862499872688204</x:v>
      </x:c>
      <x:c r="S317" s="2" t="str">
        <x:v>46.29537373012336</x:v>
      </x:c>
    </x:row>
    <x:row r="318">
      <x:c r="A318" s="2" t="str">
        <x:v>DE-CMP-01</x:v>
      </x:c>
      <x:c r="B318" s="2" t="str">
        <x:v>CFG-C01</x:v>
      </x:c>
      <x:c r="C318" s="2" t="n">
        <x:v>46227.70238086805</x:v>
      </x:c>
      <x:c r="D318" s="2" t="str">
        <x:v>adaptive</x:v>
      </x:c>
      <x:c r="E318" s="2" t="str">
        <x:v>single_carrier</x:v>
      </x:c>
      <x:c r="F318" s="2" t="str">
        <x:v>159</x:v>
      </x:c>
      <x:c r="G318" s="2" t="str">
        <x:v>3114262</x:v>
      </x:c>
      <x:c r="H318" s="2" t="str">
        <x:v>2048000.0</x:v>
      </x:c>
      <x:c r="I318" s="2" t="str">
        <x:v>8192</x:v>
      </x:c>
      <x:c r="J318" s="2" t="str">
        <x:v>250.0</x:v>
      </x:c>
      <x:c r="K318" s="2" t="str">
        <x:v>1</x:v>
      </x:c>
      <x:c r="L318" s="2" t="str">
        <x:v>3</x:v>
      </x:c>
      <x:c r="M318" s="2" t="str">
        <x:v>1</x:v>
      </x:c>
      <x:c r="N318" s="2" t="str">
        <x:v>2</x:v>
      </x:c>
      <x:c r="O318" s="2" t="str">
        <x:v>0</x:v>
      </x:c>
      <x:c r="P318" s="2" t="str">
        <x:v>true</x:v>
      </x:c>
      <x:c r="Q318" s="2" t="str">
        <x:v>-86.325241855</x:v>
      </x:c>
      <x:c r="R318" s="2" t="str">
        <x:v>0.4207500023767352</x:v>
      </x:c>
      <x:c r="S318" s="2" t="str">
        <x:v>46.34067206583652</x:v>
      </x:c>
    </x:row>
    <x:row r="319">
      <x:c r="A319" s="2" t="str">
        <x:v>DE-CMP-01</x:v>
      </x:c>
      <x:c r="B319" s="2" t="str">
        <x:v>CFG-C01</x:v>
      </x:c>
      <x:c r="C319" s="2" t="n">
        <x:v>46227.70238086805</x:v>
      </x:c>
      <x:c r="D319" s="2" t="str">
        <x:v>os_cfar</x:v>
      </x:c>
      <x:c r="E319" s="2" t="str">
        <x:v>single_carrier</x:v>
      </x:c>
      <x:c r="F319" s="2" t="str">
        <x:v>159</x:v>
      </x:c>
      <x:c r="G319" s="2" t="str">
        <x:v>3114262</x:v>
      </x:c>
      <x:c r="H319" s="2" t="str">
        <x:v>2048000.0</x:v>
      </x:c>
      <x:c r="I319" s="2" t="str">
        <x:v>8192</x:v>
      </x:c>
      <x:c r="J319" s="2" t="str">
        <x:v>250.0</x:v>
      </x:c>
      <x:c r="K319" s="2" t="str">
        <x:v>1</x:v>
      </x:c>
      <x:c r="L319" s="2" t="str">
        <x:v>3</x:v>
      </x:c>
      <x:c r="M319" s="2" t="str">
        <x:v>1</x:v>
      </x:c>
      <x:c r="N319" s="2" t="str">
        <x:v>2</x:v>
      </x:c>
      <x:c r="O319" s="2" t="str">
        <x:v>0</x:v>
      </x:c>
      <x:c r="P319" s="2" t="str">
        <x:v>true</x:v>
      </x:c>
      <x:c r="Q319" s="2" t="str">
        <x:v>-86.325241855</x:v>
      </x:c>
      <x:c r="R319" s="2" t="str">
        <x:v>13.88924999628216</x:v>
      </x:c>
      <x:c r="S319" s="2" t="str">
        <x:v>48.19284047057577</x:v>
      </x:c>
    </x:row>
    <x:row r="320">
      <x:c r="A320" s="2" t="str">
        <x:v>DE-CMP-01</x:v>
      </x:c>
      <x:c r="B320" s="2" t="str">
        <x:v>CFG-C01</x:v>
      </x:c>
      <x:c r="C320" s="2" t="n">
        <x:v>46227.70238086805</x:v>
      </x:c>
      <x:c r="D320" s="2" t="str">
        <x:v>os_cfar</x:v>
      </x:c>
      <x:c r="E320" s="2" t="str">
        <x:v>single_carrier</x:v>
      </x:c>
      <x:c r="F320" s="2" t="str">
        <x:v>160</x:v>
      </x:c>
      <x:c r="G320" s="2" t="str">
        <x:v>3114263</x:v>
      </x:c>
      <x:c r="H320" s="2" t="str">
        <x:v>2048000.0</x:v>
      </x:c>
      <x:c r="I320" s="2" t="str">
        <x:v>8192</x:v>
      </x:c>
      <x:c r="J320" s="2" t="str">
        <x:v>250.0</x:v>
      </x:c>
      <x:c r="K320" s="2" t="str">
        <x:v>1</x:v>
      </x:c>
      <x:c r="L320" s="2" t="str">
        <x:v>3</x:v>
      </x:c>
      <x:c r="M320" s="2" t="str">
        <x:v>1</x:v>
      </x:c>
      <x:c r="N320" s="2" t="str">
        <x:v>2</x:v>
      </x:c>
      <x:c r="O320" s="2" t="str">
        <x:v>0</x:v>
      </x:c>
      <x:c r="P320" s="2" t="str">
        <x:v>true</x:v>
      </x:c>
      <x:c r="Q320" s="2" t="str">
        <x:v>134.644095430</x:v>
      </x:c>
      <x:c r="R320" s="2" t="str">
        <x:v>14.12141699984204</x:v>
      </x:c>
      <x:c r="S320" s="2" t="str">
        <x:v>48.198051451926105</x:v>
      </x:c>
    </x:row>
    <x:row r="321">
      <x:c r="A321" s="2" t="str">
        <x:v>DE-CMP-01</x:v>
      </x:c>
      <x:c r="B321" s="2" t="str">
        <x:v>CFG-C01</x:v>
      </x:c>
      <x:c r="C321" s="2" t="n">
        <x:v>46227.70238086805</x:v>
      </x:c>
      <x:c r="D321" s="2" t="str">
        <x:v>adaptive</x:v>
      </x:c>
      <x:c r="E321" s="2" t="str">
        <x:v>single_carrier</x:v>
      </x:c>
      <x:c r="F321" s="2" t="str">
        <x:v>160</x:v>
      </x:c>
      <x:c r="G321" s="2" t="str">
        <x:v>3114263</x:v>
      </x:c>
      <x:c r="H321" s="2" t="str">
        <x:v>2048000.0</x:v>
      </x:c>
      <x:c r="I321" s="2" t="str">
        <x:v>8192</x:v>
      </x:c>
      <x:c r="J321" s="2" t="str">
        <x:v>250.0</x:v>
      </x:c>
      <x:c r="K321" s="2" t="str">
        <x:v>1</x:v>
      </x:c>
      <x:c r="L321" s="2" t="str">
        <x:v>3</x:v>
      </x:c>
      <x:c r="M321" s="2" t="str">
        <x:v>1</x:v>
      </x:c>
      <x:c r="N321" s="2" t="str">
        <x:v>2</x:v>
      </x:c>
      <x:c r="O321" s="2" t="str">
        <x:v>0</x:v>
      </x:c>
      <x:c r="P321" s="2" t="str">
        <x:v>true</x:v>
      </x:c>
      <x:c r="Q321" s="2" t="str">
        <x:v>134.644095430</x:v>
      </x:c>
      <x:c r="R321" s="2" t="str">
        <x:v>0.42874999053310603</x:v>
      </x:c>
      <x:c r="S321" s="2" t="str">
        <x:v>46.363071788190155</x:v>
      </x:c>
    </x:row>
    <x:row r="322">
      <x:c r="A322" s="2" t="str">
        <x:v>DE-CMP-01</x:v>
      </x:c>
      <x:c r="B322" s="2" t="str">
        <x:v>CFG-C01</x:v>
      </x:c>
      <x:c r="C322" s="2" t="n">
        <x:v>46227.70238086805</x:v>
      </x:c>
      <x:c r="D322" s="2" t="str">
        <x:v>adaptive</x:v>
      </x:c>
      <x:c r="E322" s="2" t="str">
        <x:v>single_carrier</x:v>
      </x:c>
      <x:c r="F322" s="2" t="str">
        <x:v>161</x:v>
      </x:c>
      <x:c r="G322" s="2" t="str">
        <x:v>3114264</x:v>
      </x:c>
      <x:c r="H322" s="2" t="str">
        <x:v>2048000.0</x:v>
      </x:c>
      <x:c r="I322" s="2" t="str">
        <x:v>8192</x:v>
      </x:c>
      <x:c r="J322" s="2" t="str">
        <x:v>250.0</x:v>
      </x:c>
      <x:c r="K322" s="2" t="str">
        <x:v>1</x:v>
      </x:c>
      <x:c r="L322" s="2" t="str">
        <x:v>3</x:v>
      </x:c>
      <x:c r="M322" s="2" t="str">
        <x:v>1</x:v>
      </x:c>
      <x:c r="N322" s="2" t="str">
        <x:v>2</x:v>
      </x:c>
      <x:c r="O322" s="2" t="str">
        <x:v>0</x:v>
      </x:c>
      <x:c r="P322" s="2" t="str">
        <x:v>true</x:v>
      </x:c>
      <x:c r="Q322" s="2" t="str">
        <x:v>-56.654420846</x:v>
      </x:c>
      <x:c r="R322" s="2" t="str">
        <x:v>0.4057080077473074</x:v>
      </x:c>
      <x:c r="S322" s="2" t="str">
        <x:v>46.3678415092607</x:v>
      </x:c>
    </x:row>
    <x:row r="323">
      <x:c r="A323" s="2" t="str">
        <x:v>DE-CMP-01</x:v>
      </x:c>
      <x:c r="B323" s="2" t="str">
        <x:v>CFG-C01</x:v>
      </x:c>
      <x:c r="C323" s="2" t="n">
        <x:v>46227.70238086805</x:v>
      </x:c>
      <x:c r="D323" s="2" t="str">
        <x:v>os_cfar</x:v>
      </x:c>
      <x:c r="E323" s="2" t="str">
        <x:v>single_carrier</x:v>
      </x:c>
      <x:c r="F323" s="2" t="str">
        <x:v>161</x:v>
      </x:c>
      <x:c r="G323" s="2" t="str">
        <x:v>3114264</x:v>
      </x:c>
      <x:c r="H323" s="2" t="str">
        <x:v>2048000.0</x:v>
      </x:c>
      <x:c r="I323" s="2" t="str">
        <x:v>8192</x:v>
      </x:c>
      <x:c r="J323" s="2" t="str">
        <x:v>250.0</x:v>
      </x:c>
      <x:c r="K323" s="2" t="str">
        <x:v>1</x:v>
      </x:c>
      <x:c r="L323" s="2" t="str">
        <x:v>3</x:v>
      </x:c>
      <x:c r="M323" s="2" t="str">
        <x:v>1</x:v>
      </x:c>
      <x:c r="N323" s="2" t="str">
        <x:v>2</x:v>
      </x:c>
      <x:c r="O323" s="2" t="str">
        <x:v>0</x:v>
      </x:c>
      <x:c r="P323" s="2" t="str">
        <x:v>true</x:v>
      </x:c>
      <x:c r="Q323" s="2" t="str">
        <x:v>-56.654420846</x:v>
      </x:c>
      <x:c r="R323" s="2" t="str">
        <x:v>13.901500002248213</x:v>
      </x:c>
      <x:c r="S323" s="2" t="str">
        <x:v>48.07365618005848</x:v>
      </x:c>
    </x:row>
    <x:row r="324">
      <x:c r="A324" s="2" t="str">
        <x:v>DE-CMP-01</x:v>
      </x:c>
      <x:c r="B324" s="2" t="str">
        <x:v>CFG-C01</x:v>
      </x:c>
      <x:c r="C324" s="2" t="n">
        <x:v>46227.70238086805</x:v>
      </x:c>
      <x:c r="D324" s="2" t="str">
        <x:v>os_cfar</x:v>
      </x:c>
      <x:c r="E324" s="2" t="str">
        <x:v>single_carrier</x:v>
      </x:c>
      <x:c r="F324" s="2" t="str">
        <x:v>162</x:v>
      </x:c>
      <x:c r="G324" s="2" t="str">
        <x:v>3114265</x:v>
      </x:c>
      <x:c r="H324" s="2" t="str">
        <x:v>2048000.0</x:v>
      </x:c>
      <x:c r="I324" s="2" t="str">
        <x:v>8192</x:v>
      </x:c>
      <x:c r="J324" s="2" t="str">
        <x:v>250.0</x:v>
      </x:c>
      <x:c r="K324" s="2" t="str">
        <x:v>1</x:v>
      </x:c>
      <x:c r="L324" s="2" t="str">
        <x:v>3</x:v>
      </x:c>
      <x:c r="M324" s="2" t="str">
        <x:v>1</x:v>
      </x:c>
      <x:c r="N324" s="2" t="str">
        <x:v>2</x:v>
      </x:c>
      <x:c r="O324" s="2" t="str">
        <x:v>0</x:v>
      </x:c>
      <x:c r="P324" s="2" t="str">
        <x:v>true</x:v>
      </x:c>
      <x:c r="Q324" s="2" t="str">
        <x:v>-64.529018364</x:v>
      </x:c>
      <x:c r="R324" s="2" t="str">
        <x:v>13.989874991239049</x:v>
      </x:c>
      <x:c r="S324" s="2" t="str">
        <x:v>48.071444233617015</x:v>
      </x:c>
    </x:row>
    <x:row r="325">
      <x:c r="A325" s="2" t="str">
        <x:v>DE-CMP-01</x:v>
      </x:c>
      <x:c r="B325" s="2" t="str">
        <x:v>CFG-C01</x:v>
      </x:c>
      <x:c r="C325" s="2" t="n">
        <x:v>46227.70238086805</x:v>
      </x:c>
      <x:c r="D325" s="2" t="str">
        <x:v>adaptive</x:v>
      </x:c>
      <x:c r="E325" s="2" t="str">
        <x:v>single_carrier</x:v>
      </x:c>
      <x:c r="F325" s="2" t="str">
        <x:v>162</x:v>
      </x:c>
      <x:c r="G325" s="2" t="str">
        <x:v>3114265</x:v>
      </x:c>
      <x:c r="H325" s="2" t="str">
        <x:v>2048000.0</x:v>
      </x:c>
      <x:c r="I325" s="2" t="str">
        <x:v>8192</x:v>
      </x:c>
      <x:c r="J325" s="2" t="str">
        <x:v>250.0</x:v>
      </x:c>
      <x:c r="K325" s="2" t="str">
        <x:v>1</x:v>
      </x:c>
      <x:c r="L325" s="2" t="str">
        <x:v>3</x:v>
      </x:c>
      <x:c r="M325" s="2" t="str">
        <x:v>1</x:v>
      </x:c>
      <x:c r="N325" s="2" t="str">
        <x:v>2</x:v>
      </x:c>
      <x:c r="O325" s="2" t="str">
        <x:v>0</x:v>
      </x:c>
      <x:c r="P325" s="2" t="str">
        <x:v>true</x:v>
      </x:c>
      <x:c r="Q325" s="2" t="str">
        <x:v>-64.529018364</x:v>
      </x:c>
      <x:c r="R325" s="2" t="str">
        <x:v>0.39504199230577797</x:v>
      </x:c>
      <x:c r="S325" s="2" t="str">
        <x:v>46.378500855012504</x:v>
      </x:c>
    </x:row>
    <x:row r="326">
      <x:c r="A326" s="2" t="str">
        <x:v>DE-CMP-01</x:v>
      </x:c>
      <x:c r="B326" s="2" t="str">
        <x:v>CFG-C01</x:v>
      </x:c>
      <x:c r="C326" s="2" t="n">
        <x:v>46227.70238086805</x:v>
      </x:c>
      <x:c r="D326" s="2" t="str">
        <x:v>adaptive</x:v>
      </x:c>
      <x:c r="E326" s="2" t="str">
        <x:v>single_carrier</x:v>
      </x:c>
      <x:c r="F326" s="2" t="str">
        <x:v>163</x:v>
      </x:c>
      <x:c r="G326" s="2" t="str">
        <x:v>3114266</x:v>
      </x:c>
      <x:c r="H326" s="2" t="str">
        <x:v>2048000.0</x:v>
      </x:c>
      <x:c r="I326" s="2" t="str">
        <x:v>8192</x:v>
      </x:c>
      <x:c r="J326" s="2" t="str">
        <x:v>250.0</x:v>
      </x:c>
      <x:c r="K326" s="2" t="str">
        <x:v>1</x:v>
      </x:c>
      <x:c r="L326" s="2" t="str">
        <x:v>3</x:v>
      </x:c>
      <x:c r="M326" s="2" t="str">
        <x:v>1</x:v>
      </x:c>
      <x:c r="N326" s="2" t="str">
        <x:v>2</x:v>
      </x:c>
      <x:c r="O326" s="2" t="str">
        <x:v>0</x:v>
      </x:c>
      <x:c r="P326" s="2" t="str">
        <x:v>true</x:v>
      </x:c>
      <x:c r="Q326" s="2" t="str">
        <x:v>75.200175513</x:v>
      </x:c>
      <x:c r="R326" s="2" t="str">
        <x:v>0.3903339966200292</x:v>
      </x:c>
      <x:c r="S326" s="2" t="str">
        <x:v>46.429037082800946</x:v>
      </x:c>
    </x:row>
    <x:row r="327">
      <x:c r="A327" s="2" t="str">
        <x:v>DE-CMP-01</x:v>
      </x:c>
      <x:c r="B327" s="2" t="str">
        <x:v>CFG-C01</x:v>
      </x:c>
      <x:c r="C327" s="2" t="n">
        <x:v>46227.70238086805</x:v>
      </x:c>
      <x:c r="D327" s="2" t="str">
        <x:v>os_cfar</x:v>
      </x:c>
      <x:c r="E327" s="2" t="str">
        <x:v>single_carrier</x:v>
      </x:c>
      <x:c r="F327" s="2" t="str">
        <x:v>163</x:v>
      </x:c>
      <x:c r="G327" s="2" t="str">
        <x:v>3114266</x:v>
      </x:c>
      <x:c r="H327" s="2" t="str">
        <x:v>2048000.0</x:v>
      </x:c>
      <x:c r="I327" s="2" t="str">
        <x:v>8192</x:v>
      </x:c>
      <x:c r="J327" s="2" t="str">
        <x:v>250.0</x:v>
      </x:c>
      <x:c r="K327" s="2" t="str">
        <x:v>1</x:v>
      </x:c>
      <x:c r="L327" s="2" t="str">
        <x:v>3</x:v>
      </x:c>
      <x:c r="M327" s="2" t="str">
        <x:v>1</x:v>
      </x:c>
      <x:c r="N327" s="2" t="str">
        <x:v>2</x:v>
      </x:c>
      <x:c r="O327" s="2" t="str">
        <x:v>0</x:v>
      </x:c>
      <x:c r="P327" s="2" t="str">
        <x:v>true</x:v>
      </x:c>
      <x:c r="Q327" s="2" t="str">
        <x:v>75.200175513</x:v>
      </x:c>
      <x:c r="R327" s="2" t="str">
        <x:v>13.868958994862624</x:v>
      </x:c>
      <x:c r="S327" s="2" t="str">
        <x:v>48.20294338421351</x:v>
      </x:c>
    </x:row>
    <x:row r="328">
      <x:c r="A328" s="2" t="str">
        <x:v>DE-CMP-01</x:v>
      </x:c>
      <x:c r="B328" s="2" t="str">
        <x:v>CFG-C01</x:v>
      </x:c>
      <x:c r="C328" s="2" t="n">
        <x:v>46227.70238086805</x:v>
      </x:c>
      <x:c r="D328" s="2" t="str">
        <x:v>os_cfar</x:v>
      </x:c>
      <x:c r="E328" s="2" t="str">
        <x:v>single_carrier</x:v>
      </x:c>
      <x:c r="F328" s="2" t="str">
        <x:v>164</x:v>
      </x:c>
      <x:c r="G328" s="2" t="str">
        <x:v>3114267</x:v>
      </x:c>
      <x:c r="H328" s="2" t="str">
        <x:v>2048000.0</x:v>
      </x:c>
      <x:c r="I328" s="2" t="str">
        <x:v>8192</x:v>
      </x:c>
      <x:c r="J328" s="2" t="str">
        <x:v>250.0</x:v>
      </x:c>
      <x:c r="K328" s="2" t="str">
        <x:v>1</x:v>
      </x:c>
      <x:c r="L328" s="2" t="str">
        <x:v>3</x:v>
      </x:c>
      <x:c r="M328" s="2" t="str">
        <x:v>1</x:v>
      </x:c>
      <x:c r="N328" s="2" t="str">
        <x:v>2</x:v>
      </x:c>
      <x:c r="O328" s="2" t="str">
        <x:v>0</x:v>
      </x:c>
      <x:c r="P328" s="2" t="str">
        <x:v>true</x:v>
      </x:c>
      <x:c r="Q328" s="2" t="str">
        <x:v>-91.392061499</x:v>
      </x:c>
      <x:c r="R328" s="2" t="str">
        <x:v>14.026000004378147</x:v>
      </x:c>
      <x:c r="S328" s="2" t="str">
        <x:v>48.333446558109415</x:v>
      </x:c>
    </x:row>
    <x:row r="329">
      <x:c r="A329" s="2" t="str">
        <x:v>DE-CMP-01</x:v>
      </x:c>
      <x:c r="B329" s="2" t="str">
        <x:v>CFG-C01</x:v>
      </x:c>
      <x:c r="C329" s="2" t="n">
        <x:v>46227.70238086805</x:v>
      </x:c>
      <x:c r="D329" s="2" t="str">
        <x:v>adaptive</x:v>
      </x:c>
      <x:c r="E329" s="2" t="str">
        <x:v>single_carrier</x:v>
      </x:c>
      <x:c r="F329" s="2" t="str">
        <x:v>164</x:v>
      </x:c>
      <x:c r="G329" s="2" t="str">
        <x:v>3114267</x:v>
      </x:c>
      <x:c r="H329" s="2" t="str">
        <x:v>2048000.0</x:v>
      </x:c>
      <x:c r="I329" s="2" t="str">
        <x:v>8192</x:v>
      </x:c>
      <x:c r="J329" s="2" t="str">
        <x:v>250.0</x:v>
      </x:c>
      <x:c r="K329" s="2" t="str">
        <x:v>1</x:v>
      </x:c>
      <x:c r="L329" s="2" t="str">
        <x:v>3</x:v>
      </x:c>
      <x:c r="M329" s="2" t="str">
        <x:v>1</x:v>
      </x:c>
      <x:c r="N329" s="2" t="str">
        <x:v>2</x:v>
      </x:c>
      <x:c r="O329" s="2" t="str">
        <x:v>0</x:v>
      </x:c>
      <x:c r="P329" s="2" t="str">
        <x:v>true</x:v>
      </x:c>
      <x:c r="Q329" s="2" t="str">
        <x:v>-91.392061499</x:v>
      </x:c>
      <x:c r="R329" s="2" t="str">
        <x:v>0.4073330055689439</x:v>
      </x:c>
      <x:c r="S329" s="2" t="str">
        <x:v>46.61488250550423</x:v>
      </x:c>
    </x:row>
    <x:row r="330">
      <x:c r="A330" s="2" t="str">
        <x:v>DE-CMP-01</x:v>
      </x:c>
      <x:c r="B330" s="2" t="str">
        <x:v>CFG-C01</x:v>
      </x:c>
      <x:c r="C330" s="2" t="n">
        <x:v>46227.70238086805</x:v>
      </x:c>
      <x:c r="D330" s="2" t="str">
        <x:v>adaptive</x:v>
      </x:c>
      <x:c r="E330" s="2" t="str">
        <x:v>single_carrier</x:v>
      </x:c>
      <x:c r="F330" s="2" t="str">
        <x:v>165</x:v>
      </x:c>
      <x:c r="G330" s="2" t="str">
        <x:v>3114268</x:v>
      </x:c>
      <x:c r="H330" s="2" t="str">
        <x:v>2048000.0</x:v>
      </x:c>
      <x:c r="I330" s="2" t="str">
        <x:v>8192</x:v>
      </x:c>
      <x:c r="J330" s="2" t="str">
        <x:v>250.0</x:v>
      </x:c>
      <x:c r="K330" s="2" t="str">
        <x:v>1</x:v>
      </x:c>
      <x:c r="L330" s="2" t="str">
        <x:v>3</x:v>
      </x:c>
      <x:c r="M330" s="2" t="str">
        <x:v>1</x:v>
      </x:c>
      <x:c r="N330" s="2" t="str">
        <x:v>2</x:v>
      </x:c>
      <x:c r="O330" s="2" t="str">
        <x:v>0</x:v>
      </x:c>
      <x:c r="P330" s="2" t="str">
        <x:v>true</x:v>
      </x:c>
      <x:c r="Q330" s="2" t="str">
        <x:v>-36.389296080</x:v>
      </x:c>
      <x:c r="R330" s="2" t="str">
        <x:v>0.3844159946311265</x:v>
      </x:c>
      <x:c r="S330" s="2" t="str">
        <x:v>46.32526445754541</x:v>
      </x:c>
    </x:row>
    <x:row r="331">
      <x:c r="A331" s="2" t="str">
        <x:v>DE-CMP-01</x:v>
      </x:c>
      <x:c r="B331" s="2" t="str">
        <x:v>CFG-C01</x:v>
      </x:c>
      <x:c r="C331" s="2" t="n">
        <x:v>46227.70238086805</x:v>
      </x:c>
      <x:c r="D331" s="2" t="str">
        <x:v>os_cfar</x:v>
      </x:c>
      <x:c r="E331" s="2" t="str">
        <x:v>single_carrier</x:v>
      </x:c>
      <x:c r="F331" s="2" t="str">
        <x:v>165</x:v>
      </x:c>
      <x:c r="G331" s="2" t="str">
        <x:v>3114268</x:v>
      </x:c>
      <x:c r="H331" s="2" t="str">
        <x:v>2048000.0</x:v>
      </x:c>
      <x:c r="I331" s="2" t="str">
        <x:v>8192</x:v>
      </x:c>
      <x:c r="J331" s="2" t="str">
        <x:v>250.0</x:v>
      </x:c>
      <x:c r="K331" s="2" t="str">
        <x:v>1</x:v>
      </x:c>
      <x:c r="L331" s="2" t="str">
        <x:v>3</x:v>
      </x:c>
      <x:c r="M331" s="2" t="str">
        <x:v>1</x:v>
      </x:c>
      <x:c r="N331" s="2" t="str">
        <x:v>2</x:v>
      </x:c>
      <x:c r="O331" s="2" t="str">
        <x:v>0</x:v>
      </x:c>
      <x:c r="P331" s="2" t="str">
        <x:v>true</x:v>
      </x:c>
      <x:c r="Q331" s="2" t="str">
        <x:v>-36.389296080</x:v>
      </x:c>
      <x:c r="R331" s="2" t="str">
        <x:v>13.76458301092498</x:v>
      </x:c>
      <x:c r="S331" s="2" t="str">
        <x:v>48.095154875270225</x:v>
      </x:c>
    </x:row>
    <x:row r="332">
      <x:c r="A332" s="2" t="str">
        <x:v>DE-CMP-01</x:v>
      </x:c>
      <x:c r="B332" s="2" t="str">
        <x:v>CFG-C01</x:v>
      </x:c>
      <x:c r="C332" s="2" t="n">
        <x:v>46227.70238086805</x:v>
      </x:c>
      <x:c r="D332" s="2" t="str">
        <x:v>os_cfar</x:v>
      </x:c>
      <x:c r="E332" s="2" t="str">
        <x:v>single_carrier</x:v>
      </x:c>
      <x:c r="F332" s="2" t="str">
        <x:v>166</x:v>
      </x:c>
      <x:c r="G332" s="2" t="str">
        <x:v>3114269</x:v>
      </x:c>
      <x:c r="H332" s="2" t="str">
        <x:v>2048000.0</x:v>
      </x:c>
      <x:c r="I332" s="2" t="str">
        <x:v>8192</x:v>
      </x:c>
      <x:c r="J332" s="2" t="str">
        <x:v>250.0</x:v>
      </x:c>
      <x:c r="K332" s="2" t="str">
        <x:v>1</x:v>
      </x:c>
      <x:c r="L332" s="2" t="str">
        <x:v>3</x:v>
      </x:c>
      <x:c r="M332" s="2" t="str">
        <x:v>1</x:v>
      </x:c>
      <x:c r="N332" s="2" t="str">
        <x:v>2</x:v>
      </x:c>
      <x:c r="O332" s="2" t="str">
        <x:v>0</x:v>
      </x:c>
      <x:c r="P332" s="2" t="str">
        <x:v>true</x:v>
      </x:c>
      <x:c r="Q332" s="2" t="str">
        <x:v>6.725554943</x:v>
      </x:c>
      <x:c r="R332" s="2" t="str">
        <x:v>13.960084004793316</x:v>
      </x:c>
      <x:c r="S332" s="2" t="str">
        <x:v>48.1245258410496</x:v>
      </x:c>
    </x:row>
    <x:row r="333">
      <x:c r="A333" s="2" t="str">
        <x:v>DE-CMP-01</x:v>
      </x:c>
      <x:c r="B333" s="2" t="str">
        <x:v>CFG-C01</x:v>
      </x:c>
      <x:c r="C333" s="2" t="n">
        <x:v>46227.70238086805</x:v>
      </x:c>
      <x:c r="D333" s="2" t="str">
        <x:v>adaptive</x:v>
      </x:c>
      <x:c r="E333" s="2" t="str">
        <x:v>single_carrier</x:v>
      </x:c>
      <x:c r="F333" s="2" t="str">
        <x:v>166</x:v>
      </x:c>
      <x:c r="G333" s="2" t="str">
        <x:v>3114269</x:v>
      </x:c>
      <x:c r="H333" s="2" t="str">
        <x:v>2048000.0</x:v>
      </x:c>
      <x:c r="I333" s="2" t="str">
        <x:v>8192</x:v>
      </x:c>
      <x:c r="J333" s="2" t="str">
        <x:v>250.0</x:v>
      </x:c>
      <x:c r="K333" s="2" t="str">
        <x:v>1</x:v>
      </x:c>
      <x:c r="L333" s="2" t="str">
        <x:v>3</x:v>
      </x:c>
      <x:c r="M333" s="2" t="str">
        <x:v>1</x:v>
      </x:c>
      <x:c r="N333" s="2" t="str">
        <x:v>2</x:v>
      </x:c>
      <x:c r="O333" s="2" t="str">
        <x:v>0</x:v>
      </x:c>
      <x:c r="P333" s="2" t="str">
        <x:v>true</x:v>
      </x:c>
      <x:c r="Q333" s="2" t="str">
        <x:v>6.725554943</x:v>
      </x:c>
      <x:c r="R333" s="2" t="str">
        <x:v>0.4385000065667555</x:v>
      </x:c>
      <x:c r="S333" s="2" t="str">
        <x:v>46.2113526255304</x:v>
      </x:c>
    </x:row>
    <x:row r="334">
      <x:c r="A334" s="2" t="str">
        <x:v>DE-CMP-01</x:v>
      </x:c>
      <x:c r="B334" s="2" t="str">
        <x:v>CFG-C01</x:v>
      </x:c>
      <x:c r="C334" s="2" t="n">
        <x:v>46227.70238086805</x:v>
      </x:c>
      <x:c r="D334" s="2" t="str">
        <x:v>adaptive</x:v>
      </x:c>
      <x:c r="E334" s="2" t="str">
        <x:v>single_carrier</x:v>
      </x:c>
      <x:c r="F334" s="2" t="str">
        <x:v>167</x:v>
      </x:c>
      <x:c r="G334" s="2" t="str">
        <x:v>3114270</x:v>
      </x:c>
      <x:c r="H334" s="2" t="str">
        <x:v>2048000.0</x:v>
      </x:c>
      <x:c r="I334" s="2" t="str">
        <x:v>8192</x:v>
      </x:c>
      <x:c r="J334" s="2" t="str">
        <x:v>250.0</x:v>
      </x:c>
      <x:c r="K334" s="2" t="str">
        <x:v>1</x:v>
      </x:c>
      <x:c r="L334" s="2" t="str">
        <x:v>3</x:v>
      </x:c>
      <x:c r="M334" s="2" t="str">
        <x:v>1</x:v>
      </x:c>
      <x:c r="N334" s="2" t="str">
        <x:v>2</x:v>
      </x:c>
      <x:c r="O334" s="2" t="str">
        <x:v>0</x:v>
      </x:c>
      <x:c r="P334" s="2" t="str">
        <x:v>true</x:v>
      </x:c>
      <x:c r="Q334" s="2" t="str">
        <x:v>-83.556892917</x:v>
      </x:c>
      <x:c r="R334" s="2" t="str">
        <x:v>0.42070800554938614</x:v>
      </x:c>
      <x:c r="S334" s="2" t="str">
        <x:v>46.453506182475984</x:v>
      </x:c>
    </x:row>
    <x:row r="335">
      <x:c r="A335" s="2" t="str">
        <x:v>DE-CMP-01</x:v>
      </x:c>
      <x:c r="B335" s="2" t="str">
        <x:v>CFG-C01</x:v>
      </x:c>
      <x:c r="C335" s="2" t="n">
        <x:v>46227.70238086805</x:v>
      </x:c>
      <x:c r="D335" s="2" t="str">
        <x:v>os_cfar</x:v>
      </x:c>
      <x:c r="E335" s="2" t="str">
        <x:v>single_carrier</x:v>
      </x:c>
      <x:c r="F335" s="2" t="str">
        <x:v>167</x:v>
      </x:c>
      <x:c r="G335" s="2" t="str">
        <x:v>3114270</x:v>
      </x:c>
      <x:c r="H335" s="2" t="str">
        <x:v>2048000.0</x:v>
      </x:c>
      <x:c r="I335" s="2" t="str">
        <x:v>8192</x:v>
      </x:c>
      <x:c r="J335" s="2" t="str">
        <x:v>250.0</x:v>
      </x:c>
      <x:c r="K335" s="2" t="str">
        <x:v>1</x:v>
      </x:c>
      <x:c r="L335" s="2" t="str">
        <x:v>3</x:v>
      </x:c>
      <x:c r="M335" s="2" t="str">
        <x:v>1</x:v>
      </x:c>
      <x:c r="N335" s="2" t="str">
        <x:v>2</x:v>
      </x:c>
      <x:c r="O335" s="2" t="str">
        <x:v>0</x:v>
      </x:c>
      <x:c r="P335" s="2" t="str">
        <x:v>true</x:v>
      </x:c>
      <x:c r="Q335" s="2" t="str">
        <x:v>-83.556892917</x:v>
      </x:c>
      <x:c r="R335" s="2" t="str">
        <x:v>13.803915993776172</x:v>
      </x:c>
      <x:c r="S335" s="2" t="str">
        <x:v>48.23843961873733</x:v>
      </x:c>
    </x:row>
    <x:row r="336">
      <x:c r="A336" s="2" t="str">
        <x:v>DE-CMP-01</x:v>
      </x:c>
      <x:c r="B336" s="2" t="str">
        <x:v>CFG-C01</x:v>
      </x:c>
      <x:c r="C336" s="2" t="n">
        <x:v>46227.70238086805</x:v>
      </x:c>
      <x:c r="D336" s="2" t="str">
        <x:v>os_cfar</x:v>
      </x:c>
      <x:c r="E336" s="2" t="str">
        <x:v>single_carrier</x:v>
      </x:c>
      <x:c r="F336" s="2" t="str">
        <x:v>168</x:v>
      </x:c>
      <x:c r="G336" s="2" t="str">
        <x:v>3114271</x:v>
      </x:c>
      <x:c r="H336" s="2" t="str">
        <x:v>2048000.0</x:v>
      </x:c>
      <x:c r="I336" s="2" t="str">
        <x:v>8192</x:v>
      </x:c>
      <x:c r="J336" s="2" t="str">
        <x:v>250.0</x:v>
      </x:c>
      <x:c r="K336" s="2" t="str">
        <x:v>1</x:v>
      </x:c>
      <x:c r="L336" s="2" t="str">
        <x:v>3</x:v>
      </x:c>
      <x:c r="M336" s="2" t="str">
        <x:v>1</x:v>
      </x:c>
      <x:c r="N336" s="2" t="str">
        <x:v>2</x:v>
      </x:c>
      <x:c r="O336" s="2" t="str">
        <x:v>0</x:v>
      </x:c>
      <x:c r="P336" s="2" t="str">
        <x:v>true</x:v>
      </x:c>
      <x:c r="Q336" s="2" t="str">
        <x:v>-43.123523120</x:v>
      </x:c>
      <x:c r="R336" s="2" t="str">
        <x:v>13.982791992020793</x:v>
      </x:c>
      <x:c r="S336" s="2" t="str">
        <x:v>48.335645500523555</x:v>
      </x:c>
    </x:row>
    <x:row r="337">
      <x:c r="A337" s="2" t="str">
        <x:v>DE-CMP-01</x:v>
      </x:c>
      <x:c r="B337" s="2" t="str">
        <x:v>CFG-C01</x:v>
      </x:c>
      <x:c r="C337" s="2" t="n">
        <x:v>46227.70238086805</x:v>
      </x:c>
      <x:c r="D337" s="2" t="str">
        <x:v>adaptive</x:v>
      </x:c>
      <x:c r="E337" s="2" t="str">
        <x:v>single_carrier</x:v>
      </x:c>
      <x:c r="F337" s="2" t="str">
        <x:v>168</x:v>
      </x:c>
      <x:c r="G337" s="2" t="str">
        <x:v>3114271</x:v>
      </x:c>
      <x:c r="H337" s="2" t="str">
        <x:v>2048000.0</x:v>
      </x:c>
      <x:c r="I337" s="2" t="str">
        <x:v>8192</x:v>
      </x:c>
      <x:c r="J337" s="2" t="str">
        <x:v>250.0</x:v>
      </x:c>
      <x:c r="K337" s="2" t="str">
        <x:v>1</x:v>
      </x:c>
      <x:c r="L337" s="2" t="str">
        <x:v>3</x:v>
      </x:c>
      <x:c r="M337" s="2" t="str">
        <x:v>1</x:v>
      </x:c>
      <x:c r="N337" s="2" t="str">
        <x:v>2</x:v>
      </x:c>
      <x:c r="O337" s="2" t="str">
        <x:v>0</x:v>
      </x:c>
      <x:c r="P337" s="2" t="str">
        <x:v>true</x:v>
      </x:c>
      <x:c r="Q337" s="2" t="str">
        <x:v>-43.123523120</x:v>
      </x:c>
      <x:c r="R337" s="2" t="str">
        <x:v>0.40612499287817627</x:v>
      </x:c>
      <x:c r="S337" s="2" t="str">
        <x:v>46.49873562439736</x:v>
      </x:c>
    </x:row>
    <x:row r="338">
      <x:c r="A338" s="2" t="str">
        <x:v>DE-CMP-01</x:v>
      </x:c>
      <x:c r="B338" s="2" t="str">
        <x:v>CFG-C01</x:v>
      </x:c>
      <x:c r="C338" s="2" t="n">
        <x:v>46227.70238086805</x:v>
      </x:c>
      <x:c r="D338" s="2" t="str">
        <x:v>adaptive</x:v>
      </x:c>
      <x:c r="E338" s="2" t="str">
        <x:v>single_carrier</x:v>
      </x:c>
      <x:c r="F338" s="2" t="str">
        <x:v>169</x:v>
      </x:c>
      <x:c r="G338" s="2" t="str">
        <x:v>3114272</x:v>
      </x:c>
      <x:c r="H338" s="2" t="str">
        <x:v>2048000.0</x:v>
      </x:c>
      <x:c r="I338" s="2" t="str">
        <x:v>8192</x:v>
      </x:c>
      <x:c r="J338" s="2" t="str">
        <x:v>250.0</x:v>
      </x:c>
      <x:c r="K338" s="2" t="str">
        <x:v>1</x:v>
      </x:c>
      <x:c r="L338" s="2" t="str">
        <x:v>3</x:v>
      </x:c>
      <x:c r="M338" s="2" t="str">
        <x:v>1</x:v>
      </x:c>
      <x:c r="N338" s="2" t="str">
        <x:v>2</x:v>
      </x:c>
      <x:c r="O338" s="2" t="str">
        <x:v>0</x:v>
      </x:c>
      <x:c r="P338" s="2" t="str">
        <x:v>true</x:v>
      </x:c>
      <x:c r="Q338" s="2" t="str">
        <x:v>-63.760199667</x:v>
      </x:c>
      <x:c r="R338" s="2" t="str">
        <x:v>0.423708013840951</x:v>
      </x:c>
      <x:c r="S338" s="2" t="str">
        <x:v>46.56084288558166</x:v>
      </x:c>
    </x:row>
    <x:row r="339">
      <x:c r="A339" s="2" t="str">
        <x:v>DE-CMP-01</x:v>
      </x:c>
      <x:c r="B339" s="2" t="str">
        <x:v>CFG-C01</x:v>
      </x:c>
      <x:c r="C339" s="2" t="n">
        <x:v>46227.70238086805</x:v>
      </x:c>
      <x:c r="D339" s="2" t="str">
        <x:v>os_cfar</x:v>
      </x:c>
      <x:c r="E339" s="2" t="str">
        <x:v>single_carrier</x:v>
      </x:c>
      <x:c r="F339" s="2" t="str">
        <x:v>169</x:v>
      </x:c>
      <x:c r="G339" s="2" t="str">
        <x:v>3114272</x:v>
      </x:c>
      <x:c r="H339" s="2" t="str">
        <x:v>2048000.0</x:v>
      </x:c>
      <x:c r="I339" s="2" t="str">
        <x:v>8192</x:v>
      </x:c>
      <x:c r="J339" s="2" t="str">
        <x:v>250.0</x:v>
      </x:c>
      <x:c r="K339" s="2" t="str">
        <x:v>1</x:v>
      </x:c>
      <x:c r="L339" s="2" t="str">
        <x:v>3</x:v>
      </x:c>
      <x:c r="M339" s="2" t="str">
        <x:v>1</x:v>
      </x:c>
      <x:c r="N339" s="2" t="str">
        <x:v>2</x:v>
      </x:c>
      <x:c r="O339" s="2" t="str">
        <x:v>0</x:v>
      </x:c>
      <x:c r="P339" s="2" t="str">
        <x:v>true</x:v>
      </x:c>
      <x:c r="Q339" s="2" t="str">
        <x:v>-63.760199667</x:v>
      </x:c>
      <x:c r="R339" s="2" t="str">
        <x:v>13.829666000674479</x:v>
      </x:c>
      <x:c r="S339" s="2" t="str">
        <x:v>48.35032951434452</x:v>
      </x:c>
    </x:row>
    <x:row r="340">
      <x:c r="A340" s="2" t="str">
        <x:v>DE-CMP-01</x:v>
      </x:c>
      <x:c r="B340" s="2" t="str">
        <x:v>CFG-C01</x:v>
      </x:c>
      <x:c r="C340" s="2" t="n">
        <x:v>46227.70238086805</x:v>
      </x:c>
      <x:c r="D340" s="2" t="str">
        <x:v>os_cfar</x:v>
      </x:c>
      <x:c r="E340" s="2" t="str">
        <x:v>single_carrier</x:v>
      </x:c>
      <x:c r="F340" s="2" t="str">
        <x:v>170</x:v>
      </x:c>
      <x:c r="G340" s="2" t="str">
        <x:v>3114273</x:v>
      </x:c>
      <x:c r="H340" s="2" t="str">
        <x:v>2048000.0</x:v>
      </x:c>
      <x:c r="I340" s="2" t="str">
        <x:v>8192</x:v>
      </x:c>
      <x:c r="J340" s="2" t="str">
        <x:v>250.0</x:v>
      </x:c>
      <x:c r="K340" s="2" t="str">
        <x:v>1</x:v>
      </x:c>
      <x:c r="L340" s="2" t="str">
        <x:v>3</x:v>
      </x:c>
      <x:c r="M340" s="2" t="str">
        <x:v>1</x:v>
      </x:c>
      <x:c r="N340" s="2" t="str">
        <x:v>2</x:v>
      </x:c>
      <x:c r="O340" s="2" t="str">
        <x:v>0</x:v>
      </x:c>
      <x:c r="P340" s="2" t="str">
        <x:v>true</x:v>
      </x:c>
      <x:c r="Q340" s="2" t="str">
        <x:v>-15.977347079</x:v>
      </x:c>
      <x:c r="R340" s="2" t="str">
        <x:v>13.91112498822622</x:v>
      </x:c>
      <x:c r="S340" s="2" t="str">
        <x:v>48.268689273575646</x:v>
      </x:c>
    </x:row>
    <x:row r="341">
      <x:c r="A341" s="2" t="str">
        <x:v>DE-CMP-01</x:v>
      </x:c>
      <x:c r="B341" s="2" t="str">
        <x:v>CFG-C01</x:v>
      </x:c>
      <x:c r="C341" s="2" t="n">
        <x:v>46227.70238086805</x:v>
      </x:c>
      <x:c r="D341" s="2" t="str">
        <x:v>adaptive</x:v>
      </x:c>
      <x:c r="E341" s="2" t="str">
        <x:v>single_carrier</x:v>
      </x:c>
      <x:c r="F341" s="2" t="str">
        <x:v>170</x:v>
      </x:c>
      <x:c r="G341" s="2" t="str">
        <x:v>3114273</x:v>
      </x:c>
      <x:c r="H341" s="2" t="str">
        <x:v>2048000.0</x:v>
      </x:c>
      <x:c r="I341" s="2" t="str">
        <x:v>8192</x:v>
      </x:c>
      <x:c r="J341" s="2" t="str">
        <x:v>250.0</x:v>
      </x:c>
      <x:c r="K341" s="2" t="str">
        <x:v>1</x:v>
      </x:c>
      <x:c r="L341" s="2" t="str">
        <x:v>3</x:v>
      </x:c>
      <x:c r="M341" s="2" t="str">
        <x:v>1</x:v>
      </x:c>
      <x:c r="N341" s="2" t="str">
        <x:v>2</x:v>
      </x:c>
      <x:c r="O341" s="2" t="str">
        <x:v>0</x:v>
      </x:c>
      <x:c r="P341" s="2" t="str">
        <x:v>true</x:v>
      </x:c>
      <x:c r="Q341" s="2" t="str">
        <x:v>-15.977347079</x:v>
      </x:c>
      <x:c r="R341" s="2" t="str">
        <x:v>0.3934170090360567</x:v>
      </x:c>
      <x:c r="S341" s="2" t="str">
        <x:v>46.453335611208374</x:v>
      </x:c>
    </x:row>
    <x:row r="342">
      <x:c r="A342" s="2" t="str">
        <x:v>DE-CMP-01</x:v>
      </x:c>
      <x:c r="B342" s="2" t="str">
        <x:v>CFG-C01</x:v>
      </x:c>
      <x:c r="C342" s="2" t="n">
        <x:v>46227.70238086805</x:v>
      </x:c>
      <x:c r="D342" s="2" t="str">
        <x:v>adaptive</x:v>
      </x:c>
      <x:c r="E342" s="2" t="str">
        <x:v>single_carrier</x:v>
      </x:c>
      <x:c r="F342" s="2" t="str">
        <x:v>171</x:v>
      </x:c>
      <x:c r="G342" s="2" t="str">
        <x:v>3114274</x:v>
      </x:c>
      <x:c r="H342" s="2" t="str">
        <x:v>2048000.0</x:v>
      </x:c>
      <x:c r="I342" s="2" t="str">
        <x:v>8192</x:v>
      </x:c>
      <x:c r="J342" s="2" t="str">
        <x:v>250.0</x:v>
      </x:c>
      <x:c r="K342" s="2" t="str">
        <x:v>1</x:v>
      </x:c>
      <x:c r="L342" s="2" t="str">
        <x:v>3</x:v>
      </x:c>
      <x:c r="M342" s="2" t="str">
        <x:v>1</x:v>
      </x:c>
      <x:c r="N342" s="2" t="str">
        <x:v>2</x:v>
      </x:c>
      <x:c r="O342" s="2" t="str">
        <x:v>0</x:v>
      </x:c>
      <x:c r="P342" s="2" t="str">
        <x:v>true</x:v>
      </x:c>
      <x:c r="Q342" s="2" t="str">
        <x:v>-80.188411844</x:v>
      </x:c>
      <x:c r="R342" s="2" t="str">
        <x:v>0.4101670056115836</x:v>
      </x:c>
      <x:c r="S342" s="2" t="str">
        <x:v>46.44593526774948</x:v>
      </x:c>
    </x:row>
    <x:row r="343">
      <x:c r="A343" s="2" t="str">
        <x:v>DE-CMP-01</x:v>
      </x:c>
      <x:c r="B343" s="2" t="str">
        <x:v>CFG-C01</x:v>
      </x:c>
      <x:c r="C343" s="2" t="n">
        <x:v>46227.70238086805</x:v>
      </x:c>
      <x:c r="D343" s="2" t="str">
        <x:v>os_cfar</x:v>
      </x:c>
      <x:c r="E343" s="2" t="str">
        <x:v>single_carrier</x:v>
      </x:c>
      <x:c r="F343" s="2" t="str">
        <x:v>171</x:v>
      </x:c>
      <x:c r="G343" s="2" t="str">
        <x:v>3114274</x:v>
      </x:c>
      <x:c r="H343" s="2" t="str">
        <x:v>2048000.0</x:v>
      </x:c>
      <x:c r="I343" s="2" t="str">
        <x:v>8192</x:v>
      </x:c>
      <x:c r="J343" s="2" t="str">
        <x:v>250.0</x:v>
      </x:c>
      <x:c r="K343" s="2" t="str">
        <x:v>1</x:v>
      </x:c>
      <x:c r="L343" s="2" t="str">
        <x:v>3</x:v>
      </x:c>
      <x:c r="M343" s="2" t="str">
        <x:v>1</x:v>
      </x:c>
      <x:c r="N343" s="2" t="str">
        <x:v>2</x:v>
      </x:c>
      <x:c r="O343" s="2" t="str">
        <x:v>0</x:v>
      </x:c>
      <x:c r="P343" s="2" t="str">
        <x:v>true</x:v>
      </x:c>
      <x:c r="Q343" s="2" t="str">
        <x:v>-80.188411844</x:v>
      </x:c>
      <x:c r="R343" s="2" t="str">
        <x:v>14.026874996488914</x:v>
      </x:c>
      <x:c r="S343" s="2" t="str">
        <x:v>48.21811505049272</x:v>
      </x:c>
    </x:row>
    <x:row r="344">
      <x:c r="A344" s="2" t="str">
        <x:v>DE-CMP-01</x:v>
      </x:c>
      <x:c r="B344" s="2" t="str">
        <x:v>CFG-C01</x:v>
      </x:c>
      <x:c r="C344" s="2" t="n">
        <x:v>46227.70238086805</x:v>
      </x:c>
      <x:c r="D344" s="2" t="str">
        <x:v>os_cfar</x:v>
      </x:c>
      <x:c r="E344" s="2" t="str">
        <x:v>single_carrier</x:v>
      </x:c>
      <x:c r="F344" s="2" t="str">
        <x:v>172</x:v>
      </x:c>
      <x:c r="G344" s="2" t="str">
        <x:v>3114275</x:v>
      </x:c>
      <x:c r="H344" s="2" t="str">
        <x:v>2048000.0</x:v>
      </x:c>
      <x:c r="I344" s="2" t="str">
        <x:v>8192</x:v>
      </x:c>
      <x:c r="J344" s="2" t="str">
        <x:v>250.0</x:v>
      </x:c>
      <x:c r="K344" s="2" t="str">
        <x:v>1</x:v>
      </x:c>
      <x:c r="L344" s="2" t="str">
        <x:v>3</x:v>
      </x:c>
      <x:c r="M344" s="2" t="str">
        <x:v>1</x:v>
      </x:c>
      <x:c r="N344" s="2" t="str">
        <x:v>2</x:v>
      </x:c>
      <x:c r="O344" s="2" t="str">
        <x:v>0</x:v>
      </x:c>
      <x:c r="P344" s="2" t="str">
        <x:v>true</x:v>
      </x:c>
      <x:c r="Q344" s="2" t="str">
        <x:v>20.358803179</x:v>
      </x:c>
      <x:c r="R344" s="2" t="str">
        <x:v>13.678875009645708</x:v>
      </x:c>
      <x:c r="S344" s="2" t="str">
        <x:v>48.34310919402783</x:v>
      </x:c>
    </x:row>
    <x:row r="345">
      <x:c r="A345" s="2" t="str">
        <x:v>DE-CMP-01</x:v>
      </x:c>
      <x:c r="B345" s="2" t="str">
        <x:v>CFG-C01</x:v>
      </x:c>
      <x:c r="C345" s="2" t="n">
        <x:v>46227.70238086805</x:v>
      </x:c>
      <x:c r="D345" s="2" t="str">
        <x:v>adaptive</x:v>
      </x:c>
      <x:c r="E345" s="2" t="str">
        <x:v>single_carrier</x:v>
      </x:c>
      <x:c r="F345" s="2" t="str">
        <x:v>172</x:v>
      </x:c>
      <x:c r="G345" s="2" t="str">
        <x:v>3114275</x:v>
      </x:c>
      <x:c r="H345" s="2" t="str">
        <x:v>2048000.0</x:v>
      </x:c>
      <x:c r="I345" s="2" t="str">
        <x:v>8192</x:v>
      </x:c>
      <x:c r="J345" s="2" t="str">
        <x:v>250.0</x:v>
      </x:c>
      <x:c r="K345" s="2" t="str">
        <x:v>1</x:v>
      </x:c>
      <x:c r="L345" s="2" t="str">
        <x:v>3</x:v>
      </x:c>
      <x:c r="M345" s="2" t="str">
        <x:v>1</x:v>
      </x:c>
      <x:c r="N345" s="2" t="str">
        <x:v>2</x:v>
      </x:c>
      <x:c r="O345" s="2" t="str">
        <x:v>0</x:v>
      </x:c>
      <x:c r="P345" s="2" t="str">
        <x:v>true</x:v>
      </x:c>
      <x:c r="Q345" s="2" t="str">
        <x:v>20.358803179</x:v>
      </x:c>
      <x:c r="R345" s="2" t="str">
        <x:v>0.41770799725782126</x:v>
      </x:c>
      <x:c r="S345" s="2" t="str">
        <x:v>46.658243482344915</x:v>
      </x:c>
    </x:row>
    <x:row r="346">
      <x:c r="A346" s="2" t="str">
        <x:v>DE-CMP-01</x:v>
      </x:c>
      <x:c r="B346" s="2" t="str">
        <x:v>CFG-C01</x:v>
      </x:c>
      <x:c r="C346" s="2" t="n">
        <x:v>46227.70238086805</x:v>
      </x:c>
      <x:c r="D346" s="2" t="str">
        <x:v>adaptive</x:v>
      </x:c>
      <x:c r="E346" s="2" t="str">
        <x:v>single_carrier</x:v>
      </x:c>
      <x:c r="F346" s="2" t="str">
        <x:v>173</x:v>
      </x:c>
      <x:c r="G346" s="2" t="str">
        <x:v>3114276</x:v>
      </x:c>
      <x:c r="H346" s="2" t="str">
        <x:v>2048000.0</x:v>
      </x:c>
      <x:c r="I346" s="2" t="str">
        <x:v>8192</x:v>
      </x:c>
      <x:c r="J346" s="2" t="str">
        <x:v>250.0</x:v>
      </x:c>
      <x:c r="K346" s="2" t="str">
        <x:v>1</x:v>
      </x:c>
      <x:c r="L346" s="2" t="str">
        <x:v>3</x:v>
      </x:c>
      <x:c r="M346" s="2" t="str">
        <x:v>1</x:v>
      </x:c>
      <x:c r="N346" s="2" t="str">
        <x:v>2</x:v>
      </x:c>
      <x:c r="O346" s="2" t="str">
        <x:v>0</x:v>
      </x:c>
      <x:c r="P346" s="2" t="str">
        <x:v>true</x:v>
      </x:c>
      <x:c r="Q346" s="2" t="str">
        <x:v>-53.572696765</x:v>
      </x:c>
      <x:c r="R346" s="2" t="str">
        <x:v>0.4175830108579248</x:v>
      </x:c>
      <x:c r="S346" s="2" t="str">
        <x:v>46.566519920878385</x:v>
      </x:c>
    </x:row>
    <x:row r="347">
      <x:c r="A347" s="2" t="str">
        <x:v>DE-CMP-01</x:v>
      </x:c>
      <x:c r="B347" s="2" t="str">
        <x:v>CFG-C01</x:v>
      </x:c>
      <x:c r="C347" s="2" t="n">
        <x:v>46227.70238086805</x:v>
      </x:c>
      <x:c r="D347" s="2" t="str">
        <x:v>os_cfar</x:v>
      </x:c>
      <x:c r="E347" s="2" t="str">
        <x:v>single_carrier</x:v>
      </x:c>
      <x:c r="F347" s="2" t="str">
        <x:v>173</x:v>
      </x:c>
      <x:c r="G347" s="2" t="str">
        <x:v>3114276</x:v>
      </x:c>
      <x:c r="H347" s="2" t="str">
        <x:v>2048000.0</x:v>
      </x:c>
      <x:c r="I347" s="2" t="str">
        <x:v>8192</x:v>
      </x:c>
      <x:c r="J347" s="2" t="str">
        <x:v>250.0</x:v>
      </x:c>
      <x:c r="K347" s="2" t="str">
        <x:v>1</x:v>
      </x:c>
      <x:c r="L347" s="2" t="str">
        <x:v>3</x:v>
      </x:c>
      <x:c r="M347" s="2" t="str">
        <x:v>1</x:v>
      </x:c>
      <x:c r="N347" s="2" t="str">
        <x:v>2</x:v>
      </x:c>
      <x:c r="O347" s="2" t="str">
        <x:v>0</x:v>
      </x:c>
      <x:c r="P347" s="2" t="str">
        <x:v>true</x:v>
      </x:c>
      <x:c r="Q347" s="2" t="str">
        <x:v>-53.572696765</x:v>
      </x:c>
      <x:c r="R347" s="2" t="str">
        <x:v>13.874833995942026</x:v>
      </x:c>
      <x:c r="S347" s="2" t="str">
        <x:v>48.30243489357122</x:v>
      </x:c>
    </x:row>
    <x:row r="348">
      <x:c r="A348" s="2" t="str">
        <x:v>DE-CMP-01</x:v>
      </x:c>
      <x:c r="B348" s="2" t="str">
        <x:v>CFG-C01</x:v>
      </x:c>
      <x:c r="C348" s="2" t="n">
        <x:v>46227.70238086805</x:v>
      </x:c>
      <x:c r="D348" s="2" t="str">
        <x:v>os_cfar</x:v>
      </x:c>
      <x:c r="E348" s="2" t="str">
        <x:v>single_carrier</x:v>
      </x:c>
      <x:c r="F348" s="2" t="str">
        <x:v>174</x:v>
      </x:c>
      <x:c r="G348" s="2" t="str">
        <x:v>3114277</x:v>
      </x:c>
      <x:c r="H348" s="2" t="str">
        <x:v>2048000.0</x:v>
      </x:c>
      <x:c r="I348" s="2" t="str">
        <x:v>8192</x:v>
      </x:c>
      <x:c r="J348" s="2" t="str">
        <x:v>250.0</x:v>
      </x:c>
      <x:c r="K348" s="2" t="str">
        <x:v>1</x:v>
      </x:c>
      <x:c r="L348" s="2" t="str">
        <x:v>3</x:v>
      </x:c>
      <x:c r="M348" s="2" t="str">
        <x:v>1</x:v>
      </x:c>
      <x:c r="N348" s="2" t="str">
        <x:v>2</x:v>
      </x:c>
      <x:c r="O348" s="2" t="str">
        <x:v>0</x:v>
      </x:c>
      <x:c r="P348" s="2" t="str">
        <x:v>true</x:v>
      </x:c>
      <x:c r="Q348" s="2" t="str">
        <x:v>-1.757304533</x:v>
      </x:c>
      <x:c r="R348" s="2" t="str">
        <x:v>14.203874990926124</x:v>
      </x:c>
      <x:c r="S348" s="2" t="str">
        <x:v>48.17856334176873</x:v>
      </x:c>
    </x:row>
    <x:row r="349">
      <x:c r="A349" s="2" t="str">
        <x:v>DE-CMP-01</x:v>
      </x:c>
      <x:c r="B349" s="2" t="str">
        <x:v>CFG-C01</x:v>
      </x:c>
      <x:c r="C349" s="2" t="n">
        <x:v>46227.70238086805</x:v>
      </x:c>
      <x:c r="D349" s="2" t="str">
        <x:v>adaptive</x:v>
      </x:c>
      <x:c r="E349" s="2" t="str">
        <x:v>single_carrier</x:v>
      </x:c>
      <x:c r="F349" s="2" t="str">
        <x:v>174</x:v>
      </x:c>
      <x:c r="G349" s="2" t="str">
        <x:v>3114277</x:v>
      </x:c>
      <x:c r="H349" s="2" t="str">
        <x:v>2048000.0</x:v>
      </x:c>
      <x:c r="I349" s="2" t="str">
        <x:v>8192</x:v>
      </x:c>
      <x:c r="J349" s="2" t="str">
        <x:v>250.0</x:v>
      </x:c>
      <x:c r="K349" s="2" t="str">
        <x:v>1</x:v>
      </x:c>
      <x:c r="L349" s="2" t="str">
        <x:v>3</x:v>
      </x:c>
      <x:c r="M349" s="2" t="str">
        <x:v>1</x:v>
      </x:c>
      <x:c r="N349" s="2" t="str">
        <x:v>2</x:v>
      </x:c>
      <x:c r="O349" s="2" t="str">
        <x:v>0</x:v>
      </x:c>
      <x:c r="P349" s="2" t="str">
        <x:v>true</x:v>
      </x:c>
      <x:c r="Q349" s="2" t="str">
        <x:v>-1.757304533</x:v>
      </x:c>
      <x:c r="R349" s="2" t="str">
        <x:v>0.41479199717286974</x:v>
      </x:c>
      <x:c r="S349" s="2" t="str">
        <x:v>46.35171034617218</x:v>
      </x:c>
    </x:row>
    <x:row r="350">
      <x:c r="A350" s="2" t="str">
        <x:v>DE-CMP-01</x:v>
      </x:c>
      <x:c r="B350" s="2" t="str">
        <x:v>CFG-C01</x:v>
      </x:c>
      <x:c r="C350" s="2" t="n">
        <x:v>46227.70238086805</x:v>
      </x:c>
      <x:c r="D350" s="2" t="str">
        <x:v>adaptive</x:v>
      </x:c>
      <x:c r="E350" s="2" t="str">
        <x:v>single_carrier</x:v>
      </x:c>
      <x:c r="F350" s="2" t="str">
        <x:v>175</x:v>
      </x:c>
      <x:c r="G350" s="2" t="str">
        <x:v>3114278</x:v>
      </x:c>
      <x:c r="H350" s="2" t="str">
        <x:v>2048000.0</x:v>
      </x:c>
      <x:c r="I350" s="2" t="str">
        <x:v>8192</x:v>
      </x:c>
      <x:c r="J350" s="2" t="str">
        <x:v>250.0</x:v>
      </x:c>
      <x:c r="K350" s="2" t="str">
        <x:v>1</x:v>
      </x:c>
      <x:c r="L350" s="2" t="str">
        <x:v>3</x:v>
      </x:c>
      <x:c r="M350" s="2" t="str">
        <x:v>1</x:v>
      </x:c>
      <x:c r="N350" s="2" t="str">
        <x:v>2</x:v>
      </x:c>
      <x:c r="O350" s="2" t="str">
        <x:v>0</x:v>
      </x:c>
      <x:c r="P350" s="2" t="str">
        <x:v>true</x:v>
      </x:c>
      <x:c r="Q350" s="2" t="str">
        <x:v>-53.726946925</x:v>
      </x:c>
      <x:c r="R350" s="2" t="str">
        <x:v>0.4088749992661178</x:v>
      </x:c>
      <x:c r="S350" s="2" t="str">
        <x:v>46.67450358761165</x:v>
      </x:c>
    </x:row>
    <x:row r="351">
      <x:c r="A351" s="2" t="str">
        <x:v>DE-CMP-01</x:v>
      </x:c>
      <x:c r="B351" s="2" t="str">
        <x:v>CFG-C01</x:v>
      </x:c>
      <x:c r="C351" s="2" t="n">
        <x:v>46227.70238086805</x:v>
      </x:c>
      <x:c r="D351" s="2" t="str">
        <x:v>os_cfar</x:v>
      </x:c>
      <x:c r="E351" s="2" t="str">
        <x:v>single_carrier</x:v>
      </x:c>
      <x:c r="F351" s="2" t="str">
        <x:v>175</x:v>
      </x:c>
      <x:c r="G351" s="2" t="str">
        <x:v>3114278</x:v>
      </x:c>
      <x:c r="H351" s="2" t="str">
        <x:v>2048000.0</x:v>
      </x:c>
      <x:c r="I351" s="2" t="str">
        <x:v>8192</x:v>
      </x:c>
      <x:c r="J351" s="2" t="str">
        <x:v>250.0</x:v>
      </x:c>
      <x:c r="K351" s="2" t="str">
        <x:v>1</x:v>
      </x:c>
      <x:c r="L351" s="2" t="str">
        <x:v>3</x:v>
      </x:c>
      <x:c r="M351" s="2" t="str">
        <x:v>1</x:v>
      </x:c>
      <x:c r="N351" s="2" t="str">
        <x:v>2</x:v>
      </x:c>
      <x:c r="O351" s="2" t="str">
        <x:v>0</x:v>
      </x:c>
      <x:c r="P351" s="2" t="str">
        <x:v>true</x:v>
      </x:c>
      <x:c r="Q351" s="2" t="str">
        <x:v>-53.726946925</x:v>
      </x:c>
      <x:c r="R351" s="2" t="str">
        <x:v>13.983749988256022</x:v>
      </x:c>
      <x:c r="S351" s="2" t="str">
        <x:v>48.29236289307347</x:v>
      </x:c>
    </x:row>
    <x:row r="352">
      <x:c r="A352" s="2" t="str">
        <x:v>DE-CMP-01</x:v>
      </x:c>
      <x:c r="B352" s="2" t="str">
        <x:v>CFG-C01</x:v>
      </x:c>
      <x:c r="C352" s="2" t="n">
        <x:v>46227.70238086805</x:v>
      </x:c>
      <x:c r="D352" s="2" t="str">
        <x:v>os_cfar</x:v>
      </x:c>
      <x:c r="E352" s="2" t="str">
        <x:v>single_carrier</x:v>
      </x:c>
      <x:c r="F352" s="2" t="str">
        <x:v>176</x:v>
      </x:c>
      <x:c r="G352" s="2" t="str">
        <x:v>3114279</x:v>
      </x:c>
      <x:c r="H352" s="2" t="str">
        <x:v>2048000.0</x:v>
      </x:c>
      <x:c r="I352" s="2" t="str">
        <x:v>8192</x:v>
      </x:c>
      <x:c r="J352" s="2" t="str">
        <x:v>250.0</x:v>
      </x:c>
      <x:c r="K352" s="2" t="str">
        <x:v>1</x:v>
      </x:c>
      <x:c r="L352" s="2" t="str">
        <x:v>3</x:v>
      </x:c>
      <x:c r="M352" s="2" t="str">
        <x:v>1</x:v>
      </x:c>
      <x:c r="N352" s="2" t="str">
        <x:v>2</x:v>
      </x:c>
      <x:c r="O352" s="2" t="str">
        <x:v>0</x:v>
      </x:c>
      <x:c r="P352" s="2" t="str">
        <x:v>true</x:v>
      </x:c>
      <x:c r="Q352" s="2" t="str">
        <x:v>108.723557004</x:v>
      </x:c>
      <x:c r="R352" s="2" t="str">
        <x:v>14.121832995442674</x:v>
      </x:c>
      <x:c r="S352" s="2" t="str">
        <x:v>48.100806558766855</x:v>
      </x:c>
    </x:row>
    <x:row r="353">
      <x:c r="A353" s="2" t="str">
        <x:v>DE-CMP-01</x:v>
      </x:c>
      <x:c r="B353" s="2" t="str">
        <x:v>CFG-C01</x:v>
      </x:c>
      <x:c r="C353" s="2" t="n">
        <x:v>46227.70238086805</x:v>
      </x:c>
      <x:c r="D353" s="2" t="str">
        <x:v>adaptive</x:v>
      </x:c>
      <x:c r="E353" s="2" t="str">
        <x:v>single_carrier</x:v>
      </x:c>
      <x:c r="F353" s="2" t="str">
        <x:v>176</x:v>
      </x:c>
      <x:c r="G353" s="2" t="str">
        <x:v>3114279</x:v>
      </x:c>
      <x:c r="H353" s="2" t="str">
        <x:v>2048000.0</x:v>
      </x:c>
      <x:c r="I353" s="2" t="str">
        <x:v>8192</x:v>
      </x:c>
      <x:c r="J353" s="2" t="str">
        <x:v>250.0</x:v>
      </x:c>
      <x:c r="K353" s="2" t="str">
        <x:v>1</x:v>
      </x:c>
      <x:c r="L353" s="2" t="str">
        <x:v>3</x:v>
      </x:c>
      <x:c r="M353" s="2" t="str">
        <x:v>1</x:v>
      </x:c>
      <x:c r="N353" s="2" t="str">
        <x:v>2</x:v>
      </x:c>
      <x:c r="O353" s="2" t="str">
        <x:v>0</x:v>
      </x:c>
      <x:c r="P353" s="2" t="str">
        <x:v>true</x:v>
      </x:c>
      <x:c r="Q353" s="2" t="str">
        <x:v>108.723557004</x:v>
      </x:c>
      <x:c r="R353" s="2" t="str">
        <x:v>0.45212500845082104</x:v>
      </x:c>
      <x:c r="S353" s="2" t="str">
        <x:v>46.4827504473577</x:v>
      </x:c>
    </x:row>
    <x:row r="354">
      <x:c r="A354" s="2" t="str">
        <x:v>DE-CMP-01</x:v>
      </x:c>
      <x:c r="B354" s="2" t="str">
        <x:v>CFG-C01</x:v>
      </x:c>
      <x:c r="C354" s="2" t="n">
        <x:v>46227.70238086805</x:v>
      </x:c>
      <x:c r="D354" s="2" t="str">
        <x:v>adaptive</x:v>
      </x:c>
      <x:c r="E354" s="2" t="str">
        <x:v>single_carrier</x:v>
      </x:c>
      <x:c r="F354" s="2" t="str">
        <x:v>177</x:v>
      </x:c>
      <x:c r="G354" s="2" t="str">
        <x:v>3114280</x:v>
      </x:c>
      <x:c r="H354" s="2" t="str">
        <x:v>2048000.0</x:v>
      </x:c>
      <x:c r="I354" s="2" t="str">
        <x:v>8192</x:v>
      </x:c>
      <x:c r="J354" s="2" t="str">
        <x:v>250.0</x:v>
      </x:c>
      <x:c r="K354" s="2" t="str">
        <x:v>1</x:v>
      </x:c>
      <x:c r="L354" s="2" t="str">
        <x:v>3</x:v>
      </x:c>
      <x:c r="M354" s="2" t="str">
        <x:v>1</x:v>
      </x:c>
      <x:c r="N354" s="2" t="str">
        <x:v>2</x:v>
      </x:c>
      <x:c r="O354" s="2" t="str">
        <x:v>0</x:v>
      </x:c>
      <x:c r="P354" s="2" t="str">
        <x:v>true</x:v>
      </x:c>
      <x:c r="Q354" s="2" t="str">
        <x:v>37.612403800</x:v>
      </x:c>
      <x:c r="R354" s="2" t="str">
        <x:v>0.4265829920768738</x:v>
      </x:c>
      <x:c r="S354" s="2" t="str">
        <x:v>46.4138662843036</x:v>
      </x:c>
    </x:row>
    <x:row r="355">
      <x:c r="A355" s="2" t="str">
        <x:v>DE-CMP-01</x:v>
      </x:c>
      <x:c r="B355" s="2" t="str">
        <x:v>CFG-C01</x:v>
      </x:c>
      <x:c r="C355" s="2" t="n">
        <x:v>46227.70238086805</x:v>
      </x:c>
      <x:c r="D355" s="2" t="str">
        <x:v>os_cfar</x:v>
      </x:c>
      <x:c r="E355" s="2" t="str">
        <x:v>single_carrier</x:v>
      </x:c>
      <x:c r="F355" s="2" t="str">
        <x:v>177</x:v>
      </x:c>
      <x:c r="G355" s="2" t="str">
        <x:v>3114280</x:v>
      </x:c>
      <x:c r="H355" s="2" t="str">
        <x:v>2048000.0</x:v>
      </x:c>
      <x:c r="I355" s="2" t="str">
        <x:v>8192</x:v>
      </x:c>
      <x:c r="J355" s="2" t="str">
        <x:v>250.0</x:v>
      </x:c>
      <x:c r="K355" s="2" t="str">
        <x:v>1</x:v>
      </x:c>
      <x:c r="L355" s="2" t="str">
        <x:v>3</x:v>
      </x:c>
      <x:c r="M355" s="2" t="str">
        <x:v>1</x:v>
      </x:c>
      <x:c r="N355" s="2" t="str">
        <x:v>2</x:v>
      </x:c>
      <x:c r="O355" s="2" t="str">
        <x:v>0</x:v>
      </x:c>
      <x:c r="P355" s="2" t="str">
        <x:v>true</x:v>
      </x:c>
      <x:c r="Q355" s="2" t="str">
        <x:v>37.612403800</x:v>
      </x:c>
      <x:c r="R355" s="2" t="str">
        <x:v>13.965082995127887</x:v>
      </x:c>
      <x:c r="S355" s="2" t="str">
        <x:v>48.297633047396815</x:v>
      </x:c>
    </x:row>
    <x:row r="356">
      <x:c r="A356" s="2" t="str">
        <x:v>DE-CMP-01</x:v>
      </x:c>
      <x:c r="B356" s="2" t="str">
        <x:v>CFG-C01</x:v>
      </x:c>
      <x:c r="C356" s="2" t="n">
        <x:v>46227.70238086805</x:v>
      </x:c>
      <x:c r="D356" s="2" t="str">
        <x:v>os_cfar</x:v>
      </x:c>
      <x:c r="E356" s="2" t="str">
        <x:v>single_carrier</x:v>
      </x:c>
      <x:c r="F356" s="2" t="str">
        <x:v>178</x:v>
      </x:c>
      <x:c r="G356" s="2" t="str">
        <x:v>3114281</x:v>
      </x:c>
      <x:c r="H356" s="2" t="str">
        <x:v>2048000.0</x:v>
      </x:c>
      <x:c r="I356" s="2" t="str">
        <x:v>8192</x:v>
      </x:c>
      <x:c r="J356" s="2" t="str">
        <x:v>250.0</x:v>
      </x:c>
      <x:c r="K356" s="2" t="str">
        <x:v>1</x:v>
      </x:c>
      <x:c r="L356" s="2" t="str">
        <x:v>3</x:v>
      </x:c>
      <x:c r="M356" s="2" t="str">
        <x:v>1</x:v>
      </x:c>
      <x:c r="N356" s="2" t="str">
        <x:v>2</x:v>
      </x:c>
      <x:c r="O356" s="2" t="str">
        <x:v>0</x:v>
      </x:c>
      <x:c r="P356" s="2" t="str">
        <x:v>true</x:v>
      </x:c>
      <x:c r="Q356" s="2" t="str">
        <x:v>-41.928785992</x:v>
      </x:c>
      <x:c r="R356" s="2" t="str">
        <x:v>13.96833299077116</x:v>
      </x:c>
      <x:c r="S356" s="2" t="str">
        <x:v>48.152883179196294</x:v>
      </x:c>
    </x:row>
    <x:row r="357">
      <x:c r="A357" s="2" t="str">
        <x:v>DE-CMP-01</x:v>
      </x:c>
      <x:c r="B357" s="2" t="str">
        <x:v>CFG-C01</x:v>
      </x:c>
      <x:c r="C357" s="2" t="n">
        <x:v>46227.70238086805</x:v>
      </x:c>
      <x:c r="D357" s="2" t="str">
        <x:v>adaptive</x:v>
      </x:c>
      <x:c r="E357" s="2" t="str">
        <x:v>single_carrier</x:v>
      </x:c>
      <x:c r="F357" s="2" t="str">
        <x:v>178</x:v>
      </x:c>
      <x:c r="G357" s="2" t="str">
        <x:v>3114281</x:v>
      </x:c>
      <x:c r="H357" s="2" t="str">
        <x:v>2048000.0</x:v>
      </x:c>
      <x:c r="I357" s="2" t="str">
        <x:v>8192</x:v>
      </x:c>
      <x:c r="J357" s="2" t="str">
        <x:v>250.0</x:v>
      </x:c>
      <x:c r="K357" s="2" t="str">
        <x:v>1</x:v>
      </x:c>
      <x:c r="L357" s="2" t="str">
        <x:v>3</x:v>
      </x:c>
      <x:c r="M357" s="2" t="str">
        <x:v>1</x:v>
      </x:c>
      <x:c r="N357" s="2" t="str">
        <x:v>2</x:v>
      </x:c>
      <x:c r="O357" s="2" t="str">
        <x:v>0</x:v>
      </x:c>
      <x:c r="P357" s="2" t="str">
        <x:v>true</x:v>
      </x:c>
      <x:c r="Q357" s="2" t="str">
        <x:v>-41.928785992</x:v>
      </x:c>
      <x:c r="R357" s="2" t="str">
        <x:v>0.40216700290329754</x:v>
      </x:c>
      <x:c r="S357" s="2" t="str">
        <x:v>46.398727209068745</x:v>
      </x:c>
    </x:row>
    <x:row r="358">
      <x:c r="A358" s="2" t="str">
        <x:v>DE-CMP-01</x:v>
      </x:c>
      <x:c r="B358" s="2" t="str">
        <x:v>CFG-C01</x:v>
      </x:c>
      <x:c r="C358" s="2" t="n">
        <x:v>46227.70238086805</x:v>
      </x:c>
      <x:c r="D358" s="2" t="str">
        <x:v>adaptive</x:v>
      </x:c>
      <x:c r="E358" s="2" t="str">
        <x:v>single_carrier</x:v>
      </x:c>
      <x:c r="F358" s="2" t="str">
        <x:v>179</x:v>
      </x:c>
      <x:c r="G358" s="2" t="str">
        <x:v>3114282</x:v>
      </x:c>
      <x:c r="H358" s="2" t="str">
        <x:v>2048000.0</x:v>
      </x:c>
      <x:c r="I358" s="2" t="str">
        <x:v>8192</x:v>
      </x:c>
      <x:c r="J358" s="2" t="str">
        <x:v>250.0</x:v>
      </x:c>
      <x:c r="K358" s="2" t="str">
        <x:v>1</x:v>
      </x:c>
      <x:c r="L358" s="2" t="str">
        <x:v>3</x:v>
      </x:c>
      <x:c r="M358" s="2" t="str">
        <x:v>1</x:v>
      </x:c>
      <x:c r="N358" s="2" t="str">
        <x:v>2</x:v>
      </x:c>
      <x:c r="O358" s="2" t="str">
        <x:v>0</x:v>
      </x:c>
      <x:c r="P358" s="2" t="str">
        <x:v>true</x:v>
      </x:c>
      <x:c r="Q358" s="2" t="str">
        <x:v>-59.668830842</x:v>
      </x:c>
      <x:c r="R358" s="2" t="str">
        <x:v>0.38750001112930477</x:v>
      </x:c>
      <x:c r="S358" s="2" t="str">
        <x:v>46.42659462291475</x:v>
      </x:c>
    </x:row>
    <x:row r="359">
      <x:c r="A359" s="2" t="str">
        <x:v>DE-CMP-01</x:v>
      </x:c>
      <x:c r="B359" s="2" t="str">
        <x:v>CFG-C01</x:v>
      </x:c>
      <x:c r="C359" s="2" t="n">
        <x:v>46227.70238086805</x:v>
      </x:c>
      <x:c r="D359" s="2" t="str">
        <x:v>os_cfar</x:v>
      </x:c>
      <x:c r="E359" s="2" t="str">
        <x:v>single_carrier</x:v>
      </x:c>
      <x:c r="F359" s="2" t="str">
        <x:v>179</x:v>
      </x:c>
      <x:c r="G359" s="2" t="str">
        <x:v>3114282</x:v>
      </x:c>
      <x:c r="H359" s="2" t="str">
        <x:v>2048000.0</x:v>
      </x:c>
      <x:c r="I359" s="2" t="str">
        <x:v>8192</x:v>
      </x:c>
      <x:c r="J359" s="2" t="str">
        <x:v>250.0</x:v>
      </x:c>
      <x:c r="K359" s="2" t="str">
        <x:v>1</x:v>
      </x:c>
      <x:c r="L359" s="2" t="str">
        <x:v>3</x:v>
      </x:c>
      <x:c r="M359" s="2" t="str">
        <x:v>1</x:v>
      </x:c>
      <x:c r="N359" s="2" t="str">
        <x:v>2</x:v>
      </x:c>
      <x:c r="O359" s="2" t="str">
        <x:v>0</x:v>
      </x:c>
      <x:c r="P359" s="2" t="str">
        <x:v>true</x:v>
      </x:c>
      <x:c r="Q359" s="2" t="str">
        <x:v>-59.668830842</x:v>
      </x:c>
      <x:c r="R359" s="2" t="str">
        <x:v>13.780000008409843</x:v>
      </x:c>
      <x:c r="S359" s="2" t="str">
        <x:v>48.36020045199368</x:v>
      </x:c>
    </x:row>
    <x:row r="360">
      <x:c r="A360" s="2" t="str">
        <x:v>DE-CMP-01</x:v>
      </x:c>
      <x:c r="B360" s="2" t="str">
        <x:v>CFG-C01</x:v>
      </x:c>
      <x:c r="C360" s="2" t="n">
        <x:v>46227.70238086805</x:v>
      </x:c>
      <x:c r="D360" s="2" t="str">
        <x:v>os_cfar</x:v>
      </x:c>
      <x:c r="E360" s="2" t="str">
        <x:v>single_carrier</x:v>
      </x:c>
      <x:c r="F360" s="2" t="str">
        <x:v>180</x:v>
      </x:c>
      <x:c r="G360" s="2" t="str">
        <x:v>3114283</x:v>
      </x:c>
      <x:c r="H360" s="2" t="str">
        <x:v>2048000.0</x:v>
      </x:c>
      <x:c r="I360" s="2" t="str">
        <x:v>8192</x:v>
      </x:c>
      <x:c r="J360" s="2" t="str">
        <x:v>250.0</x:v>
      </x:c>
      <x:c r="K360" s="2" t="str">
        <x:v>1</x:v>
      </x:c>
      <x:c r="L360" s="2" t="str">
        <x:v>3</x:v>
      </x:c>
      <x:c r="M360" s="2" t="str">
        <x:v>1</x:v>
      </x:c>
      <x:c r="N360" s="2" t="str">
        <x:v>2</x:v>
      </x:c>
      <x:c r="O360" s="2" t="str">
        <x:v>0</x:v>
      </x:c>
      <x:c r="P360" s="2" t="str">
        <x:v>true</x:v>
      </x:c>
      <x:c r="Q360" s="2" t="str">
        <x:v>-22.746643188</x:v>
      </x:c>
      <x:c r="R360" s="2" t="str">
        <x:v>13.861540996003896</x:v>
      </x:c>
      <x:c r="S360" s="2" t="str">
        <x:v>48.32668511602512</x:v>
      </x:c>
    </x:row>
    <x:row r="361">
      <x:c r="A361" s="2" t="str">
        <x:v>DE-CMP-01</x:v>
      </x:c>
      <x:c r="B361" s="2" t="str">
        <x:v>CFG-C01</x:v>
      </x:c>
      <x:c r="C361" s="2" t="n">
        <x:v>46227.70238086805</x:v>
      </x:c>
      <x:c r="D361" s="2" t="str">
        <x:v>adaptive</x:v>
      </x:c>
      <x:c r="E361" s="2" t="str">
        <x:v>single_carrier</x:v>
      </x:c>
      <x:c r="F361" s="2" t="str">
        <x:v>180</x:v>
      </x:c>
      <x:c r="G361" s="2" t="str">
        <x:v>3114283</x:v>
      </x:c>
      <x:c r="H361" s="2" t="str">
        <x:v>2048000.0</x:v>
      </x:c>
      <x:c r="I361" s="2" t="str">
        <x:v>8192</x:v>
      </x:c>
      <x:c r="J361" s="2" t="str">
        <x:v>250.0</x:v>
      </x:c>
      <x:c r="K361" s="2" t="str">
        <x:v>1</x:v>
      </x:c>
      <x:c r="L361" s="2" t="str">
        <x:v>3</x:v>
      </x:c>
      <x:c r="M361" s="2" t="str">
        <x:v>1</x:v>
      </x:c>
      <x:c r="N361" s="2" t="str">
        <x:v>2</x:v>
      </x:c>
      <x:c r="O361" s="2" t="str">
        <x:v>0</x:v>
      </x:c>
      <x:c r="P361" s="2" t="str">
        <x:v>true</x:v>
      </x:c>
      <x:c r="Q361" s="2" t="str">
        <x:v>-22.746643188</x:v>
      </x:c>
      <x:c r="R361" s="2" t="str">
        <x:v>0.41741599852684885</x:v>
      </x:c>
      <x:c r="S361" s="2" t="str">
        <x:v>46.375825661771614</x:v>
      </x:c>
    </x:row>
    <x:row r="362">
      <x:c r="A362" s="2" t="str">
        <x:v>DE-CMP-01</x:v>
      </x:c>
      <x:c r="B362" s="2" t="str">
        <x:v>CFG-C01</x:v>
      </x:c>
      <x:c r="C362" s="2" t="n">
        <x:v>46227.70238086805</x:v>
      </x:c>
      <x:c r="D362" s="2" t="str">
        <x:v>adaptive</x:v>
      </x:c>
      <x:c r="E362" s="2" t="str">
        <x:v>single_carrier</x:v>
      </x:c>
      <x:c r="F362" s="2" t="str">
        <x:v>181</x:v>
      </x:c>
      <x:c r="G362" s="2" t="str">
        <x:v>3114284</x:v>
      </x:c>
      <x:c r="H362" s="2" t="str">
        <x:v>2048000.0</x:v>
      </x:c>
      <x:c r="I362" s="2" t="str">
        <x:v>8192</x:v>
      </x:c>
      <x:c r="J362" s="2" t="str">
        <x:v>250.0</x:v>
      </x:c>
      <x:c r="K362" s="2" t="str">
        <x:v>1</x:v>
      </x:c>
      <x:c r="L362" s="2" t="str">
        <x:v>3</x:v>
      </x:c>
      <x:c r="M362" s="2" t="str">
        <x:v>1</x:v>
      </x:c>
      <x:c r="N362" s="2" t="str">
        <x:v>2</x:v>
      </x:c>
      <x:c r="O362" s="2" t="str">
        <x:v>0</x:v>
      </x:c>
      <x:c r="P362" s="2" t="str">
        <x:v>true</x:v>
      </x:c>
      <x:c r="Q362" s="2" t="str">
        <x:v>-124.111149560</x:v>
      </x:c>
      <x:c r="R362" s="2" t="str">
        <x:v>0.4125830018892884</x:v>
      </x:c>
      <x:c r="S362" s="2" t="str">
        <x:v>46.39354022302385</x:v>
      </x:c>
    </x:row>
    <x:row r="363">
      <x:c r="A363" s="2" t="str">
        <x:v>DE-CMP-01</x:v>
      </x:c>
      <x:c r="B363" s="2" t="str">
        <x:v>CFG-C01</x:v>
      </x:c>
      <x:c r="C363" s="2" t="n">
        <x:v>46227.70238086805</x:v>
      </x:c>
      <x:c r="D363" s="2" t="str">
        <x:v>os_cfar</x:v>
      </x:c>
      <x:c r="E363" s="2" t="str">
        <x:v>single_carrier</x:v>
      </x:c>
      <x:c r="F363" s="2" t="str">
        <x:v>181</x:v>
      </x:c>
      <x:c r="G363" s="2" t="str">
        <x:v>3114284</x:v>
      </x:c>
      <x:c r="H363" s="2" t="str">
        <x:v>2048000.0</x:v>
      </x:c>
      <x:c r="I363" s="2" t="str">
        <x:v>8192</x:v>
      </x:c>
      <x:c r="J363" s="2" t="str">
        <x:v>250.0</x:v>
      </x:c>
      <x:c r="K363" s="2" t="str">
        <x:v>1</x:v>
      </x:c>
      <x:c r="L363" s="2" t="str">
        <x:v>3</x:v>
      </x:c>
      <x:c r="M363" s="2" t="str">
        <x:v>1</x:v>
      </x:c>
      <x:c r="N363" s="2" t="str">
        <x:v>2</x:v>
      </x:c>
      <x:c r="O363" s="2" t="str">
        <x:v>0</x:v>
      </x:c>
      <x:c r="P363" s="2" t="str">
        <x:v>true</x:v>
      </x:c>
      <x:c r="Q363" s="2" t="str">
        <x:v>-124.111149560</x:v>
      </x:c>
      <x:c r="R363" s="2" t="str">
        <x:v>13.982417003717273</x:v>
      </x:c>
      <x:c r="S363" s="2" t="str">
        <x:v>48.229730011120836</x:v>
      </x:c>
    </x:row>
    <x:row r="364">
      <x:c r="A364" s="2" t="str">
        <x:v>DE-CMP-01</x:v>
      </x:c>
      <x:c r="B364" s="2" t="str">
        <x:v>CFG-C01</x:v>
      </x:c>
      <x:c r="C364" s="2" t="n">
        <x:v>46227.70238086805</x:v>
      </x:c>
      <x:c r="D364" s="2" t="str">
        <x:v>os_cfar</x:v>
      </x:c>
      <x:c r="E364" s="2" t="str">
        <x:v>single_carrier</x:v>
      </x:c>
      <x:c r="F364" s="2" t="str">
        <x:v>182</x:v>
      </x:c>
      <x:c r="G364" s="2" t="str">
        <x:v>3114285</x:v>
      </x:c>
      <x:c r="H364" s="2" t="str">
        <x:v>2048000.0</x:v>
      </x:c>
      <x:c r="I364" s="2" t="str">
        <x:v>8192</x:v>
      </x:c>
      <x:c r="J364" s="2" t="str">
        <x:v>250.0</x:v>
      </x:c>
      <x:c r="K364" s="2" t="str">
        <x:v>1</x:v>
      </x:c>
      <x:c r="L364" s="2" t="str">
        <x:v>3</x:v>
      </x:c>
      <x:c r="M364" s="2" t="str">
        <x:v>1</x:v>
      </x:c>
      <x:c r="N364" s="2" t="str">
        <x:v>2</x:v>
      </x:c>
      <x:c r="O364" s="2" t="str">
        <x:v>0</x:v>
      </x:c>
      <x:c r="P364" s="2" t="str">
        <x:v>true</x:v>
      </x:c>
      <x:c r="Q364" s="2" t="str">
        <x:v>-76.870807257</x:v>
      </x:c>
      <x:c r="R364" s="2" t="str">
        <x:v>14.190542002324946</x:v>
      </x:c>
      <x:c r="S364" s="2" t="str">
        <x:v>48.153990052753755</x:v>
      </x:c>
    </x:row>
    <x:row r="365">
      <x:c r="A365" s="2" t="str">
        <x:v>DE-CMP-01</x:v>
      </x:c>
      <x:c r="B365" s="2" t="str">
        <x:v>CFG-C01</x:v>
      </x:c>
      <x:c r="C365" s="2" t="n">
        <x:v>46227.70238086805</x:v>
      </x:c>
      <x:c r="D365" s="2" t="str">
        <x:v>adaptive</x:v>
      </x:c>
      <x:c r="E365" s="2" t="str">
        <x:v>single_carrier</x:v>
      </x:c>
      <x:c r="F365" s="2" t="str">
        <x:v>182</x:v>
      </x:c>
      <x:c r="G365" s="2" t="str">
        <x:v>3114285</x:v>
      </x:c>
      <x:c r="H365" s="2" t="str">
        <x:v>2048000.0</x:v>
      </x:c>
      <x:c r="I365" s="2" t="str">
        <x:v>8192</x:v>
      </x:c>
      <x:c r="J365" s="2" t="str">
        <x:v>250.0</x:v>
      </x:c>
      <x:c r="K365" s="2" t="str">
        <x:v>1</x:v>
      </x:c>
      <x:c r="L365" s="2" t="str">
        <x:v>3</x:v>
      </x:c>
      <x:c r="M365" s="2" t="str">
        <x:v>1</x:v>
      </x:c>
      <x:c r="N365" s="2" t="str">
        <x:v>2</x:v>
      </x:c>
      <x:c r="O365" s="2" t="str">
        <x:v>0</x:v>
      </x:c>
      <x:c r="P365" s="2" t="str">
        <x:v>true</x:v>
      </x:c>
      <x:c r="Q365" s="2" t="str">
        <x:v>-76.870807257</x:v>
      </x:c>
      <x:c r="R365" s="2" t="str">
        <x:v>0.4281659930711612</x:v>
      </x:c>
      <x:c r="S365" s="2" t="str">
        <x:v>46.35628413972201</x:v>
      </x:c>
    </x:row>
    <x:row r="366">
      <x:c r="A366" s="2" t="str">
        <x:v>DE-CMP-01</x:v>
      </x:c>
      <x:c r="B366" s="2" t="str">
        <x:v>CFG-C01</x:v>
      </x:c>
      <x:c r="C366" s="2" t="n">
        <x:v>46227.70238086805</x:v>
      </x:c>
      <x:c r="D366" s="2" t="str">
        <x:v>adaptive</x:v>
      </x:c>
      <x:c r="E366" s="2" t="str">
        <x:v>single_carrier</x:v>
      </x:c>
      <x:c r="F366" s="2" t="str">
        <x:v>183</x:v>
      </x:c>
      <x:c r="G366" s="2" t="str">
        <x:v>3114286</x:v>
      </x:c>
      <x:c r="H366" s="2" t="str">
        <x:v>2048000.0</x:v>
      </x:c>
      <x:c r="I366" s="2" t="str">
        <x:v>8192</x:v>
      </x:c>
      <x:c r="J366" s="2" t="str">
        <x:v>250.0</x:v>
      </x:c>
      <x:c r="K366" s="2" t="str">
        <x:v>1</x:v>
      </x:c>
      <x:c r="L366" s="2" t="str">
        <x:v>3</x:v>
      </x:c>
      <x:c r="M366" s="2" t="str">
        <x:v>1</x:v>
      </x:c>
      <x:c r="N366" s="2" t="str">
        <x:v>2</x:v>
      </x:c>
      <x:c r="O366" s="2" t="str">
        <x:v>0</x:v>
      </x:c>
      <x:c r="P366" s="2" t="str">
        <x:v>true</x:v>
      </x:c>
      <x:c r="Q366" s="2" t="str">
        <x:v>35.445374530</x:v>
      </x:c>
      <x:c r="R366" s="2" t="str">
        <x:v>0.41779100138228387</x:v>
      </x:c>
      <x:c r="S366" s="2" t="str">
        <x:v>46.48421592860129</x:v>
      </x:c>
    </x:row>
    <x:row r="367">
      <x:c r="A367" s="2" t="str">
        <x:v>DE-CMP-01</x:v>
      </x:c>
      <x:c r="B367" s="2" t="str">
        <x:v>CFG-C01</x:v>
      </x:c>
      <x:c r="C367" s="2" t="n">
        <x:v>46227.70238086805</x:v>
      </x:c>
      <x:c r="D367" s="2" t="str">
        <x:v>os_cfar</x:v>
      </x:c>
      <x:c r="E367" s="2" t="str">
        <x:v>single_carrier</x:v>
      </x:c>
      <x:c r="F367" s="2" t="str">
        <x:v>183</x:v>
      </x:c>
      <x:c r="G367" s="2" t="str">
        <x:v>3114286</x:v>
      </x:c>
      <x:c r="H367" s="2" t="str">
        <x:v>2048000.0</x:v>
      </x:c>
      <x:c r="I367" s="2" t="str">
        <x:v>8192</x:v>
      </x:c>
      <x:c r="J367" s="2" t="str">
        <x:v>250.0</x:v>
      </x:c>
      <x:c r="K367" s="2" t="str">
        <x:v>1</x:v>
      </x:c>
      <x:c r="L367" s="2" t="str">
        <x:v>3</x:v>
      </x:c>
      <x:c r="M367" s="2" t="str">
        <x:v>1</x:v>
      </x:c>
      <x:c r="N367" s="2" t="str">
        <x:v>2</x:v>
      </x:c>
      <x:c r="O367" s="2" t="str">
        <x:v>0</x:v>
      </x:c>
      <x:c r="P367" s="2" t="str">
        <x:v>true</x:v>
      </x:c>
      <x:c r="Q367" s="2" t="str">
        <x:v>35.445374530</x:v>
      </x:c>
      <x:c r="R367" s="2" t="str">
        <x:v>14.044124996871687</x:v>
      </x:c>
      <x:c r="S367" s="2" t="str">
        <x:v>48.24446637916678</x:v>
      </x:c>
    </x:row>
    <x:row r="368">
      <x:c r="A368" s="2" t="str">
        <x:v>DE-CMP-01</x:v>
      </x:c>
      <x:c r="B368" s="2" t="str">
        <x:v>CFG-C01</x:v>
      </x:c>
      <x:c r="C368" s="2" t="n">
        <x:v>46227.70238086805</x:v>
      </x:c>
      <x:c r="D368" s="2" t="str">
        <x:v>os_cfar</x:v>
      </x:c>
      <x:c r="E368" s="2" t="str">
        <x:v>single_carrier</x:v>
      </x:c>
      <x:c r="F368" s="2" t="str">
        <x:v>184</x:v>
      </x:c>
      <x:c r="G368" s="2" t="str">
        <x:v>3114287</x:v>
      </x:c>
      <x:c r="H368" s="2" t="str">
        <x:v>2048000.0</x:v>
      </x:c>
      <x:c r="I368" s="2" t="str">
        <x:v>8192</x:v>
      </x:c>
      <x:c r="J368" s="2" t="str">
        <x:v>250.0</x:v>
      </x:c>
      <x:c r="K368" s="2" t="str">
        <x:v>1</x:v>
      </x:c>
      <x:c r="L368" s="2" t="str">
        <x:v>3</x:v>
      </x:c>
      <x:c r="M368" s="2" t="str">
        <x:v>1</x:v>
      </x:c>
      <x:c r="N368" s="2" t="str">
        <x:v>2</x:v>
      </x:c>
      <x:c r="O368" s="2" t="str">
        <x:v>0</x:v>
      </x:c>
      <x:c r="P368" s="2" t="str">
        <x:v>true</x:v>
      </x:c>
      <x:c r="Q368" s="2" t="str">
        <x:v>-37.777183743</x:v>
      </x:c>
      <x:c r="R368" s="2" t="str">
        <x:v>14.019500013091601</x:v>
      </x:c>
      <x:c r="S368" s="2" t="str">
        <x:v>48.17942845365056</x:v>
      </x:c>
    </x:row>
    <x:row r="369">
      <x:c r="A369" s="2" t="str">
        <x:v>DE-CMP-01</x:v>
      </x:c>
      <x:c r="B369" s="2" t="str">
        <x:v>CFG-C01</x:v>
      </x:c>
      <x:c r="C369" s="2" t="n">
        <x:v>46227.70238086805</x:v>
      </x:c>
      <x:c r="D369" s="2" t="str">
        <x:v>adaptive</x:v>
      </x:c>
      <x:c r="E369" s="2" t="str">
        <x:v>single_carrier</x:v>
      </x:c>
      <x:c r="F369" s="2" t="str">
        <x:v>184</x:v>
      </x:c>
      <x:c r="G369" s="2" t="str">
        <x:v>3114287</x:v>
      </x:c>
      <x:c r="H369" s="2" t="str">
        <x:v>2048000.0</x:v>
      </x:c>
      <x:c r="I369" s="2" t="str">
        <x:v>8192</x:v>
      </x:c>
      <x:c r="J369" s="2" t="str">
        <x:v>250.0</x:v>
      </x:c>
      <x:c r="K369" s="2" t="str">
        <x:v>1</x:v>
      </x:c>
      <x:c r="L369" s="2" t="str">
        <x:v>3</x:v>
      </x:c>
      <x:c r="M369" s="2" t="str">
        <x:v>1</x:v>
      </x:c>
      <x:c r="N369" s="2" t="str">
        <x:v>2</x:v>
      </x:c>
      <x:c r="O369" s="2" t="str">
        <x:v>0</x:v>
      </x:c>
      <x:c r="P369" s="2" t="str">
        <x:v>true</x:v>
      </x:c>
      <x:c r="Q369" s="2" t="str">
        <x:v>-37.777183743</x:v>
      </x:c>
      <x:c r="R369" s="2" t="str">
        <x:v>0.4041669890284538</x:v>
      </x:c>
      <x:c r="S369" s="2" t="str">
        <x:v>46.31954345663851</x:v>
      </x:c>
    </x:row>
    <x:row r="370">
      <x:c r="A370" s="2" t="str">
        <x:v>DE-CMP-01</x:v>
      </x:c>
      <x:c r="B370" s="2" t="str">
        <x:v>CFG-C01</x:v>
      </x:c>
      <x:c r="C370" s="2" t="n">
        <x:v>46227.70238086805</x:v>
      </x:c>
      <x:c r="D370" s="2" t="str">
        <x:v>adaptive</x:v>
      </x:c>
      <x:c r="E370" s="2" t="str">
        <x:v>single_carrier</x:v>
      </x:c>
      <x:c r="F370" s="2" t="str">
        <x:v>185</x:v>
      </x:c>
      <x:c r="G370" s="2" t="str">
        <x:v>3114288</x:v>
      </x:c>
      <x:c r="H370" s="2" t="str">
        <x:v>2048000.0</x:v>
      </x:c>
      <x:c r="I370" s="2" t="str">
        <x:v>8192</x:v>
      </x:c>
      <x:c r="J370" s="2" t="str">
        <x:v>250.0</x:v>
      </x:c>
      <x:c r="K370" s="2" t="str">
        <x:v>1</x:v>
      </x:c>
      <x:c r="L370" s="2" t="str">
        <x:v>3</x:v>
      </x:c>
      <x:c r="M370" s="2" t="str">
        <x:v>1</x:v>
      </x:c>
      <x:c r="N370" s="2" t="str">
        <x:v>2</x:v>
      </x:c>
      <x:c r="O370" s="2" t="str">
        <x:v>0</x:v>
      </x:c>
      <x:c r="P370" s="2" t="str">
        <x:v>true</x:v>
      </x:c>
      <x:c r="Q370" s="2" t="str">
        <x:v>-108.675486336</x:v>
      </x:c>
      <x:c r="R370" s="2" t="str">
        <x:v>0.40033400000538677</x:v>
      </x:c>
      <x:c r="S370" s="2" t="str">
        <x:v>46.467313744435145</x:v>
      </x:c>
    </x:row>
    <x:row r="371">
      <x:c r="A371" s="2" t="str">
        <x:v>DE-CMP-01</x:v>
      </x:c>
      <x:c r="B371" s="2" t="str">
        <x:v>CFG-C01</x:v>
      </x:c>
      <x:c r="C371" s="2" t="n">
        <x:v>46227.70238086805</x:v>
      </x:c>
      <x:c r="D371" s="2" t="str">
        <x:v>os_cfar</x:v>
      </x:c>
      <x:c r="E371" s="2" t="str">
        <x:v>single_carrier</x:v>
      </x:c>
      <x:c r="F371" s="2" t="str">
        <x:v>185</x:v>
      </x:c>
      <x:c r="G371" s="2" t="str">
        <x:v>3114288</x:v>
      </x:c>
      <x:c r="H371" s="2" t="str">
        <x:v>2048000.0</x:v>
      </x:c>
      <x:c r="I371" s="2" t="str">
        <x:v>8192</x:v>
      </x:c>
      <x:c r="J371" s="2" t="str">
        <x:v>250.0</x:v>
      </x:c>
      <x:c r="K371" s="2" t="str">
        <x:v>1</x:v>
      </x:c>
      <x:c r="L371" s="2" t="str">
        <x:v>3</x:v>
      </x:c>
      <x:c r="M371" s="2" t="str">
        <x:v>1</x:v>
      </x:c>
      <x:c r="N371" s="2" t="str">
        <x:v>2</x:v>
      </x:c>
      <x:c r="O371" s="2" t="str">
        <x:v>0</x:v>
      </x:c>
      <x:c r="P371" s="2" t="str">
        <x:v>true</x:v>
      </x:c>
      <x:c r="Q371" s="2" t="str">
        <x:v>-108.675486336</x:v>
      </x:c>
      <x:c r="R371" s="2" t="str">
        <x:v>14.010374987265095</x:v>
      </x:c>
      <x:c r="S371" s="2" t="str">
        <x:v>48.138446264115316</x:v>
      </x:c>
    </x:row>
    <x:row r="372">
      <x:c r="A372" s="2" t="str">
        <x:v>DE-CMP-01</x:v>
      </x:c>
      <x:c r="B372" s="2" t="str">
        <x:v>CFG-C01</x:v>
      </x:c>
      <x:c r="C372" s="2" t="n">
        <x:v>46227.70238086805</x:v>
      </x:c>
      <x:c r="D372" s="2" t="str">
        <x:v>os_cfar</x:v>
      </x:c>
      <x:c r="E372" s="2" t="str">
        <x:v>single_carrier</x:v>
      </x:c>
      <x:c r="F372" s="2" t="str">
        <x:v>186</x:v>
      </x:c>
      <x:c r="G372" s="2" t="str">
        <x:v>3114289</x:v>
      </x:c>
      <x:c r="H372" s="2" t="str">
        <x:v>2048000.0</x:v>
      </x:c>
      <x:c r="I372" s="2" t="str">
        <x:v>8192</x:v>
      </x:c>
      <x:c r="J372" s="2" t="str">
        <x:v>250.0</x:v>
      </x:c>
      <x:c r="K372" s="2" t="str">
        <x:v>1</x:v>
      </x:c>
      <x:c r="L372" s="2" t="str">
        <x:v>3</x:v>
      </x:c>
      <x:c r="M372" s="2" t="str">
        <x:v>1</x:v>
      </x:c>
      <x:c r="N372" s="2" t="str">
        <x:v>2</x:v>
      </x:c>
      <x:c r="O372" s="2" t="str">
        <x:v>0</x:v>
      </x:c>
      <x:c r="P372" s="2" t="str">
        <x:v>true</x:v>
      </x:c>
      <x:c r="Q372" s="2" t="str">
        <x:v>-66.193896290</x:v>
      </x:c>
      <x:c r="R372" s="2" t="str">
        <x:v>14.033958010259084</x:v>
      </x:c>
      <x:c r="S372" s="2" t="str">
        <x:v>48.21657058224809</x:v>
      </x:c>
    </x:row>
    <x:row r="373">
      <x:c r="A373" s="2" t="str">
        <x:v>DE-CMP-01</x:v>
      </x:c>
      <x:c r="B373" s="2" t="str">
        <x:v>CFG-C01</x:v>
      </x:c>
      <x:c r="C373" s="2" t="n">
        <x:v>46227.70238086805</x:v>
      </x:c>
      <x:c r="D373" s="2" t="str">
        <x:v>adaptive</x:v>
      </x:c>
      <x:c r="E373" s="2" t="str">
        <x:v>single_carrier</x:v>
      </x:c>
      <x:c r="F373" s="2" t="str">
        <x:v>186</x:v>
      </x:c>
      <x:c r="G373" s="2" t="str">
        <x:v>3114289</x:v>
      </x:c>
      <x:c r="H373" s="2" t="str">
        <x:v>2048000.0</x:v>
      </x:c>
      <x:c r="I373" s="2" t="str">
        <x:v>8192</x:v>
      </x:c>
      <x:c r="J373" s="2" t="str">
        <x:v>250.0</x:v>
      </x:c>
      <x:c r="K373" s="2" t="str">
        <x:v>1</x:v>
      </x:c>
      <x:c r="L373" s="2" t="str">
        <x:v>3</x:v>
      </x:c>
      <x:c r="M373" s="2" t="str">
        <x:v>1</x:v>
      </x:c>
      <x:c r="N373" s="2" t="str">
        <x:v>2</x:v>
      </x:c>
      <x:c r="O373" s="2" t="str">
        <x:v>0</x:v>
      </x:c>
      <x:c r="P373" s="2" t="str">
        <x:v>true</x:v>
      </x:c>
      <x:c r="Q373" s="2" t="str">
        <x:v>-66.193896290</x:v>
      </x:c>
      <x:c r="R373" s="2" t="str">
        <x:v>0.3923339972971007</x:v>
      </x:c>
      <x:c r="S373" s="2" t="str">
        <x:v>46.33144234047599</x:v>
      </x:c>
    </x:row>
    <x:row r="374">
      <x:c r="A374" s="2" t="str">
        <x:v>DE-CMP-01</x:v>
      </x:c>
      <x:c r="B374" s="2" t="str">
        <x:v>CFG-C01</x:v>
      </x:c>
      <x:c r="C374" s="2" t="n">
        <x:v>46227.70238086805</x:v>
      </x:c>
      <x:c r="D374" s="2" t="str">
        <x:v>adaptive</x:v>
      </x:c>
      <x:c r="E374" s="2" t="str">
        <x:v>single_carrier</x:v>
      </x:c>
      <x:c r="F374" s="2" t="str">
        <x:v>187</x:v>
      </x:c>
      <x:c r="G374" s="2" t="str">
        <x:v>3114290</x:v>
      </x:c>
      <x:c r="H374" s="2" t="str">
        <x:v>2048000.0</x:v>
      </x:c>
      <x:c r="I374" s="2" t="str">
        <x:v>8192</x:v>
      </x:c>
      <x:c r="J374" s="2" t="str">
        <x:v>250.0</x:v>
      </x:c>
      <x:c r="K374" s="2" t="str">
        <x:v>1</x:v>
      </x:c>
      <x:c r="L374" s="2" t="str">
        <x:v>3</x:v>
      </x:c>
      <x:c r="M374" s="2" t="str">
        <x:v>1</x:v>
      </x:c>
      <x:c r="N374" s="2" t="str">
        <x:v>2</x:v>
      </x:c>
      <x:c r="O374" s="2" t="str">
        <x:v>0</x:v>
      </x:c>
      <x:c r="P374" s="2" t="str">
        <x:v>true</x:v>
      </x:c>
      <x:c r="Q374" s="2" t="str">
        <x:v>31.274940051</x:v>
      </x:c>
      <x:c r="R374" s="2" t="str">
        <x:v>0.3961249894928187</x:v>
      </x:c>
      <x:c r="S374" s="2" t="str">
        <x:v>46.38771924716815</x:v>
      </x:c>
    </x:row>
    <x:row r="375">
      <x:c r="A375" s="2" t="str">
        <x:v>DE-CMP-01</x:v>
      </x:c>
      <x:c r="B375" s="2" t="str">
        <x:v>CFG-C01</x:v>
      </x:c>
      <x:c r="C375" s="2" t="n">
        <x:v>46227.70238086805</x:v>
      </x:c>
      <x:c r="D375" s="2" t="str">
        <x:v>os_cfar</x:v>
      </x:c>
      <x:c r="E375" s="2" t="str">
        <x:v>single_carrier</x:v>
      </x:c>
      <x:c r="F375" s="2" t="str">
        <x:v>187</x:v>
      </x:c>
      <x:c r="G375" s="2" t="str">
        <x:v>3114290</x:v>
      </x:c>
      <x:c r="H375" s="2" t="str">
        <x:v>2048000.0</x:v>
      </x:c>
      <x:c r="I375" s="2" t="str">
        <x:v>8192</x:v>
      </x:c>
      <x:c r="J375" s="2" t="str">
        <x:v>250.0</x:v>
      </x:c>
      <x:c r="K375" s="2" t="str">
        <x:v>1</x:v>
      </x:c>
      <x:c r="L375" s="2" t="str">
        <x:v>3</x:v>
      </x:c>
      <x:c r="M375" s="2" t="str">
        <x:v>1</x:v>
      </x:c>
      <x:c r="N375" s="2" t="str">
        <x:v>2</x:v>
      </x:c>
      <x:c r="O375" s="2" t="str">
        <x:v>0</x:v>
      </x:c>
      <x:c r="P375" s="2" t="str">
        <x:v>true</x:v>
      </x:c>
      <x:c r="Q375" s="2" t="str">
        <x:v>31.274940051</x:v>
      </x:c>
      <x:c r="R375" s="2" t="str">
        <x:v>14.067124997382052</x:v>
      </x:c>
      <x:c r="S375" s="2" t="str">
        <x:v>48.2758671482355</x:v>
      </x:c>
    </x:row>
    <x:row r="376">
      <x:c r="A376" s="2" t="str">
        <x:v>DE-CMP-01</x:v>
      </x:c>
      <x:c r="B376" s="2" t="str">
        <x:v>CFG-C01</x:v>
      </x:c>
      <x:c r="C376" s="2" t="n">
        <x:v>46227.70238086805</x:v>
      </x:c>
      <x:c r="D376" s="2" t="str">
        <x:v>os_cfar</x:v>
      </x:c>
      <x:c r="E376" s="2" t="str">
        <x:v>single_carrier</x:v>
      </x:c>
      <x:c r="F376" s="2" t="str">
        <x:v>188</x:v>
      </x:c>
      <x:c r="G376" s="2" t="str">
        <x:v>3114291</x:v>
      </x:c>
      <x:c r="H376" s="2" t="str">
        <x:v>2048000.0</x:v>
      </x:c>
      <x:c r="I376" s="2" t="str">
        <x:v>8192</x:v>
      </x:c>
      <x:c r="J376" s="2" t="str">
        <x:v>250.0</x:v>
      </x:c>
      <x:c r="K376" s="2" t="str">
        <x:v>1</x:v>
      </x:c>
      <x:c r="L376" s="2" t="str">
        <x:v>3</x:v>
      </x:c>
      <x:c r="M376" s="2" t="str">
        <x:v>1</x:v>
      </x:c>
      <x:c r="N376" s="2" t="str">
        <x:v>2</x:v>
      </x:c>
      <x:c r="O376" s="2" t="str">
        <x:v>0</x:v>
      </x:c>
      <x:c r="P376" s="2" t="str">
        <x:v>true</x:v>
      </x:c>
      <x:c r="Q376" s="2" t="str">
        <x:v>111.523286182</x:v>
      </x:c>
      <x:c r="R376" s="2" t="str">
        <x:v>13.825833011651412</x:v>
      </x:c>
      <x:c r="S376" s="2" t="str">
        <x:v>48.167887493119636</x:v>
      </x:c>
    </x:row>
    <x:row r="377">
      <x:c r="A377" s="2" t="str">
        <x:v>DE-CMP-01</x:v>
      </x:c>
      <x:c r="B377" s="2" t="str">
        <x:v>CFG-C01</x:v>
      </x:c>
      <x:c r="C377" s="2" t="n">
        <x:v>46227.70238086805</x:v>
      </x:c>
      <x:c r="D377" s="2" t="str">
        <x:v>adaptive</x:v>
      </x:c>
      <x:c r="E377" s="2" t="str">
        <x:v>single_carrier</x:v>
      </x:c>
      <x:c r="F377" s="2" t="str">
        <x:v>188</x:v>
      </x:c>
      <x:c r="G377" s="2" t="str">
        <x:v>3114291</x:v>
      </x:c>
      <x:c r="H377" s="2" t="str">
        <x:v>2048000.0</x:v>
      </x:c>
      <x:c r="I377" s="2" t="str">
        <x:v>8192</x:v>
      </x:c>
      <x:c r="J377" s="2" t="str">
        <x:v>250.0</x:v>
      </x:c>
      <x:c r="K377" s="2" t="str">
        <x:v>1</x:v>
      </x:c>
      <x:c r="L377" s="2" t="str">
        <x:v>3</x:v>
      </x:c>
      <x:c r="M377" s="2" t="str">
        <x:v>1</x:v>
      </x:c>
      <x:c r="N377" s="2" t="str">
        <x:v>2</x:v>
      </x:c>
      <x:c r="O377" s="2" t="str">
        <x:v>0</x:v>
      </x:c>
      <x:c r="P377" s="2" t="str">
        <x:v>true</x:v>
      </x:c>
      <x:c r="Q377" s="2" t="str">
        <x:v>111.523286182</x:v>
      </x:c>
      <x:c r="R377" s="2" t="str">
        <x:v>0.43495799764059484</x:v>
      </x:c>
      <x:c r="S377" s="2" t="str">
        <x:v>46.36633413480743</x:v>
      </x:c>
    </x:row>
    <x:row r="378">
      <x:c r="A378" s="2" t="str">
        <x:v>DE-CMP-01</x:v>
      </x:c>
      <x:c r="B378" s="2" t="str">
        <x:v>CFG-C01</x:v>
      </x:c>
      <x:c r="C378" s="2" t="n">
        <x:v>46227.70238086805</x:v>
      </x:c>
      <x:c r="D378" s="2" t="str">
        <x:v>adaptive</x:v>
      </x:c>
      <x:c r="E378" s="2" t="str">
        <x:v>single_carrier</x:v>
      </x:c>
      <x:c r="F378" s="2" t="str">
        <x:v>189</x:v>
      </x:c>
      <x:c r="G378" s="2" t="str">
        <x:v>3114292</x:v>
      </x:c>
      <x:c r="H378" s="2" t="str">
        <x:v>2048000.0</x:v>
      </x:c>
      <x:c r="I378" s="2" t="str">
        <x:v>8192</x:v>
      </x:c>
      <x:c r="J378" s="2" t="str">
        <x:v>250.0</x:v>
      </x:c>
      <x:c r="K378" s="2" t="str">
        <x:v>1</x:v>
      </x:c>
      <x:c r="L378" s="2" t="str">
        <x:v>3</x:v>
      </x:c>
      <x:c r="M378" s="2" t="str">
        <x:v>1</x:v>
      </x:c>
      <x:c r="N378" s="2" t="str">
        <x:v>2</x:v>
      </x:c>
      <x:c r="O378" s="2" t="str">
        <x:v>0</x:v>
      </x:c>
      <x:c r="P378" s="2" t="str">
        <x:v>true</x:v>
      </x:c>
      <x:c r="Q378" s="2" t="str">
        <x:v>-45.847252691</x:v>
      </x:c>
      <x:c r="R378" s="2" t="str">
        <x:v>0.4181669937679544</x:v>
      </x:c>
      <x:c r="S378" s="2" t="str">
        <x:v>46.280525434450745</x:v>
      </x:c>
    </x:row>
    <x:row r="379">
      <x:c r="A379" s="2" t="str">
        <x:v>DE-CMP-01</x:v>
      </x:c>
      <x:c r="B379" s="2" t="str">
        <x:v>CFG-C01</x:v>
      </x:c>
      <x:c r="C379" s="2" t="n">
        <x:v>46227.70238086805</x:v>
      </x:c>
      <x:c r="D379" s="2" t="str">
        <x:v>os_cfar</x:v>
      </x:c>
      <x:c r="E379" s="2" t="str">
        <x:v>single_carrier</x:v>
      </x:c>
      <x:c r="F379" s="2" t="str">
        <x:v>189</x:v>
      </x:c>
      <x:c r="G379" s="2" t="str">
        <x:v>3114292</x:v>
      </x:c>
      <x:c r="H379" s="2" t="str">
        <x:v>2048000.0</x:v>
      </x:c>
      <x:c r="I379" s="2" t="str">
        <x:v>8192</x:v>
      </x:c>
      <x:c r="J379" s="2" t="str">
        <x:v>250.0</x:v>
      </x:c>
      <x:c r="K379" s="2" t="str">
        <x:v>1</x:v>
      </x:c>
      <x:c r="L379" s="2" t="str">
        <x:v>3</x:v>
      </x:c>
      <x:c r="M379" s="2" t="str">
        <x:v>1</x:v>
      </x:c>
      <x:c r="N379" s="2" t="str">
        <x:v>2</x:v>
      </x:c>
      <x:c r="O379" s="2" t="str">
        <x:v>0</x:v>
      </x:c>
      <x:c r="P379" s="2" t="str">
        <x:v>true</x:v>
      </x:c>
      <x:c r="Q379" s="2" t="str">
        <x:v>-45.847252691</x:v>
      </x:c>
      <x:c r="R379" s="2" t="str">
        <x:v>14.020208007423207</x:v>
      </x:c>
      <x:c r="S379" s="2" t="str">
        <x:v>48.02398166636813</x:v>
      </x:c>
    </x:row>
    <x:row r="380">
      <x:c r="A380" s="2" t="str">
        <x:v>DE-CMP-01</x:v>
      </x:c>
      <x:c r="B380" s="2" t="str">
        <x:v>CFG-C01</x:v>
      </x:c>
      <x:c r="C380" s="2" t="n">
        <x:v>46227.70238086805</x:v>
      </x:c>
      <x:c r="D380" s="2" t="str">
        <x:v>os_cfar</x:v>
      </x:c>
      <x:c r="E380" s="2" t="str">
        <x:v>single_carrier</x:v>
      </x:c>
      <x:c r="F380" s="2" t="str">
        <x:v>190</x:v>
      </x:c>
      <x:c r="G380" s="2" t="str">
        <x:v>3114293</x:v>
      </x:c>
      <x:c r="H380" s="2" t="str">
        <x:v>2048000.0</x:v>
      </x:c>
      <x:c r="I380" s="2" t="str">
        <x:v>8192</x:v>
      </x:c>
      <x:c r="J380" s="2" t="str">
        <x:v>250.0</x:v>
      </x:c>
      <x:c r="K380" s="2" t="str">
        <x:v>1</x:v>
      </x:c>
      <x:c r="L380" s="2" t="str">
        <x:v>3</x:v>
      </x:c>
      <x:c r="M380" s="2" t="str">
        <x:v>1</x:v>
      </x:c>
      <x:c r="N380" s="2" t="str">
        <x:v>2</x:v>
      </x:c>
      <x:c r="O380" s="2" t="str">
        <x:v>0</x:v>
      </x:c>
      <x:c r="P380" s="2" t="str">
        <x:v>true</x:v>
      </x:c>
      <x:c r="Q380" s="2" t="str">
        <x:v>-117.942196493</x:v>
      </x:c>
      <x:c r="R380" s="2" t="str">
        <x:v>13.909166998928413</x:v>
      </x:c>
      <x:c r="S380" s="2" t="str">
        <x:v>48.17970051867336</x:v>
      </x:c>
    </x:row>
    <x:row r="381">
      <x:c r="A381" s="2" t="str">
        <x:v>DE-CMP-01</x:v>
      </x:c>
      <x:c r="B381" s="2" t="str">
        <x:v>CFG-C01</x:v>
      </x:c>
      <x:c r="C381" s="2" t="n">
        <x:v>46227.70238086805</x:v>
      </x:c>
      <x:c r="D381" s="2" t="str">
        <x:v>adaptive</x:v>
      </x:c>
      <x:c r="E381" s="2" t="str">
        <x:v>single_carrier</x:v>
      </x:c>
      <x:c r="F381" s="2" t="str">
        <x:v>190</x:v>
      </x:c>
      <x:c r="G381" s="2" t="str">
        <x:v>3114293</x:v>
      </x:c>
      <x:c r="H381" s="2" t="str">
        <x:v>2048000.0</x:v>
      </x:c>
      <x:c r="I381" s="2" t="str">
        <x:v>8192</x:v>
      </x:c>
      <x:c r="J381" s="2" t="str">
        <x:v>250.0</x:v>
      </x:c>
      <x:c r="K381" s="2" t="str">
        <x:v>1</x:v>
      </x:c>
      <x:c r="L381" s="2" t="str">
        <x:v>3</x:v>
      </x:c>
      <x:c r="M381" s="2" t="str">
        <x:v>1</x:v>
      </x:c>
      <x:c r="N381" s="2" t="str">
        <x:v>2</x:v>
      </x:c>
      <x:c r="O381" s="2" t="str">
        <x:v>0</x:v>
      </x:c>
      <x:c r="P381" s="2" t="str">
        <x:v>true</x:v>
      </x:c>
      <x:c r="Q381" s="2" t="str">
        <x:v>-117.942196493</x:v>
      </x:c>
      <x:c r="R381" s="2" t="str">
        <x:v>0.42633300472516567</x:v>
      </x:c>
      <x:c r="S381" s="2" t="str">
        <x:v>46.378362450282125</x:v>
      </x:c>
    </x:row>
    <x:row r="382">
      <x:c r="A382" s="2" t="str">
        <x:v>DE-CMP-01</x:v>
      </x:c>
      <x:c r="B382" s="2" t="str">
        <x:v>CFG-C01</x:v>
      </x:c>
      <x:c r="C382" s="2" t="n">
        <x:v>46227.70238086805</x:v>
      </x:c>
      <x:c r="D382" s="2" t="str">
        <x:v>adaptive</x:v>
      </x:c>
      <x:c r="E382" s="2" t="str">
        <x:v>single_carrier</x:v>
      </x:c>
      <x:c r="F382" s="2" t="str">
        <x:v>191</x:v>
      </x:c>
      <x:c r="G382" s="2" t="str">
        <x:v>3114294</x:v>
      </x:c>
      <x:c r="H382" s="2" t="str">
        <x:v>2048000.0</x:v>
      </x:c>
      <x:c r="I382" s="2" t="str">
        <x:v>8192</x:v>
      </x:c>
      <x:c r="J382" s="2" t="str">
        <x:v>250.0</x:v>
      </x:c>
      <x:c r="K382" s="2" t="str">
        <x:v>1</x:v>
      </x:c>
      <x:c r="L382" s="2" t="str">
        <x:v>3</x:v>
      </x:c>
      <x:c r="M382" s="2" t="str">
        <x:v>1</x:v>
      </x:c>
      <x:c r="N382" s="2" t="str">
        <x:v>2</x:v>
      </x:c>
      <x:c r="O382" s="2" t="str">
        <x:v>0</x:v>
      </x:c>
      <x:c r="P382" s="2" t="str">
        <x:v>true</x:v>
      </x:c>
      <x:c r="Q382" s="2" t="str">
        <x:v>102.888297904</x:v>
      </x:c>
      <x:c r="R382" s="2" t="str">
        <x:v>0.4199590039206669</x:v>
      </x:c>
      <x:c r="S382" s="2" t="str">
        <x:v>46.3546865920371</x:v>
      </x:c>
    </x:row>
    <x:row r="383">
      <x:c r="A383" s="2" t="str">
        <x:v>DE-CMP-01</x:v>
      </x:c>
      <x:c r="B383" s="2" t="str">
        <x:v>CFG-C01</x:v>
      </x:c>
      <x:c r="C383" s="2" t="n">
        <x:v>46227.70238086805</x:v>
      </x:c>
      <x:c r="D383" s="2" t="str">
        <x:v>os_cfar</x:v>
      </x:c>
      <x:c r="E383" s="2" t="str">
        <x:v>single_carrier</x:v>
      </x:c>
      <x:c r="F383" s="2" t="str">
        <x:v>191</x:v>
      </x:c>
      <x:c r="G383" s="2" t="str">
        <x:v>3114294</x:v>
      </x:c>
      <x:c r="H383" s="2" t="str">
        <x:v>2048000.0</x:v>
      </x:c>
      <x:c r="I383" s="2" t="str">
        <x:v>8192</x:v>
      </x:c>
      <x:c r="J383" s="2" t="str">
        <x:v>250.0</x:v>
      </x:c>
      <x:c r="K383" s="2" t="str">
        <x:v>1</x:v>
      </x:c>
      <x:c r="L383" s="2" t="str">
        <x:v>3</x:v>
      </x:c>
      <x:c r="M383" s="2" t="str">
        <x:v>1</x:v>
      </x:c>
      <x:c r="N383" s="2" t="str">
        <x:v>2</x:v>
      </x:c>
      <x:c r="O383" s="2" t="str">
        <x:v>0</x:v>
      </x:c>
      <x:c r="P383" s="2" t="str">
        <x:v>true</x:v>
      </x:c>
      <x:c r="Q383" s="2" t="str">
        <x:v>102.888297904</x:v>
      </x:c>
      <x:c r="R383" s="2" t="str">
        <x:v>13.986500009195879</x:v>
      </x:c>
      <x:c r="S383" s="2" t="str">
        <x:v>48.30875963414884</x:v>
      </x:c>
    </x:row>
    <x:row r="384">
      <x:c r="A384" s="2" t="str">
        <x:v>DE-CMP-01</x:v>
      </x:c>
      <x:c r="B384" s="2" t="str">
        <x:v>CFG-C01</x:v>
      </x:c>
      <x:c r="C384" s="2" t="n">
        <x:v>46227.70238086805</x:v>
      </x:c>
      <x:c r="D384" s="2" t="str">
        <x:v>os_cfar</x:v>
      </x:c>
      <x:c r="E384" s="2" t="str">
        <x:v>single_carrier</x:v>
      </x:c>
      <x:c r="F384" s="2" t="str">
        <x:v>192</x:v>
      </x:c>
      <x:c r="G384" s="2" t="str">
        <x:v>3114295</x:v>
      </x:c>
      <x:c r="H384" s="2" t="str">
        <x:v>2048000.0</x:v>
      </x:c>
      <x:c r="I384" s="2" t="str">
        <x:v>8192</x:v>
      </x:c>
      <x:c r="J384" s="2" t="str">
        <x:v>250.0</x:v>
      </x:c>
      <x:c r="K384" s="2" t="str">
        <x:v>1</x:v>
      </x:c>
      <x:c r="L384" s="2" t="str">
        <x:v>3</x:v>
      </x:c>
      <x:c r="M384" s="2" t="str">
        <x:v>1</x:v>
      </x:c>
      <x:c r="N384" s="2" t="str">
        <x:v>2</x:v>
      </x:c>
      <x:c r="O384" s="2" t="str">
        <x:v>0</x:v>
      </x:c>
      <x:c r="P384" s="2" t="str">
        <x:v>true</x:v>
      </x:c>
      <x:c r="Q384" s="2" t="str">
        <x:v>56.892681738</x:v>
      </x:c>
      <x:c r="R384" s="2" t="str">
        <x:v>13.943041994934902</x:v>
      </x:c>
      <x:c r="S384" s="2" t="str">
        <x:v>48.161099068152936</x:v>
      </x:c>
    </x:row>
    <x:row r="385">
      <x:c r="A385" s="2" t="str">
        <x:v>DE-CMP-01</x:v>
      </x:c>
      <x:c r="B385" s="2" t="str">
        <x:v>CFG-C01</x:v>
      </x:c>
      <x:c r="C385" s="2" t="n">
        <x:v>46227.70238086805</x:v>
      </x:c>
      <x:c r="D385" s="2" t="str">
        <x:v>adaptive</x:v>
      </x:c>
      <x:c r="E385" s="2" t="str">
        <x:v>single_carrier</x:v>
      </x:c>
      <x:c r="F385" s="2" t="str">
        <x:v>192</x:v>
      </x:c>
      <x:c r="G385" s="2" t="str">
        <x:v>3114295</x:v>
      </x:c>
      <x:c r="H385" s="2" t="str">
        <x:v>2048000.0</x:v>
      </x:c>
      <x:c r="I385" s="2" t="str">
        <x:v>8192</x:v>
      </x:c>
      <x:c r="J385" s="2" t="str">
        <x:v>250.0</x:v>
      </x:c>
      <x:c r="K385" s="2" t="str">
        <x:v>1</x:v>
      </x:c>
      <x:c r="L385" s="2" t="str">
        <x:v>3</x:v>
      </x:c>
      <x:c r="M385" s="2" t="str">
        <x:v>1</x:v>
      </x:c>
      <x:c r="N385" s="2" t="str">
        <x:v>2</x:v>
      </x:c>
      <x:c r="O385" s="2" t="str">
        <x:v>0</x:v>
      </x:c>
      <x:c r="P385" s="2" t="str">
        <x:v>true</x:v>
      </x:c>
      <x:c r="Q385" s="2" t="str">
        <x:v>56.892681738</x:v>
      </x:c>
      <x:c r="R385" s="2" t="str">
        <x:v>0.40008299401961267</x:v>
      </x:c>
      <x:c r="S385" s="2" t="str">
        <x:v>46.456098677664116</x:v>
      </x:c>
    </x:row>
    <x:row r="386">
      <x:c r="A386" s="2" t="str">
        <x:v>DE-CMP-01</x:v>
      </x:c>
      <x:c r="B386" s="2" t="str">
        <x:v>CFG-C01</x:v>
      </x:c>
      <x:c r="C386" s="2" t="n">
        <x:v>46227.70238086805</x:v>
      </x:c>
      <x:c r="D386" s="2" t="str">
        <x:v>adaptive</x:v>
      </x:c>
      <x:c r="E386" s="2" t="str">
        <x:v>single_carrier</x:v>
      </x:c>
      <x:c r="F386" s="2" t="str">
        <x:v>193</x:v>
      </x:c>
      <x:c r="G386" s="2" t="str">
        <x:v>3114296</x:v>
      </x:c>
      <x:c r="H386" s="2" t="str">
        <x:v>2048000.0</x:v>
      </x:c>
      <x:c r="I386" s="2" t="str">
        <x:v>8192</x:v>
      </x:c>
      <x:c r="J386" s="2" t="str">
        <x:v>250.0</x:v>
      </x:c>
      <x:c r="K386" s="2" t="str">
        <x:v>1</x:v>
      </x:c>
      <x:c r="L386" s="2" t="str">
        <x:v>3</x:v>
      </x:c>
      <x:c r="M386" s="2" t="str">
        <x:v>1</x:v>
      </x:c>
      <x:c r="N386" s="2" t="str">
        <x:v>2</x:v>
      </x:c>
      <x:c r="O386" s="2" t="str">
        <x:v>0</x:v>
      </x:c>
      <x:c r="P386" s="2" t="str">
        <x:v>true</x:v>
      </x:c>
      <x:c r="Q386" s="2" t="str">
        <x:v>113.767311790</x:v>
      </x:c>
      <x:c r="R386" s="2" t="str">
        <x:v>0.40625000838190317</x:v>
      </x:c>
      <x:c r="S386" s="2" t="str">
        <x:v>46.437335780644304</x:v>
      </x:c>
    </x:row>
    <x:row r="387">
      <x:c r="A387" s="2" t="str">
        <x:v>DE-CMP-01</x:v>
      </x:c>
      <x:c r="B387" s="2" t="str">
        <x:v>CFG-C01</x:v>
      </x:c>
      <x:c r="C387" s="2" t="n">
        <x:v>46227.70238086805</x:v>
      </x:c>
      <x:c r="D387" s="2" t="str">
        <x:v>os_cfar</x:v>
      </x:c>
      <x:c r="E387" s="2" t="str">
        <x:v>single_carrier</x:v>
      </x:c>
      <x:c r="F387" s="2" t="str">
        <x:v>193</x:v>
      </x:c>
      <x:c r="G387" s="2" t="str">
        <x:v>3114296</x:v>
      </x:c>
      <x:c r="H387" s="2" t="str">
        <x:v>2048000.0</x:v>
      </x:c>
      <x:c r="I387" s="2" t="str">
        <x:v>8192</x:v>
      </x:c>
      <x:c r="J387" s="2" t="str">
        <x:v>250.0</x:v>
      </x:c>
      <x:c r="K387" s="2" t="str">
        <x:v>1</x:v>
      </x:c>
      <x:c r="L387" s="2" t="str">
        <x:v>3</x:v>
      </x:c>
      <x:c r="M387" s="2" t="str">
        <x:v>1</x:v>
      </x:c>
      <x:c r="N387" s="2" t="str">
        <x:v>2</x:v>
      </x:c>
      <x:c r="O387" s="2" t="str">
        <x:v>0</x:v>
      </x:c>
      <x:c r="P387" s="2" t="str">
        <x:v>true</x:v>
      </x:c>
      <x:c r="Q387" s="2" t="str">
        <x:v>113.767311790</x:v>
      </x:c>
      <x:c r="R387" s="2" t="str">
        <x:v>13.95504099491518</x:v>
      </x:c>
      <x:c r="S387" s="2" t="str">
        <x:v>48.11658559422804</x:v>
      </x:c>
    </x:row>
    <x:row r="388">
      <x:c r="A388" s="2" t="str">
        <x:v>DE-CMP-01</x:v>
      </x:c>
      <x:c r="B388" s="2" t="str">
        <x:v>CFG-C01</x:v>
      </x:c>
      <x:c r="C388" s="2" t="n">
        <x:v>46227.70238086805</x:v>
      </x:c>
      <x:c r="D388" s="2" t="str">
        <x:v>os_cfar</x:v>
      </x:c>
      <x:c r="E388" s="2" t="str">
        <x:v>single_carrier</x:v>
      </x:c>
      <x:c r="F388" s="2" t="str">
        <x:v>194</x:v>
      </x:c>
      <x:c r="G388" s="2" t="str">
        <x:v>3114297</x:v>
      </x:c>
      <x:c r="H388" s="2" t="str">
        <x:v>2048000.0</x:v>
      </x:c>
      <x:c r="I388" s="2" t="str">
        <x:v>8192</x:v>
      </x:c>
      <x:c r="J388" s="2" t="str">
        <x:v>250.0</x:v>
      </x:c>
      <x:c r="K388" s="2" t="str">
        <x:v>1</x:v>
      </x:c>
      <x:c r="L388" s="2" t="str">
        <x:v>3</x:v>
      </x:c>
      <x:c r="M388" s="2" t="str">
        <x:v>1</x:v>
      </x:c>
      <x:c r="N388" s="2" t="str">
        <x:v>2</x:v>
      </x:c>
      <x:c r="O388" s="2" t="str">
        <x:v>0</x:v>
      </x:c>
      <x:c r="P388" s="2" t="str">
        <x:v>true</x:v>
      </x:c>
      <x:c r="Q388" s="2" t="str">
        <x:v>86.140887981</x:v>
      </x:c>
      <x:c r="R388" s="2" t="str">
        <x:v>14.154417003737763</x:v>
      </x:c>
      <x:c r="S388" s="2" t="str">
        <x:v>48.25053990507656</x:v>
      </x:c>
    </x:row>
    <x:row r="389">
      <x:c r="A389" s="2" t="str">
        <x:v>DE-CMP-01</x:v>
      </x:c>
      <x:c r="B389" s="2" t="str">
        <x:v>CFG-C01</x:v>
      </x:c>
      <x:c r="C389" s="2" t="n">
        <x:v>46227.70238086805</x:v>
      </x:c>
      <x:c r="D389" s="2" t="str">
        <x:v>adaptive</x:v>
      </x:c>
      <x:c r="E389" s="2" t="str">
        <x:v>single_carrier</x:v>
      </x:c>
      <x:c r="F389" s="2" t="str">
        <x:v>194</x:v>
      </x:c>
      <x:c r="G389" s="2" t="str">
        <x:v>3114297</x:v>
      </x:c>
      <x:c r="H389" s="2" t="str">
        <x:v>2048000.0</x:v>
      </x:c>
      <x:c r="I389" s="2" t="str">
        <x:v>8192</x:v>
      </x:c>
      <x:c r="J389" s="2" t="str">
        <x:v>250.0</x:v>
      </x:c>
      <x:c r="K389" s="2" t="str">
        <x:v>1</x:v>
      </x:c>
      <x:c r="L389" s="2" t="str">
        <x:v>3</x:v>
      </x:c>
      <x:c r="M389" s="2" t="str">
        <x:v>1</x:v>
      </x:c>
      <x:c r="N389" s="2" t="str">
        <x:v>2</x:v>
      </x:c>
      <x:c r="O389" s="2" t="str">
        <x:v>0</x:v>
      </x:c>
      <x:c r="P389" s="2" t="str">
        <x:v>true</x:v>
      </x:c>
      <x:c r="Q389" s="2" t="str">
        <x:v>86.140887981</x:v>
      </x:c>
      <x:c r="R389" s="2" t="str">
        <x:v>0.3907080099452287</x:v>
      </x:c>
      <x:c r="S389" s="2" t="str">
        <x:v>46.483927886664084</x:v>
      </x:c>
    </x:row>
    <x:row r="390">
      <x:c r="A390" s="2" t="str">
        <x:v>DE-CMP-01</x:v>
      </x:c>
      <x:c r="B390" s="2" t="str">
        <x:v>CFG-C01</x:v>
      </x:c>
      <x:c r="C390" s="2" t="n">
        <x:v>46227.70238086805</x:v>
      </x:c>
      <x:c r="D390" s="2" t="str">
        <x:v>adaptive</x:v>
      </x:c>
      <x:c r="E390" s="2" t="str">
        <x:v>single_carrier</x:v>
      </x:c>
      <x:c r="F390" s="2" t="str">
        <x:v>195</x:v>
      </x:c>
      <x:c r="G390" s="2" t="str">
        <x:v>3114298</x:v>
      </x:c>
      <x:c r="H390" s="2" t="str">
        <x:v>2048000.0</x:v>
      </x:c>
      <x:c r="I390" s="2" t="str">
        <x:v>8192</x:v>
      </x:c>
      <x:c r="J390" s="2" t="str">
        <x:v>250.0</x:v>
      </x:c>
      <x:c r="K390" s="2" t="str">
        <x:v>1</x:v>
      </x:c>
      <x:c r="L390" s="2" t="str">
        <x:v>3</x:v>
      </x:c>
      <x:c r="M390" s="2" t="str">
        <x:v>1</x:v>
      </x:c>
      <x:c r="N390" s="2" t="str">
        <x:v>2</x:v>
      </x:c>
      <x:c r="O390" s="2" t="str">
        <x:v>0</x:v>
      </x:c>
      <x:c r="P390" s="2" t="str">
        <x:v>true</x:v>
      </x:c>
      <x:c r="Q390" s="2" t="str">
        <x:v>59.535479621</x:v>
      </x:c>
      <x:c r="R390" s="2" t="str">
        <x:v>0.39154199475888163</x:v>
      </x:c>
      <x:c r="S390" s="2" t="str">
        <x:v>46.399877234497325</x:v>
      </x:c>
    </x:row>
    <x:row r="391">
      <x:c r="A391" s="2" t="str">
        <x:v>DE-CMP-01</x:v>
      </x:c>
      <x:c r="B391" s="2" t="str">
        <x:v>CFG-C01</x:v>
      </x:c>
      <x:c r="C391" s="2" t="n">
        <x:v>46227.70238086805</x:v>
      </x:c>
      <x:c r="D391" s="2" t="str">
        <x:v>os_cfar</x:v>
      </x:c>
      <x:c r="E391" s="2" t="str">
        <x:v>single_carrier</x:v>
      </x:c>
      <x:c r="F391" s="2" t="str">
        <x:v>195</x:v>
      </x:c>
      <x:c r="G391" s="2" t="str">
        <x:v>3114298</x:v>
      </x:c>
      <x:c r="H391" s="2" t="str">
        <x:v>2048000.0</x:v>
      </x:c>
      <x:c r="I391" s="2" t="str">
        <x:v>8192</x:v>
      </x:c>
      <x:c r="J391" s="2" t="str">
        <x:v>250.0</x:v>
      </x:c>
      <x:c r="K391" s="2" t="str">
        <x:v>1</x:v>
      </x:c>
      <x:c r="L391" s="2" t="str">
        <x:v>3</x:v>
      </x:c>
      <x:c r="M391" s="2" t="str">
        <x:v>1</x:v>
      </x:c>
      <x:c r="N391" s="2" t="str">
        <x:v>2</x:v>
      </x:c>
      <x:c r="O391" s="2" t="str">
        <x:v>0</x:v>
      </x:c>
      <x:c r="P391" s="2" t="str">
        <x:v>true</x:v>
      </x:c>
      <x:c r="Q391" s="2" t="str">
        <x:v>59.535479621</x:v>
      </x:c>
      <x:c r="R391" s="2" t="str">
        <x:v>13.615083997137845</x:v>
      </x:c>
      <x:c r="S391" s="2" t="str">
        <x:v>48.159306955213935</x:v>
      </x:c>
    </x:row>
    <x:row r="392">
      <x:c r="A392" s="2" t="str">
        <x:v>DE-CMP-01</x:v>
      </x:c>
      <x:c r="B392" s="2" t="str">
        <x:v>CFG-C01</x:v>
      </x:c>
      <x:c r="C392" s="2" t="n">
        <x:v>46227.70238086805</x:v>
      </x:c>
      <x:c r="D392" s="2" t="str">
        <x:v>os_cfar</x:v>
      </x:c>
      <x:c r="E392" s="2" t="str">
        <x:v>single_carrier</x:v>
      </x:c>
      <x:c r="F392" s="2" t="str">
        <x:v>196</x:v>
      </x:c>
      <x:c r="G392" s="2" t="str">
        <x:v>3114299</x:v>
      </x:c>
      <x:c r="H392" s="2" t="str">
        <x:v>2048000.0</x:v>
      </x:c>
      <x:c r="I392" s="2" t="str">
        <x:v>8192</x:v>
      </x:c>
      <x:c r="J392" s="2" t="str">
        <x:v>250.0</x:v>
      </x:c>
      <x:c r="K392" s="2" t="str">
        <x:v>1</x:v>
      </x:c>
      <x:c r="L392" s="2" t="str">
        <x:v>3</x:v>
      </x:c>
      <x:c r="M392" s="2" t="str">
        <x:v>1</x:v>
      </x:c>
      <x:c r="N392" s="2" t="str">
        <x:v>2</x:v>
      </x:c>
      <x:c r="O392" s="2" t="str">
        <x:v>0</x:v>
      </x:c>
      <x:c r="P392" s="2" t="str">
        <x:v>true</x:v>
      </x:c>
      <x:c r="Q392" s="2" t="str">
        <x:v>-77.435227534</x:v>
      </x:c>
      <x:c r="R392" s="2" t="str">
        <x:v>14.054333994863555</x:v>
      </x:c>
      <x:c r="S392" s="2" t="str">
        <x:v>48.31212222247014</x:v>
      </x:c>
    </x:row>
    <x:row r="393">
      <x:c r="A393" s="2" t="str">
        <x:v>DE-CMP-01</x:v>
      </x:c>
      <x:c r="B393" s="2" t="str">
        <x:v>CFG-C01</x:v>
      </x:c>
      <x:c r="C393" s="2" t="n">
        <x:v>46227.70238086805</x:v>
      </x:c>
      <x:c r="D393" s="2" t="str">
        <x:v>adaptive</x:v>
      </x:c>
      <x:c r="E393" s="2" t="str">
        <x:v>single_carrier</x:v>
      </x:c>
      <x:c r="F393" s="2" t="str">
        <x:v>196</x:v>
      </x:c>
      <x:c r="G393" s="2" t="str">
        <x:v>3114299</x:v>
      </x:c>
      <x:c r="H393" s="2" t="str">
        <x:v>2048000.0</x:v>
      </x:c>
      <x:c r="I393" s="2" t="str">
        <x:v>8192</x:v>
      </x:c>
      <x:c r="J393" s="2" t="str">
        <x:v>250.0</x:v>
      </x:c>
      <x:c r="K393" s="2" t="str">
        <x:v>1</x:v>
      </x:c>
      <x:c r="L393" s="2" t="str">
        <x:v>3</x:v>
      </x:c>
      <x:c r="M393" s="2" t="str">
        <x:v>1</x:v>
      </x:c>
      <x:c r="N393" s="2" t="str">
        <x:v>2</x:v>
      </x:c>
      <x:c r="O393" s="2" t="str">
        <x:v>0</x:v>
      </x:c>
      <x:c r="P393" s="2" t="str">
        <x:v>true</x:v>
      </x:c>
      <x:c r="Q393" s="2" t="str">
        <x:v>-77.435227534</x:v>
      </x:c>
      <x:c r="R393" s="2" t="str">
        <x:v>0.4207500023767352</x:v>
      </x:c>
      <x:c r="S393" s="2" t="str">
        <x:v>46.52056205043542</x:v>
      </x:c>
    </x:row>
    <x:row r="394">
      <x:c r="A394" s="2" t="str">
        <x:v>DE-CMP-01</x:v>
      </x:c>
      <x:c r="B394" s="2" t="str">
        <x:v>CFG-C01</x:v>
      </x:c>
      <x:c r="C394" s="2" t="n">
        <x:v>46227.70238086805</x:v>
      </x:c>
      <x:c r="D394" s="2" t="str">
        <x:v>adaptive</x:v>
      </x:c>
      <x:c r="E394" s="2" t="str">
        <x:v>single_carrier</x:v>
      </x:c>
      <x:c r="F394" s="2" t="str">
        <x:v>197</x:v>
      </x:c>
      <x:c r="G394" s="2" t="str">
        <x:v>3114300</x:v>
      </x:c>
      <x:c r="H394" s="2" t="str">
        <x:v>2048000.0</x:v>
      </x:c>
      <x:c r="I394" s="2" t="str">
        <x:v>8192</x:v>
      </x:c>
      <x:c r="J394" s="2" t="str">
        <x:v>250.0</x:v>
      </x:c>
      <x:c r="K394" s="2" t="str">
        <x:v>1</x:v>
      </x:c>
      <x:c r="L394" s="2" t="str">
        <x:v>3</x:v>
      </x:c>
      <x:c r="M394" s="2" t="str">
        <x:v>1</x:v>
      </x:c>
      <x:c r="N394" s="2" t="str">
        <x:v>2</x:v>
      </x:c>
      <x:c r="O394" s="2" t="str">
        <x:v>0</x:v>
      </x:c>
      <x:c r="P394" s="2" t="str">
        <x:v>true</x:v>
      </x:c>
      <x:c r="Q394" s="2" t="str">
        <x:v>-58.763943653</x:v>
      </x:c>
      <x:c r="R394" s="2" t="str">
        <x:v>0.4039170016767457</x:v>
      </x:c>
      <x:c r="S394" s="2" t="str">
        <x:v>46.41461826038837</x:v>
      </x:c>
    </x:row>
    <x:row r="395">
      <x:c r="A395" s="2" t="str">
        <x:v>DE-CMP-01</x:v>
      </x:c>
      <x:c r="B395" s="2" t="str">
        <x:v>CFG-C01</x:v>
      </x:c>
      <x:c r="C395" s="2" t="n">
        <x:v>46227.70238086805</x:v>
      </x:c>
      <x:c r="D395" s="2" t="str">
        <x:v>os_cfar</x:v>
      </x:c>
      <x:c r="E395" s="2" t="str">
        <x:v>single_carrier</x:v>
      </x:c>
      <x:c r="F395" s="2" t="str">
        <x:v>197</x:v>
      </x:c>
      <x:c r="G395" s="2" t="str">
        <x:v>3114300</x:v>
      </x:c>
      <x:c r="H395" s="2" t="str">
        <x:v>2048000.0</x:v>
      </x:c>
      <x:c r="I395" s="2" t="str">
        <x:v>8192</x:v>
      </x:c>
      <x:c r="J395" s="2" t="str">
        <x:v>250.0</x:v>
      </x:c>
      <x:c r="K395" s="2" t="str">
        <x:v>1</x:v>
      </x:c>
      <x:c r="L395" s="2" t="str">
        <x:v>3</x:v>
      </x:c>
      <x:c r="M395" s="2" t="str">
        <x:v>1</x:v>
      </x:c>
      <x:c r="N395" s="2" t="str">
        <x:v>2</x:v>
      </x:c>
      <x:c r="O395" s="2" t="str">
        <x:v>0</x:v>
      </x:c>
      <x:c r="P395" s="2" t="str">
        <x:v>true</x:v>
      </x:c>
      <x:c r="Q395" s="2" t="str">
        <x:v>-58.763943653</x:v>
      </x:c>
      <x:c r="R395" s="2" t="str">
        <x:v>13.942249992396683</x:v>
      </x:c>
      <x:c r="S395" s="2" t="str">
        <x:v>48.15591085544216</x:v>
      </x:c>
    </x:row>
    <x:row r="396">
      <x:c r="A396" s="2" t="str">
        <x:v>DE-CMP-01</x:v>
      </x:c>
      <x:c r="B396" s="2" t="str">
        <x:v>CFG-C01</x:v>
      </x:c>
      <x:c r="C396" s="2" t="n">
        <x:v>46227.70238086805</x:v>
      </x:c>
      <x:c r="D396" s="2" t="str">
        <x:v>os_cfar</x:v>
      </x:c>
      <x:c r="E396" s="2" t="str">
        <x:v>single_carrier</x:v>
      </x:c>
      <x:c r="F396" s="2" t="str">
        <x:v>198</x:v>
      </x:c>
      <x:c r="G396" s="2" t="str">
        <x:v>3114301</x:v>
      </x:c>
      <x:c r="H396" s="2" t="str">
        <x:v>2048000.0</x:v>
      </x:c>
      <x:c r="I396" s="2" t="str">
        <x:v>8192</x:v>
      </x:c>
      <x:c r="J396" s="2" t="str">
        <x:v>250.0</x:v>
      </x:c>
      <x:c r="K396" s="2" t="str">
        <x:v>1</x:v>
      </x:c>
      <x:c r="L396" s="2" t="str">
        <x:v>3</x:v>
      </x:c>
      <x:c r="M396" s="2" t="str">
        <x:v>1</x:v>
      </x:c>
      <x:c r="N396" s="2" t="str">
        <x:v>2</x:v>
      </x:c>
      <x:c r="O396" s="2" t="str">
        <x:v>0</x:v>
      </x:c>
      <x:c r="P396" s="2" t="str">
        <x:v>true</x:v>
      </x:c>
      <x:c r="Q396" s="2" t="str">
        <x:v>-39.566313462</x:v>
      </x:c>
      <x:c r="R396" s="2" t="str">
        <x:v>13.999916991451755</x:v>
      </x:c>
      <x:c r="S396" s="2" t="str">
        <x:v>48.23573849162698</x:v>
      </x:c>
    </x:row>
    <x:row r="397">
      <x:c r="A397" s="2" t="str">
        <x:v>DE-CMP-01</x:v>
      </x:c>
      <x:c r="B397" s="2" t="str">
        <x:v>CFG-C01</x:v>
      </x:c>
      <x:c r="C397" s="2" t="n">
        <x:v>46227.70238086805</x:v>
      </x:c>
      <x:c r="D397" s="2" t="str">
        <x:v>adaptive</x:v>
      </x:c>
      <x:c r="E397" s="2" t="str">
        <x:v>single_carrier</x:v>
      </x:c>
      <x:c r="F397" s="2" t="str">
        <x:v>198</x:v>
      </x:c>
      <x:c r="G397" s="2" t="str">
        <x:v>3114301</x:v>
      </x:c>
      <x:c r="H397" s="2" t="str">
        <x:v>2048000.0</x:v>
      </x:c>
      <x:c r="I397" s="2" t="str">
        <x:v>8192</x:v>
      </x:c>
      <x:c r="J397" s="2" t="str">
        <x:v>250.0</x:v>
      </x:c>
      <x:c r="K397" s="2" t="str">
        <x:v>1</x:v>
      </x:c>
      <x:c r="L397" s="2" t="str">
        <x:v>3</x:v>
      </x:c>
      <x:c r="M397" s="2" t="str">
        <x:v>1</x:v>
      </x:c>
      <x:c r="N397" s="2" t="str">
        <x:v>2</x:v>
      </x:c>
      <x:c r="O397" s="2" t="str">
        <x:v>0</x:v>
      </x:c>
      <x:c r="P397" s="2" t="str">
        <x:v>true</x:v>
      </x:c>
      <x:c r="Q397" s="2" t="str">
        <x:v>-39.566313462</x:v>
      </x:c>
      <x:c r="R397" s="2" t="str">
        <x:v>0.42725000821519643</x:v>
      </x:c>
      <x:c r="S397" s="2" t="str">
        <x:v>46.44843837517884</x:v>
      </x:c>
    </x:row>
    <x:row r="398">
      <x:c r="A398" s="2" t="str">
        <x:v>DE-CMP-01</x:v>
      </x:c>
      <x:c r="B398" s="2" t="str">
        <x:v>CFG-C01</x:v>
      </x:c>
      <x:c r="C398" s="2" t="n">
        <x:v>46227.70238086805</x:v>
      </x:c>
      <x:c r="D398" s="2" t="str">
        <x:v>adaptive</x:v>
      </x:c>
      <x:c r="E398" s="2" t="str">
        <x:v>single_carrier</x:v>
      </x:c>
      <x:c r="F398" s="2" t="str">
        <x:v>199</x:v>
      </x:c>
      <x:c r="G398" s="2" t="str">
        <x:v>3114302</x:v>
      </x:c>
      <x:c r="H398" s="2" t="str">
        <x:v>2048000.0</x:v>
      </x:c>
      <x:c r="I398" s="2" t="str">
        <x:v>8192</x:v>
      </x:c>
      <x:c r="J398" s="2" t="str">
        <x:v>250.0</x:v>
      </x:c>
      <x:c r="K398" s="2" t="str">
        <x:v>1</x:v>
      </x:c>
      <x:c r="L398" s="2" t="str">
        <x:v>3</x:v>
      </x:c>
      <x:c r="M398" s="2" t="str">
        <x:v>1</x:v>
      </x:c>
      <x:c r="N398" s="2" t="str">
        <x:v>2</x:v>
      </x:c>
      <x:c r="O398" s="2" t="str">
        <x:v>0</x:v>
      </x:c>
      <x:c r="P398" s="2" t="str">
        <x:v>true</x:v>
      </x:c>
      <x:c r="Q398" s="2" t="str">
        <x:v>107.071021319</x:v>
      </x:c>
      <x:c r="R398" s="2" t="str">
        <x:v>0.4163749981671572</x:v>
      </x:c>
      <x:c r="S398" s="2" t="str">
        <x:v>46.325518585353905</x:v>
      </x:c>
    </x:row>
    <x:row r="399">
      <x:c r="A399" s="2" t="str">
        <x:v>DE-CMP-01</x:v>
      </x:c>
      <x:c r="B399" s="2" t="str">
        <x:v>CFG-C01</x:v>
      </x:c>
      <x:c r="C399" s="2" t="n">
        <x:v>46227.70238086805</x:v>
      </x:c>
      <x:c r="D399" s="2" t="str">
        <x:v>os_cfar</x:v>
      </x:c>
      <x:c r="E399" s="2" t="str">
        <x:v>single_carrier</x:v>
      </x:c>
      <x:c r="F399" s="2" t="str">
        <x:v>199</x:v>
      </x:c>
      <x:c r="G399" s="2" t="str">
        <x:v>3114302</x:v>
      </x:c>
      <x:c r="H399" s="2" t="str">
        <x:v>2048000.0</x:v>
      </x:c>
      <x:c r="I399" s="2" t="str">
        <x:v>8192</x:v>
      </x:c>
      <x:c r="J399" s="2" t="str">
        <x:v>250.0</x:v>
      </x:c>
      <x:c r="K399" s="2" t="str">
        <x:v>1</x:v>
      </x:c>
      <x:c r="L399" s="2" t="str">
        <x:v>3</x:v>
      </x:c>
      <x:c r="M399" s="2" t="str">
        <x:v>1</x:v>
      </x:c>
      <x:c r="N399" s="2" t="str">
        <x:v>2</x:v>
      </x:c>
      <x:c r="O399" s="2" t="str">
        <x:v>0</x:v>
      </x:c>
      <x:c r="P399" s="2" t="str">
        <x:v>true</x:v>
      </x:c>
      <x:c r="Q399" s="2" t="str">
        <x:v>107.071021319</x:v>
      </x:c>
      <x:c r="R399" s="2" t="str">
        <x:v>13.740667011006735</x:v>
      </x:c>
      <x:c r="S399" s="2" t="str">
        <x:v>48.05010706869769</x:v>
      </x:c>
    </x:row>
    <x:row r="400">
      <x:c r="A400" s="2" t="str">
        <x:v>DE-CMP-01</x:v>
      </x:c>
      <x:c r="B400" s="2" t="str">
        <x:v>CFG-C01</x:v>
      </x:c>
      <x:c r="C400" s="2" t="n">
        <x:v>46227.70238086805</x:v>
      </x:c>
      <x:c r="D400" s="2" t="str">
        <x:v>os_cfar</x:v>
      </x:c>
      <x:c r="E400" s="2" t="str">
        <x:v>single_carrier</x:v>
      </x:c>
      <x:c r="F400" s="2" t="str">
        <x:v>200</x:v>
      </x:c>
      <x:c r="G400" s="2" t="str">
        <x:v>3114303</x:v>
      </x:c>
      <x:c r="H400" s="2" t="str">
        <x:v>2048000.0</x:v>
      </x:c>
      <x:c r="I400" s="2" t="str">
        <x:v>8192</x:v>
      </x:c>
      <x:c r="J400" s="2" t="str">
        <x:v>250.0</x:v>
      </x:c>
      <x:c r="K400" s="2" t="str">
        <x:v>1</x:v>
      </x:c>
      <x:c r="L400" s="2" t="str">
        <x:v>3</x:v>
      </x:c>
      <x:c r="M400" s="2" t="str">
        <x:v>1</x:v>
      </x:c>
      <x:c r="N400" s="2" t="str">
        <x:v>2</x:v>
      </x:c>
      <x:c r="O400" s="2" t="str">
        <x:v>0</x:v>
      </x:c>
      <x:c r="P400" s="2" t="str">
        <x:v>true</x:v>
      </x:c>
      <x:c r="Q400" s="2" t="str">
        <x:v>31.231460785</x:v>
      </x:c>
      <x:c r="R400" s="2" t="str">
        <x:v>13.986375008244067</x:v>
      </x:c>
      <x:c r="S400" s="2" t="str">
        <x:v>48.098344750541344</x:v>
      </x:c>
    </x:row>
    <x:row r="401">
      <x:c r="A401" s="2" t="str">
        <x:v>DE-CMP-01</x:v>
      </x:c>
      <x:c r="B401" s="2" t="str">
        <x:v>CFG-C01</x:v>
      </x:c>
      <x:c r="C401" s="2" t="n">
        <x:v>46227.70238086805</x:v>
      </x:c>
      <x:c r="D401" s="2" t="str">
        <x:v>adaptive</x:v>
      </x:c>
      <x:c r="E401" s="2" t="str">
        <x:v>single_carrier</x:v>
      </x:c>
      <x:c r="F401" s="2" t="str">
        <x:v>200</x:v>
      </x:c>
      <x:c r="G401" s="2" t="str">
        <x:v>3114303</x:v>
      </x:c>
      <x:c r="H401" s="2" t="str">
        <x:v>2048000.0</x:v>
      </x:c>
      <x:c r="I401" s="2" t="str">
        <x:v>8192</x:v>
      </x:c>
      <x:c r="J401" s="2" t="str">
        <x:v>250.0</x:v>
      </x:c>
      <x:c r="K401" s="2" t="str">
        <x:v>1</x:v>
      </x:c>
      <x:c r="L401" s="2" t="str">
        <x:v>3</x:v>
      </x:c>
      <x:c r="M401" s="2" t="str">
        <x:v>1</x:v>
      </x:c>
      <x:c r="N401" s="2" t="str">
        <x:v>2</x:v>
      </x:c>
      <x:c r="O401" s="2" t="str">
        <x:v>0</x:v>
      </x:c>
      <x:c r="P401" s="2" t="str">
        <x:v>true</x:v>
      </x:c>
      <x:c r="Q401" s="2" t="str">
        <x:v>31.231460785</x:v>
      </x:c>
      <x:c r="R401" s="2" t="str">
        <x:v>0.4106660053366795</x:v>
      </x:c>
      <x:c r="S401" s="2" t="str">
        <x:v>46.36916549272533</x:v>
      </x:c>
    </x:row>
    <x:row r="402">
      <x:c r="A402" s="2" t="str">
        <x:v>DE-CMP-01</x:v>
      </x:c>
      <x:c r="B402" s="2" t="str">
        <x:v>CFG-C01</x:v>
      </x:c>
      <x:c r="C402" s="2" t="n">
        <x:v>46227.70238086805</x:v>
      </x:c>
      <x:c r="D402" s="2" t="str">
        <x:v>adaptive</x:v>
      </x:c>
      <x:c r="E402" s="2" t="str">
        <x:v>weak_beside_strong</x:v>
      </x:c>
      <x:c r="F402" s="2" t="str">
        <x:v>201</x:v>
      </x:c>
      <x:c r="G402" s="2" t="str">
        <x:v>3124204</x:v>
      </x:c>
      <x:c r="H402" s="2" t="str">
        <x:v>2048000.0</x:v>
      </x:c>
      <x:c r="I402" s="2" t="str">
        <x:v>8192</x:v>
      </x:c>
      <x:c r="J402" s="2" t="str">
        <x:v>250.0</x:v>
      </x:c>
      <x:c r="K402" s="2" t="str">
        <x:v>2</x:v>
      </x:c>
      <x:c r="L402" s="2" t="str">
        <x:v>3</x:v>
      </x:c>
      <x:c r="M402" s="2" t="str">
        <x:v>2</x:v>
      </x:c>
      <x:c r="N402" s="2" t="str">
        <x:v>1</x:v>
      </x:c>
      <x:c r="O402" s="2" t="str">
        <x:v>0</x:v>
      </x:c>
      <x:c r="P402" s="2" t="str">
        <x:v>true</x:v>
      </x:c>
      <x:c r="Q402" s="2" t="str">
        <x:v>38.851469142;38.851469142</x:v>
      </x:c>
      <x:c r="R402" s="2" t="str">
        <x:v>0.3962079936172813</x:v>
      </x:c>
      <x:c r="S402" s="2" t="str">
        <x:v>46.33770051984038</x:v>
      </x:c>
    </x:row>
    <x:row r="403">
      <x:c r="A403" s="2" t="str">
        <x:v>DE-CMP-01</x:v>
      </x:c>
      <x:c r="B403" s="2" t="str">
        <x:v>CFG-C01</x:v>
      </x:c>
      <x:c r="C403" s="2" t="n">
        <x:v>46227.70238086805</x:v>
      </x:c>
      <x:c r="D403" s="2" t="str">
        <x:v>os_cfar</x:v>
      </x:c>
      <x:c r="E403" s="2" t="str">
        <x:v>weak_beside_strong</x:v>
      </x:c>
      <x:c r="F403" s="2" t="str">
        <x:v>201</x:v>
      </x:c>
      <x:c r="G403" s="2" t="str">
        <x:v>3124204</x:v>
      </x:c>
      <x:c r="H403" s="2" t="str">
        <x:v>2048000.0</x:v>
      </x:c>
      <x:c r="I403" s="2" t="str">
        <x:v>8192</x:v>
      </x:c>
      <x:c r="J403" s="2" t="str">
        <x:v>250.0</x:v>
      </x:c>
      <x:c r="K403" s="2" t="str">
        <x:v>2</x:v>
      </x:c>
      <x:c r="L403" s="2" t="str">
        <x:v>3</x:v>
      </x:c>
      <x:c r="M403" s="2" t="str">
        <x:v>2</x:v>
      </x:c>
      <x:c r="N403" s="2" t="str">
        <x:v>1</x:v>
      </x:c>
      <x:c r="O403" s="2" t="str">
        <x:v>0</x:v>
      </x:c>
      <x:c r="P403" s="2" t="str">
        <x:v>true</x:v>
      </x:c>
      <x:c r="Q403" s="2" t="str">
        <x:v>38.851469142;38.851469142</x:v>
      </x:c>
      <x:c r="R403" s="2" t="str">
        <x:v>13.922583006205969</x:v>
      </x:c>
      <x:c r="S403" s="2" t="str">
        <x:v>48.203210639583446</x:v>
      </x:c>
    </x:row>
    <x:row r="404">
      <x:c r="A404" s="2" t="str">
        <x:v>DE-CMP-01</x:v>
      </x:c>
      <x:c r="B404" s="2" t="str">
        <x:v>CFG-C01</x:v>
      </x:c>
      <x:c r="C404" s="2" t="n">
        <x:v>46227.70238086805</x:v>
      </x:c>
      <x:c r="D404" s="2" t="str">
        <x:v>os_cfar</x:v>
      </x:c>
      <x:c r="E404" s="2" t="str">
        <x:v>weak_beside_strong</x:v>
      </x:c>
      <x:c r="F404" s="2" t="str">
        <x:v>202</x:v>
      </x:c>
      <x:c r="G404" s="2" t="str">
        <x:v>3124205</x:v>
      </x:c>
      <x:c r="H404" s="2" t="str">
        <x:v>2048000.0</x:v>
      </x:c>
      <x:c r="I404" s="2" t="str">
        <x:v>8192</x:v>
      </x:c>
      <x:c r="J404" s="2" t="str">
        <x:v>250.0</x:v>
      </x:c>
      <x:c r="K404" s="2" t="str">
        <x:v>2</x:v>
      </x:c>
      <x:c r="L404" s="2" t="str">
        <x:v>3</x:v>
      </x:c>
      <x:c r="M404" s="2" t="str">
        <x:v>2</x:v>
      </x:c>
      <x:c r="N404" s="2" t="str">
        <x:v>1</x:v>
      </x:c>
      <x:c r="O404" s="2" t="str">
        <x:v>0</x:v>
      </x:c>
      <x:c r="P404" s="2" t="str">
        <x:v>true</x:v>
      </x:c>
      <x:c r="Q404" s="2" t="str">
        <x:v>-0.668132974;-0.668132974</x:v>
      </x:c>
      <x:c r="R404" s="2" t="str">
        <x:v>13.804124988382682</x:v>
      </x:c>
      <x:c r="S404" s="2" t="str">
        <x:v>48.20464821305043</x:v>
      </x:c>
    </x:row>
    <x:row r="405">
      <x:c r="A405" s="2" t="str">
        <x:v>DE-CMP-01</x:v>
      </x:c>
      <x:c r="B405" s="2" t="str">
        <x:v>CFG-C01</x:v>
      </x:c>
      <x:c r="C405" s="2" t="n">
        <x:v>46227.70238086805</x:v>
      </x:c>
      <x:c r="D405" s="2" t="str">
        <x:v>adaptive</x:v>
      </x:c>
      <x:c r="E405" s="2" t="str">
        <x:v>weak_beside_strong</x:v>
      </x:c>
      <x:c r="F405" s="2" t="str">
        <x:v>202</x:v>
      </x:c>
      <x:c r="G405" s="2" t="str">
        <x:v>3124205</x:v>
      </x:c>
      <x:c r="H405" s="2" t="str">
        <x:v>2048000.0</x:v>
      </x:c>
      <x:c r="I405" s="2" t="str">
        <x:v>8192</x:v>
      </x:c>
      <x:c r="J405" s="2" t="str">
        <x:v>250.0</x:v>
      </x:c>
      <x:c r="K405" s="2" t="str">
        <x:v>2</x:v>
      </x:c>
      <x:c r="L405" s="2" t="str">
        <x:v>3</x:v>
      </x:c>
      <x:c r="M405" s="2" t="str">
        <x:v>2</x:v>
      </x:c>
      <x:c r="N405" s="2" t="str">
        <x:v>1</x:v>
      </x:c>
      <x:c r="O405" s="2" t="str">
        <x:v>0</x:v>
      </x:c>
      <x:c r="P405" s="2" t="str">
        <x:v>true</x:v>
      </x:c>
      <x:c r="Q405" s="2" t="str">
        <x:v>-0.668132974;-0.668132974</x:v>
      </x:c>
      <x:c r="R405" s="2" t="str">
        <x:v>0.5285420047584921</x:v>
      </x:c>
      <x:c r="S405" s="2" t="str">
        <x:v>46.53108427497314</x:v>
      </x:c>
    </x:row>
    <x:row r="406">
      <x:c r="A406" s="2" t="str">
        <x:v>DE-CMP-01</x:v>
      </x:c>
      <x:c r="B406" s="2" t="str">
        <x:v>CFG-C01</x:v>
      </x:c>
      <x:c r="C406" s="2" t="n">
        <x:v>46227.70238086805</x:v>
      </x:c>
      <x:c r="D406" s="2" t="str">
        <x:v>adaptive</x:v>
      </x:c>
      <x:c r="E406" s="2" t="str">
        <x:v>weak_beside_strong</x:v>
      </x:c>
      <x:c r="F406" s="2" t="str">
        <x:v>203</x:v>
      </x:c>
      <x:c r="G406" s="2" t="str">
        <x:v>3124206</x:v>
      </x:c>
      <x:c r="H406" s="2" t="str">
        <x:v>2048000.0</x:v>
      </x:c>
      <x:c r="I406" s="2" t="str">
        <x:v>8192</x:v>
      </x:c>
      <x:c r="J406" s="2" t="str">
        <x:v>250.0</x:v>
      </x:c>
      <x:c r="K406" s="2" t="str">
        <x:v>2</x:v>
      </x:c>
      <x:c r="L406" s="2" t="str">
        <x:v>3</x:v>
      </x:c>
      <x:c r="M406" s="2" t="str">
        <x:v>2</x:v>
      </x:c>
      <x:c r="N406" s="2" t="str">
        <x:v>1</x:v>
      </x:c>
      <x:c r="O406" s="2" t="str">
        <x:v>0</x:v>
      </x:c>
      <x:c r="P406" s="2" t="str">
        <x:v>true</x:v>
      </x:c>
      <x:c r="Q406" s="2" t="str">
        <x:v>46.837334815;46.837334815</x:v>
      </x:c>
      <x:c r="R406" s="2" t="str">
        <x:v>0.4252090002410114</x:v>
      </x:c>
      <x:c r="S406" s="2" t="str">
        <x:v>46.580538061297275</x:v>
      </x:c>
    </x:row>
    <x:row r="407">
      <x:c r="A407" s="2" t="str">
        <x:v>DE-CMP-01</x:v>
      </x:c>
      <x:c r="B407" s="2" t="str">
        <x:v>CFG-C01</x:v>
      </x:c>
      <x:c r="C407" s="2" t="n">
        <x:v>46227.70238086805</x:v>
      </x:c>
      <x:c r="D407" s="2" t="str">
        <x:v>os_cfar</x:v>
      </x:c>
      <x:c r="E407" s="2" t="str">
        <x:v>weak_beside_strong</x:v>
      </x:c>
      <x:c r="F407" s="2" t="str">
        <x:v>203</x:v>
      </x:c>
      <x:c r="G407" s="2" t="str">
        <x:v>3124206</x:v>
      </x:c>
      <x:c r="H407" s="2" t="str">
        <x:v>2048000.0</x:v>
      </x:c>
      <x:c r="I407" s="2" t="str">
        <x:v>8192</x:v>
      </x:c>
      <x:c r="J407" s="2" t="str">
        <x:v>250.0</x:v>
      </x:c>
      <x:c r="K407" s="2" t="str">
        <x:v>2</x:v>
      </x:c>
      <x:c r="L407" s="2" t="str">
        <x:v>3</x:v>
      </x:c>
      <x:c r="M407" s="2" t="str">
        <x:v>2</x:v>
      </x:c>
      <x:c r="N407" s="2" t="str">
        <x:v>1</x:v>
      </x:c>
      <x:c r="O407" s="2" t="str">
        <x:v>0</x:v>
      </x:c>
      <x:c r="P407" s="2" t="str">
        <x:v>true</x:v>
      </x:c>
      <x:c r="Q407" s="2" t="str">
        <x:v>46.837334815;46.837334815</x:v>
      </x:c>
      <x:c r="R407" s="2" t="str">
        <x:v>13.701249990845099</x:v>
      </x:c>
      <x:c r="S407" s="2" t="str">
        <x:v>48.20161779170074</x:v>
      </x:c>
    </x:row>
    <x:row r="408">
      <x:c r="A408" s="2" t="str">
        <x:v>DE-CMP-01</x:v>
      </x:c>
      <x:c r="B408" s="2" t="str">
        <x:v>CFG-C01</x:v>
      </x:c>
      <x:c r="C408" s="2" t="n">
        <x:v>46227.70238086805</x:v>
      </x:c>
      <x:c r="D408" s="2" t="str">
        <x:v>os_cfar</x:v>
      </x:c>
      <x:c r="E408" s="2" t="str">
        <x:v>weak_beside_strong</x:v>
      </x:c>
      <x:c r="F408" s="2" t="str">
        <x:v>204</x:v>
      </x:c>
      <x:c r="G408" s="2" t="str">
        <x:v>3124207</x:v>
      </x:c>
      <x:c r="H408" s="2" t="str">
        <x:v>2048000.0</x:v>
      </x:c>
      <x:c r="I408" s="2" t="str">
        <x:v>8192</x:v>
      </x:c>
      <x:c r="J408" s="2" t="str">
        <x:v>250.0</x:v>
      </x:c>
      <x:c r="K408" s="2" t="str">
        <x:v>2</x:v>
      </x:c>
      <x:c r="L408" s="2" t="str">
        <x:v>3</x:v>
      </x:c>
      <x:c r="M408" s="2" t="str">
        <x:v>2</x:v>
      </x:c>
      <x:c r="N408" s="2" t="str">
        <x:v>1</x:v>
      </x:c>
      <x:c r="O408" s="2" t="str">
        <x:v>0</x:v>
      </x:c>
      <x:c r="P408" s="2" t="str">
        <x:v>true</x:v>
      </x:c>
      <x:c r="Q408" s="2" t="str">
        <x:v>53.075658693;53.075658693</x:v>
      </x:c>
      <x:c r="R408" s="2" t="str">
        <x:v>14.058917004149407</x:v>
      </x:c>
      <x:c r="S408" s="2" t="str">
        <x:v>48.22630010178287</x:v>
      </x:c>
    </x:row>
    <x:row r="409">
      <x:c r="A409" s="2" t="str">
        <x:v>DE-CMP-01</x:v>
      </x:c>
      <x:c r="B409" s="2" t="str">
        <x:v>CFG-C01</x:v>
      </x:c>
      <x:c r="C409" s="2" t="n">
        <x:v>46227.70238086805</x:v>
      </x:c>
      <x:c r="D409" s="2" t="str">
        <x:v>adaptive</x:v>
      </x:c>
      <x:c r="E409" s="2" t="str">
        <x:v>weak_beside_strong</x:v>
      </x:c>
      <x:c r="F409" s="2" t="str">
        <x:v>204</x:v>
      </x:c>
      <x:c r="G409" s="2" t="str">
        <x:v>3124207</x:v>
      </x:c>
      <x:c r="H409" s="2" t="str">
        <x:v>2048000.0</x:v>
      </x:c>
      <x:c r="I409" s="2" t="str">
        <x:v>8192</x:v>
      </x:c>
      <x:c r="J409" s="2" t="str">
        <x:v>250.0</x:v>
      </x:c>
      <x:c r="K409" s="2" t="str">
        <x:v>2</x:v>
      </x:c>
      <x:c r="L409" s="2" t="str">
        <x:v>3</x:v>
      </x:c>
      <x:c r="M409" s="2" t="str">
        <x:v>2</x:v>
      </x:c>
      <x:c r="N409" s="2" t="str">
        <x:v>1</x:v>
      </x:c>
      <x:c r="O409" s="2" t="str">
        <x:v>0</x:v>
      </x:c>
      <x:c r="P409" s="2" t="str">
        <x:v>true</x:v>
      </x:c>
      <x:c r="Q409" s="2" t="str">
        <x:v>53.075658693;53.075658693</x:v>
      </x:c>
      <x:c r="R409" s="2" t="str">
        <x:v>0.4231669881846756</x:v>
      </x:c>
      <x:c r="S409" s="2" t="str">
        <x:v>46.54255236311815</x:v>
      </x:c>
    </x:row>
    <x:row r="410">
      <x:c r="A410" s="2" t="str">
        <x:v>DE-CMP-01</x:v>
      </x:c>
      <x:c r="B410" s="2" t="str">
        <x:v>CFG-C01</x:v>
      </x:c>
      <x:c r="C410" s="2" t="n">
        <x:v>46227.70238086805</x:v>
      </x:c>
      <x:c r="D410" s="2" t="str">
        <x:v>adaptive</x:v>
      </x:c>
      <x:c r="E410" s="2" t="str">
        <x:v>weak_beside_strong</x:v>
      </x:c>
      <x:c r="F410" s="2" t="str">
        <x:v>205</x:v>
      </x:c>
      <x:c r="G410" s="2" t="str">
        <x:v>3124208</x:v>
      </x:c>
      <x:c r="H410" s="2" t="str">
        <x:v>2048000.0</x:v>
      </x:c>
      <x:c r="I410" s="2" t="str">
        <x:v>8192</x:v>
      </x:c>
      <x:c r="J410" s="2" t="str">
        <x:v>250.0</x:v>
      </x:c>
      <x:c r="K410" s="2" t="str">
        <x:v>2</x:v>
      </x:c>
      <x:c r="L410" s="2" t="str">
        <x:v>3</x:v>
      </x:c>
      <x:c r="M410" s="2" t="str">
        <x:v>2</x:v>
      </x:c>
      <x:c r="N410" s="2" t="str">
        <x:v>1</x:v>
      </x:c>
      <x:c r="O410" s="2" t="str">
        <x:v>0</x:v>
      </x:c>
      <x:c r="P410" s="2" t="str">
        <x:v>true</x:v>
      </x:c>
      <x:c r="Q410" s="2" t="str">
        <x:v>115.490818329;-134.509181671</x:v>
      </x:c>
      <x:c r="R410" s="2" t="str">
        <x:v>0.4223340074531734</x:v>
      </x:c>
      <x:c r="S410" s="2" t="str">
        <x:v>46.37203159773863</x:v>
      </x:c>
    </x:row>
    <x:row r="411">
      <x:c r="A411" s="2" t="str">
        <x:v>DE-CMP-01</x:v>
      </x:c>
      <x:c r="B411" s="2" t="str">
        <x:v>CFG-C01</x:v>
      </x:c>
      <x:c r="C411" s="2" t="n">
        <x:v>46227.70238086805</x:v>
      </x:c>
      <x:c r="D411" s="2" t="str">
        <x:v>os_cfar</x:v>
      </x:c>
      <x:c r="E411" s="2" t="str">
        <x:v>weak_beside_strong</x:v>
      </x:c>
      <x:c r="F411" s="2" t="str">
        <x:v>205</x:v>
      </x:c>
      <x:c r="G411" s="2" t="str">
        <x:v>3124208</x:v>
      </x:c>
      <x:c r="H411" s="2" t="str">
        <x:v>2048000.0</x:v>
      </x:c>
      <x:c r="I411" s="2" t="str">
        <x:v>8192</x:v>
      </x:c>
      <x:c r="J411" s="2" t="str">
        <x:v>250.0</x:v>
      </x:c>
      <x:c r="K411" s="2" t="str">
        <x:v>2</x:v>
      </x:c>
      <x:c r="L411" s="2" t="str">
        <x:v>3</x:v>
      </x:c>
      <x:c r="M411" s="2" t="str">
        <x:v>2</x:v>
      </x:c>
      <x:c r="N411" s="2" t="str">
        <x:v>1</x:v>
      </x:c>
      <x:c r="O411" s="2" t="str">
        <x:v>0</x:v>
      </x:c>
      <x:c r="P411" s="2" t="str">
        <x:v>true</x:v>
      </x:c>
      <x:c r="Q411" s="2" t="str">
        <x:v>115.490818329;-134.509181671</x:v>
      </x:c>
      <x:c r="R411" s="2" t="str">
        <x:v>14.11766700039152</x:v>
      </x:c>
      <x:c r="S411" s="2" t="str">
        <x:v>48.22136993230597</x:v>
      </x:c>
    </x:row>
    <x:row r="412">
      <x:c r="A412" s="2" t="str">
        <x:v>DE-CMP-01</x:v>
      </x:c>
      <x:c r="B412" s="2" t="str">
        <x:v>CFG-C01</x:v>
      </x:c>
      <x:c r="C412" s="2" t="n">
        <x:v>46227.70238086805</x:v>
      </x:c>
      <x:c r="D412" s="2" t="str">
        <x:v>os_cfar</x:v>
      </x:c>
      <x:c r="E412" s="2" t="str">
        <x:v>weak_beside_strong</x:v>
      </x:c>
      <x:c r="F412" s="2" t="str">
        <x:v>206</x:v>
      </x:c>
      <x:c r="G412" s="2" t="str">
        <x:v>3124209</x:v>
      </x:c>
      <x:c r="H412" s="2" t="str">
        <x:v>2048000.0</x:v>
      </x:c>
      <x:c r="I412" s="2" t="str">
        <x:v>8192</x:v>
      </x:c>
      <x:c r="J412" s="2" t="str">
        <x:v>250.0</x:v>
      </x:c>
      <x:c r="K412" s="2" t="str">
        <x:v>2</x:v>
      </x:c>
      <x:c r="L412" s="2" t="str">
        <x:v>3</x:v>
      </x:c>
      <x:c r="M412" s="2" t="str">
        <x:v>2</x:v>
      </x:c>
      <x:c r="N412" s="2" t="str">
        <x:v>1</x:v>
      </x:c>
      <x:c r="O412" s="2" t="str">
        <x:v>0</x:v>
      </x:c>
      <x:c r="P412" s="2" t="str">
        <x:v>true</x:v>
      </x:c>
      <x:c r="Q412" s="2" t="str">
        <x:v>70.675968654;70.675968654</x:v>
      </x:c>
      <x:c r="R412" s="2" t="str">
        <x:v>13.677750001079403</x:v>
      </x:c>
      <x:c r="S412" s="2" t="str">
        <x:v>48.17901105726897</x:v>
      </x:c>
    </x:row>
    <x:row r="413">
      <x:c r="A413" s="2" t="str">
        <x:v>DE-CMP-01</x:v>
      </x:c>
      <x:c r="B413" s="2" t="str">
        <x:v>CFG-C01</x:v>
      </x:c>
      <x:c r="C413" s="2" t="n">
        <x:v>46227.70238086805</x:v>
      </x:c>
      <x:c r="D413" s="2" t="str">
        <x:v>adaptive</x:v>
      </x:c>
      <x:c r="E413" s="2" t="str">
        <x:v>weak_beside_strong</x:v>
      </x:c>
      <x:c r="F413" s="2" t="str">
        <x:v>206</x:v>
      </x:c>
      <x:c r="G413" s="2" t="str">
        <x:v>3124209</x:v>
      </x:c>
      <x:c r="H413" s="2" t="str">
        <x:v>2048000.0</x:v>
      </x:c>
      <x:c r="I413" s="2" t="str">
        <x:v>8192</x:v>
      </x:c>
      <x:c r="J413" s="2" t="str">
        <x:v>250.0</x:v>
      </x:c>
      <x:c r="K413" s="2" t="str">
        <x:v>2</x:v>
      </x:c>
      <x:c r="L413" s="2" t="str">
        <x:v>3</x:v>
      </x:c>
      <x:c r="M413" s="2" t="str">
        <x:v>2</x:v>
      </x:c>
      <x:c r="N413" s="2" t="str">
        <x:v>1</x:v>
      </x:c>
      <x:c r="O413" s="2" t="str">
        <x:v>0</x:v>
      </x:c>
      <x:c r="P413" s="2" t="str">
        <x:v>true</x:v>
      </x:c>
      <x:c r="Q413" s="2" t="str">
        <x:v>70.675968654;70.675968654</x:v>
      </x:c>
      <x:c r="R413" s="2" t="str">
        <x:v>0.4442080098669976</x:v>
      </x:c>
      <x:c r="S413" s="2" t="str">
        <x:v>46.24077098756174</x:v>
      </x:c>
    </x:row>
    <x:row r="414">
      <x:c r="A414" s="2" t="str">
        <x:v>DE-CMP-01</x:v>
      </x:c>
      <x:c r="B414" s="2" t="str">
        <x:v>CFG-C01</x:v>
      </x:c>
      <x:c r="C414" s="2" t="n">
        <x:v>46227.70238086805</x:v>
      </x:c>
      <x:c r="D414" s="2" t="str">
        <x:v>adaptive</x:v>
      </x:c>
      <x:c r="E414" s="2" t="str">
        <x:v>weak_beside_strong</x:v>
      </x:c>
      <x:c r="F414" s="2" t="str">
        <x:v>207</x:v>
      </x:c>
      <x:c r="G414" s="2" t="str">
        <x:v>3124210</x:v>
      </x:c>
      <x:c r="H414" s="2" t="str">
        <x:v>2048000.0</x:v>
      </x:c>
      <x:c r="I414" s="2" t="str">
        <x:v>8192</x:v>
      </x:c>
      <x:c r="J414" s="2" t="str">
        <x:v>250.0</x:v>
      </x:c>
      <x:c r="K414" s="2" t="str">
        <x:v>2</x:v>
      </x:c>
      <x:c r="L414" s="2" t="str">
        <x:v>3</x:v>
      </x:c>
      <x:c r="M414" s="2" t="str">
        <x:v>2</x:v>
      </x:c>
      <x:c r="N414" s="2" t="str">
        <x:v>1</x:v>
      </x:c>
      <x:c r="O414" s="2" t="str">
        <x:v>0</x:v>
      </x:c>
      <x:c r="P414" s="2" t="str">
        <x:v>true</x:v>
      </x:c>
      <x:c r="Q414" s="2" t="str">
        <x:v>66.778733921;66.778733921</x:v>
      </x:c>
      <x:c r="R414" s="2" t="str">
        <x:v>0.38454199966508895</x:v>
      </x:c>
      <x:c r="S414" s="2" t="str">
        <x:v>46.48197118845748</x:v>
      </x:c>
    </x:row>
    <x:row r="415">
      <x:c r="A415" s="2" t="str">
        <x:v>DE-CMP-01</x:v>
      </x:c>
      <x:c r="B415" s="2" t="str">
        <x:v>CFG-C01</x:v>
      </x:c>
      <x:c r="C415" s="2" t="n">
        <x:v>46227.70238086805</x:v>
      </x:c>
      <x:c r="D415" s="2" t="str">
        <x:v>os_cfar</x:v>
      </x:c>
      <x:c r="E415" s="2" t="str">
        <x:v>weak_beside_strong</x:v>
      </x:c>
      <x:c r="F415" s="2" t="str">
        <x:v>207</x:v>
      </x:c>
      <x:c r="G415" s="2" t="str">
        <x:v>3124210</x:v>
      </x:c>
      <x:c r="H415" s="2" t="str">
        <x:v>2048000.0</x:v>
      </x:c>
      <x:c r="I415" s="2" t="str">
        <x:v>8192</x:v>
      </x:c>
      <x:c r="J415" s="2" t="str">
        <x:v>250.0</x:v>
      </x:c>
      <x:c r="K415" s="2" t="str">
        <x:v>2</x:v>
      </x:c>
      <x:c r="L415" s="2" t="str">
        <x:v>3</x:v>
      </x:c>
      <x:c r="M415" s="2" t="str">
        <x:v>2</x:v>
      </x:c>
      <x:c r="N415" s="2" t="str">
        <x:v>1</x:v>
      </x:c>
      <x:c r="O415" s="2" t="str">
        <x:v>0</x:v>
      </x:c>
      <x:c r="P415" s="2" t="str">
        <x:v>true</x:v>
      </x:c>
      <x:c r="Q415" s="2" t="str">
        <x:v>66.778733921;66.778733921</x:v>
      </x:c>
      <x:c r="R415" s="2" t="str">
        <x:v>13.962750002974644</x:v>
      </x:c>
      <x:c r="S415" s="2" t="str">
        <x:v>48.255790376970396</x:v>
      </x:c>
    </x:row>
    <x:row r="416">
      <x:c r="A416" s="2" t="str">
        <x:v>DE-CMP-01</x:v>
      </x:c>
      <x:c r="B416" s="2" t="str">
        <x:v>CFG-C01</x:v>
      </x:c>
      <x:c r="C416" s="2" t="n">
        <x:v>46227.70238086805</x:v>
      </x:c>
      <x:c r="D416" s="2" t="str">
        <x:v>os_cfar</x:v>
      </x:c>
      <x:c r="E416" s="2" t="str">
        <x:v>weak_beside_strong</x:v>
      </x:c>
      <x:c r="F416" s="2" t="str">
        <x:v>208</x:v>
      </x:c>
      <x:c r="G416" s="2" t="str">
        <x:v>3124211</x:v>
      </x:c>
      <x:c r="H416" s="2" t="str">
        <x:v>2048000.0</x:v>
      </x:c>
      <x:c r="I416" s="2" t="str">
        <x:v>8192</x:v>
      </x:c>
      <x:c r="J416" s="2" t="str">
        <x:v>250.0</x:v>
      </x:c>
      <x:c r="K416" s="2" t="str">
        <x:v>2</x:v>
      </x:c>
      <x:c r="L416" s="2" t="str">
        <x:v>3</x:v>
      </x:c>
      <x:c r="M416" s="2" t="str">
        <x:v>2</x:v>
      </x:c>
      <x:c r="N416" s="2" t="str">
        <x:v>1</x:v>
      </x:c>
      <x:c r="O416" s="2" t="str">
        <x:v>0</x:v>
      </x:c>
      <x:c r="P416" s="2" t="str">
        <x:v>true</x:v>
      </x:c>
      <x:c r="Q416" s="2" t="str">
        <x:v>115.508018171;115.508018171</x:v>
      </x:c>
      <x:c r="R416" s="2" t="str">
        <x:v>14.026792006916367</x:v>
      </x:c>
      <x:c r="S416" s="2" t="str">
        <x:v>48.302409858095785</x:v>
      </x:c>
    </x:row>
    <x:row r="417">
      <x:c r="A417" s="2" t="str">
        <x:v>DE-CMP-01</x:v>
      </x:c>
      <x:c r="B417" s="2" t="str">
        <x:v>CFG-C01</x:v>
      </x:c>
      <x:c r="C417" s="2" t="n">
        <x:v>46227.70238086805</x:v>
      </x:c>
      <x:c r="D417" s="2" t="str">
        <x:v>adaptive</x:v>
      </x:c>
      <x:c r="E417" s="2" t="str">
        <x:v>weak_beside_strong</x:v>
      </x:c>
      <x:c r="F417" s="2" t="str">
        <x:v>208</x:v>
      </x:c>
      <x:c r="G417" s="2" t="str">
        <x:v>3124211</x:v>
      </x:c>
      <x:c r="H417" s="2" t="str">
        <x:v>2048000.0</x:v>
      </x:c>
      <x:c r="I417" s="2" t="str">
        <x:v>8192</x:v>
      </x:c>
      <x:c r="J417" s="2" t="str">
        <x:v>250.0</x:v>
      </x:c>
      <x:c r="K417" s="2" t="str">
        <x:v>2</x:v>
      </x:c>
      <x:c r="L417" s="2" t="str">
        <x:v>3</x:v>
      </x:c>
      <x:c r="M417" s="2" t="str">
        <x:v>2</x:v>
      </x:c>
      <x:c r="N417" s="2" t="str">
        <x:v>1</x:v>
      </x:c>
      <x:c r="O417" s="2" t="str">
        <x:v>0</x:v>
      </x:c>
      <x:c r="P417" s="2" t="str">
        <x:v>true</x:v>
      </x:c>
      <x:c r="Q417" s="2" t="str">
        <x:v>115.508018171;115.508018171</x:v>
      </x:c>
      <x:c r="R417" s="2" t="str">
        <x:v>0.3809999907389283</x:v>
      </x:c>
      <x:c r="S417" s="2" t="str">
        <x:v>46.55891453846921</x:v>
      </x:c>
    </x:row>
    <x:row r="418">
      <x:c r="A418" s="2" t="str">
        <x:v>DE-CMP-01</x:v>
      </x:c>
      <x:c r="B418" s="2" t="str">
        <x:v>CFG-C01</x:v>
      </x:c>
      <x:c r="C418" s="2" t="n">
        <x:v>46227.70238086805</x:v>
      </x:c>
      <x:c r="D418" s="2" t="str">
        <x:v>adaptive</x:v>
      </x:c>
      <x:c r="E418" s="2" t="str">
        <x:v>weak_beside_strong</x:v>
      </x:c>
      <x:c r="F418" s="2" t="str">
        <x:v>209</x:v>
      </x:c>
      <x:c r="G418" s="2" t="str">
        <x:v>3124212</x:v>
      </x:c>
      <x:c r="H418" s="2" t="str">
        <x:v>2048000.0</x:v>
      </x:c>
      <x:c r="I418" s="2" t="str">
        <x:v>8192</x:v>
      </x:c>
      <x:c r="J418" s="2" t="str">
        <x:v>250.0</x:v>
      </x:c>
      <x:c r="K418" s="2" t="str">
        <x:v>2</x:v>
      </x:c>
      <x:c r="L418" s="2" t="str">
        <x:v>3</x:v>
      </x:c>
      <x:c r="M418" s="2" t="str">
        <x:v>2</x:v>
      </x:c>
      <x:c r="N418" s="2" t="str">
        <x:v>1</x:v>
      </x:c>
      <x:c r="O418" s="2" t="str">
        <x:v>0</x:v>
      </x:c>
      <x:c r="P418" s="2" t="str">
        <x:v>true</x:v>
      </x:c>
      <x:c r="Q418" s="2" t="str">
        <x:v>-121.762577755;-121.762577755</x:v>
      </x:c>
      <x:c r="R418" s="2" t="str">
        <x:v>0.417874995036982</x:v>
      </x:c>
      <x:c r="S418" s="2" t="str">
        <x:v>46.56793119886857</x:v>
      </x:c>
    </x:row>
    <x:row r="419">
      <x:c r="A419" s="2" t="str">
        <x:v>DE-CMP-01</x:v>
      </x:c>
      <x:c r="B419" s="2" t="str">
        <x:v>CFG-C01</x:v>
      </x:c>
      <x:c r="C419" s="2" t="n">
        <x:v>46227.70238086805</x:v>
      </x:c>
      <x:c r="D419" s="2" t="str">
        <x:v>os_cfar</x:v>
      </x:c>
      <x:c r="E419" s="2" t="str">
        <x:v>weak_beside_strong</x:v>
      </x:c>
      <x:c r="F419" s="2" t="str">
        <x:v>209</x:v>
      </x:c>
      <x:c r="G419" s="2" t="str">
        <x:v>3124212</x:v>
      </x:c>
      <x:c r="H419" s="2" t="str">
        <x:v>2048000.0</x:v>
      </x:c>
      <x:c r="I419" s="2" t="str">
        <x:v>8192</x:v>
      </x:c>
      <x:c r="J419" s="2" t="str">
        <x:v>250.0</x:v>
      </x:c>
      <x:c r="K419" s="2" t="str">
        <x:v>2</x:v>
      </x:c>
      <x:c r="L419" s="2" t="str">
        <x:v>3</x:v>
      </x:c>
      <x:c r="M419" s="2" t="str">
        <x:v>2</x:v>
      </x:c>
      <x:c r="N419" s="2" t="str">
        <x:v>1</x:v>
      </x:c>
      <x:c r="O419" s="2" t="str">
        <x:v>0</x:v>
      </x:c>
      <x:c r="P419" s="2" t="str">
        <x:v>true</x:v>
      </x:c>
      <x:c r="Q419" s="2" t="str">
        <x:v>-121.762577755;-121.762577755</x:v>
      </x:c>
      <x:c r="R419" s="2" t="str">
        <x:v>14.09970800159499</x:v>
      </x:c>
      <x:c r="S419" s="2" t="str">
        <x:v>48.30477573027899</x:v>
      </x:c>
    </x:row>
    <x:row r="420">
      <x:c r="A420" s="2" t="str">
        <x:v>DE-CMP-01</x:v>
      </x:c>
      <x:c r="B420" s="2" t="str">
        <x:v>CFG-C01</x:v>
      </x:c>
      <x:c r="C420" s="2" t="n">
        <x:v>46227.70238086805</x:v>
      </x:c>
      <x:c r="D420" s="2" t="str">
        <x:v>os_cfar</x:v>
      </x:c>
      <x:c r="E420" s="2" t="str">
        <x:v>weak_beside_strong</x:v>
      </x:c>
      <x:c r="F420" s="2" t="str">
        <x:v>210</x:v>
      </x:c>
      <x:c r="G420" s="2" t="str">
        <x:v>3124213</x:v>
      </x:c>
      <x:c r="H420" s="2" t="str">
        <x:v>2048000.0</x:v>
      </x:c>
      <x:c r="I420" s="2" t="str">
        <x:v>8192</x:v>
      </x:c>
      <x:c r="J420" s="2" t="str">
        <x:v>250.0</x:v>
      </x:c>
      <x:c r="K420" s="2" t="str">
        <x:v>2</x:v>
      </x:c>
      <x:c r="L420" s="2" t="str">
        <x:v>3</x:v>
      </x:c>
      <x:c r="M420" s="2" t="str">
        <x:v>2</x:v>
      </x:c>
      <x:c r="N420" s="2" t="str">
        <x:v>1</x:v>
      </x:c>
      <x:c r="O420" s="2" t="str">
        <x:v>0</x:v>
      </x:c>
      <x:c r="P420" s="2" t="str">
        <x:v>true</x:v>
      </x:c>
      <x:c r="Q420" s="2" t="str">
        <x:v>-88.407189951;-88.407189951</x:v>
      </x:c>
      <x:c r="R420" s="2" t="str">
        <x:v>13.834000012138858</x:v>
      </x:c>
      <x:c r="S420" s="2" t="str">
        <x:v>48.20422767946525</x:v>
      </x:c>
    </x:row>
    <x:row r="421">
      <x:c r="A421" s="2" t="str">
        <x:v>DE-CMP-01</x:v>
      </x:c>
      <x:c r="B421" s="2" t="str">
        <x:v>CFG-C01</x:v>
      </x:c>
      <x:c r="C421" s="2" t="n">
        <x:v>46227.70238086805</x:v>
      </x:c>
      <x:c r="D421" s="2" t="str">
        <x:v>adaptive</x:v>
      </x:c>
      <x:c r="E421" s="2" t="str">
        <x:v>weak_beside_strong</x:v>
      </x:c>
      <x:c r="F421" s="2" t="str">
        <x:v>210</x:v>
      </x:c>
      <x:c r="G421" s="2" t="str">
        <x:v>3124213</x:v>
      </x:c>
      <x:c r="H421" s="2" t="str">
        <x:v>2048000.0</x:v>
      </x:c>
      <x:c r="I421" s="2" t="str">
        <x:v>8192</x:v>
      </x:c>
      <x:c r="J421" s="2" t="str">
        <x:v>250.0</x:v>
      </x:c>
      <x:c r="K421" s="2" t="str">
        <x:v>2</x:v>
      </x:c>
      <x:c r="L421" s="2" t="str">
        <x:v>3</x:v>
      </x:c>
      <x:c r="M421" s="2" t="str">
        <x:v>2</x:v>
      </x:c>
      <x:c r="N421" s="2" t="str">
        <x:v>1</x:v>
      </x:c>
      <x:c r="O421" s="2" t="str">
        <x:v>0</x:v>
      </x:c>
      <x:c r="P421" s="2" t="str">
        <x:v>true</x:v>
      </x:c>
      <x:c r="Q421" s="2" t="str">
        <x:v>-88.407189951;-88.407189951</x:v>
      </x:c>
      <x:c r="R421" s="2" t="str">
        <x:v>0.43058399751316756</x:v>
      </x:c>
      <x:c r="S421" s="2" t="str">
        <x:v>46.30898826561815</x:v>
      </x:c>
    </x:row>
    <x:row r="422">
      <x:c r="A422" s="2" t="str">
        <x:v>DE-CMP-01</x:v>
      </x:c>
      <x:c r="B422" s="2" t="str">
        <x:v>CFG-C01</x:v>
      </x:c>
      <x:c r="C422" s="2" t="n">
        <x:v>46227.70238086805</x:v>
      </x:c>
      <x:c r="D422" s="2" t="str">
        <x:v>adaptive</x:v>
      </x:c>
      <x:c r="E422" s="2" t="str">
        <x:v>weak_beside_strong</x:v>
      </x:c>
      <x:c r="F422" s="2" t="str">
        <x:v>211</x:v>
      </x:c>
      <x:c r="G422" s="2" t="str">
        <x:v>3124214</x:v>
      </x:c>
      <x:c r="H422" s="2" t="str">
        <x:v>2048000.0</x:v>
      </x:c>
      <x:c r="I422" s="2" t="str">
        <x:v>8192</x:v>
      </x:c>
      <x:c r="J422" s="2" t="str">
        <x:v>250.0</x:v>
      </x:c>
      <x:c r="K422" s="2" t="str">
        <x:v>2</x:v>
      </x:c>
      <x:c r="L422" s="2" t="str">
        <x:v>3</x:v>
      </x:c>
      <x:c r="M422" s="2" t="str">
        <x:v>2</x:v>
      </x:c>
      <x:c r="N422" s="2" t="str">
        <x:v>1</x:v>
      </x:c>
      <x:c r="O422" s="2" t="str">
        <x:v>0</x:v>
      </x:c>
      <x:c r="P422" s="2" t="str">
        <x:v>true</x:v>
      </x:c>
      <x:c r="Q422" s="2" t="str">
        <x:v>-18.408825794;-18.408825794</x:v>
      </x:c>
      <x:c r="R422" s="2" t="str">
        <x:v>0.42091700015589595</x:v>
      </x:c>
      <x:c r="S422" s="2" t="str">
        <x:v>46.57124691132323</x:v>
      </x:c>
    </x:row>
    <x:row r="423">
      <x:c r="A423" s="2" t="str">
        <x:v>DE-CMP-01</x:v>
      </x:c>
      <x:c r="B423" s="2" t="str">
        <x:v>CFG-C01</x:v>
      </x:c>
      <x:c r="C423" s="2" t="n">
        <x:v>46227.70238086805</x:v>
      </x:c>
      <x:c r="D423" s="2" t="str">
        <x:v>os_cfar</x:v>
      </x:c>
      <x:c r="E423" s="2" t="str">
        <x:v>weak_beside_strong</x:v>
      </x:c>
      <x:c r="F423" s="2" t="str">
        <x:v>211</x:v>
      </x:c>
      <x:c r="G423" s="2" t="str">
        <x:v>3124214</x:v>
      </x:c>
      <x:c r="H423" s="2" t="str">
        <x:v>2048000.0</x:v>
      </x:c>
      <x:c r="I423" s="2" t="str">
        <x:v>8192</x:v>
      </x:c>
      <x:c r="J423" s="2" t="str">
        <x:v>250.0</x:v>
      </x:c>
      <x:c r="K423" s="2" t="str">
        <x:v>2</x:v>
      </x:c>
      <x:c r="L423" s="2" t="str">
        <x:v>3</x:v>
      </x:c>
      <x:c r="M423" s="2" t="str">
        <x:v>2</x:v>
      </x:c>
      <x:c r="N423" s="2" t="str">
        <x:v>1</x:v>
      </x:c>
      <x:c r="O423" s="2" t="str">
        <x:v>0</x:v>
      </x:c>
      <x:c r="P423" s="2" t="str">
        <x:v>true</x:v>
      </x:c>
      <x:c r="Q423" s="2" t="str">
        <x:v>-18.408825794;-18.408825794</x:v>
      </x:c>
      <x:c r="R423" s="2" t="str">
        <x:v>14.170458001899533</x:v>
      </x:c>
      <x:c r="S423" s="2" t="str">
        <x:v>48.191225377266555</x:v>
      </x:c>
    </x:row>
    <x:row r="424">
      <x:c r="A424" s="2" t="str">
        <x:v>DE-CMP-01</x:v>
      </x:c>
      <x:c r="B424" s="2" t="str">
        <x:v>CFG-C01</x:v>
      </x:c>
      <x:c r="C424" s="2" t="n">
        <x:v>46227.70238086805</x:v>
      </x:c>
      <x:c r="D424" s="2" t="str">
        <x:v>os_cfar</x:v>
      </x:c>
      <x:c r="E424" s="2" t="str">
        <x:v>weak_beside_strong</x:v>
      </x:c>
      <x:c r="F424" s="2" t="str">
        <x:v>212</x:v>
      </x:c>
      <x:c r="G424" s="2" t="str">
        <x:v>3124215</x:v>
      </x:c>
      <x:c r="H424" s="2" t="str">
        <x:v>2048000.0</x:v>
      </x:c>
      <x:c r="I424" s="2" t="str">
        <x:v>8192</x:v>
      </x:c>
      <x:c r="J424" s="2" t="str">
        <x:v>250.0</x:v>
      </x:c>
      <x:c r="K424" s="2" t="str">
        <x:v>2</x:v>
      </x:c>
      <x:c r="L424" s="2" t="str">
        <x:v>3</x:v>
      </x:c>
      <x:c r="M424" s="2" t="str">
        <x:v>2</x:v>
      </x:c>
      <x:c r="N424" s="2" t="str">
        <x:v>1</x:v>
      </x:c>
      <x:c r="O424" s="2" t="str">
        <x:v>0</x:v>
      </x:c>
      <x:c r="P424" s="2" t="str">
        <x:v>true</x:v>
      </x:c>
      <x:c r="Q424" s="2" t="str">
        <x:v>-74.442445966;-74.442445966</x:v>
      </x:c>
      <x:c r="R424" s="2" t="str">
        <x:v>13.769584009423852</x:v>
      </x:c>
      <x:c r="S424" s="2" t="str">
        <x:v>48.17068753387265</x:v>
      </x:c>
    </x:row>
    <x:row r="425">
      <x:c r="A425" s="2" t="str">
        <x:v>DE-CMP-01</x:v>
      </x:c>
      <x:c r="B425" s="2" t="str">
        <x:v>CFG-C01</x:v>
      </x:c>
      <x:c r="C425" s="2" t="n">
        <x:v>46227.70238086805</x:v>
      </x:c>
      <x:c r="D425" s="2" t="str">
        <x:v>adaptive</x:v>
      </x:c>
      <x:c r="E425" s="2" t="str">
        <x:v>weak_beside_strong</x:v>
      </x:c>
      <x:c r="F425" s="2" t="str">
        <x:v>212</x:v>
      </x:c>
      <x:c r="G425" s="2" t="str">
        <x:v>3124215</x:v>
      </x:c>
      <x:c r="H425" s="2" t="str">
        <x:v>2048000.0</x:v>
      </x:c>
      <x:c r="I425" s="2" t="str">
        <x:v>8192</x:v>
      </x:c>
      <x:c r="J425" s="2" t="str">
        <x:v>250.0</x:v>
      </x:c>
      <x:c r="K425" s="2" t="str">
        <x:v>2</x:v>
      </x:c>
      <x:c r="L425" s="2" t="str">
        <x:v>3</x:v>
      </x:c>
      <x:c r="M425" s="2" t="str">
        <x:v>2</x:v>
      </x:c>
      <x:c r="N425" s="2" t="str">
        <x:v>1</x:v>
      </x:c>
      <x:c r="O425" s="2" t="str">
        <x:v>0</x:v>
      </x:c>
      <x:c r="P425" s="2" t="str">
        <x:v>true</x:v>
      </x:c>
      <x:c r="Q425" s="2" t="str">
        <x:v>-74.442445966;-74.442445966</x:v>
      </x:c>
      <x:c r="R425" s="2" t="str">
        <x:v>0.42483399738557637</x:v>
      </x:c>
      <x:c r="S425" s="2" t="str">
        <x:v>46.273426831931296</x:v>
      </x:c>
    </x:row>
    <x:row r="426">
      <x:c r="A426" s="2" t="str">
        <x:v>DE-CMP-01</x:v>
      </x:c>
      <x:c r="B426" s="2" t="str">
        <x:v>CFG-C01</x:v>
      </x:c>
      <x:c r="C426" s="2" t="n">
        <x:v>46227.70238086805</x:v>
      </x:c>
      <x:c r="D426" s="2" t="str">
        <x:v>adaptive</x:v>
      </x:c>
      <x:c r="E426" s="2" t="str">
        <x:v>weak_beside_strong</x:v>
      </x:c>
      <x:c r="F426" s="2" t="str">
        <x:v>213</x:v>
      </x:c>
      <x:c r="G426" s="2" t="str">
        <x:v>3124216</x:v>
      </x:c>
      <x:c r="H426" s="2" t="str">
        <x:v>2048000.0</x:v>
      </x:c>
      <x:c r="I426" s="2" t="str">
        <x:v>8192</x:v>
      </x:c>
      <x:c r="J426" s="2" t="str">
        <x:v>250.0</x:v>
      </x:c>
      <x:c r="K426" s="2" t="str">
        <x:v>2</x:v>
      </x:c>
      <x:c r="L426" s="2" t="str">
        <x:v>3</x:v>
      </x:c>
      <x:c r="M426" s="2" t="str">
        <x:v>2</x:v>
      </x:c>
      <x:c r="N426" s="2" t="str">
        <x:v>1</x:v>
      </x:c>
      <x:c r="O426" s="2" t="str">
        <x:v>0</x:v>
      </x:c>
      <x:c r="P426" s="2" t="str">
        <x:v>true</x:v>
      </x:c>
      <x:c r="Q426" s="2" t="str">
        <x:v>101.613099779;101.613099779</x:v>
      </x:c>
      <x:c r="R426" s="2" t="str">
        <x:v>0.40729100874159485</x:v>
      </x:c>
      <x:c r="S426" s="2" t="str">
        <x:v>46.513591446698335</x:v>
      </x:c>
    </x:row>
    <x:row r="427">
      <x:c r="A427" s="2" t="str">
        <x:v>DE-CMP-01</x:v>
      </x:c>
      <x:c r="B427" s="2" t="str">
        <x:v>CFG-C01</x:v>
      </x:c>
      <x:c r="C427" s="2" t="n">
        <x:v>46227.70238086805</x:v>
      </x:c>
      <x:c r="D427" s="2" t="str">
        <x:v>os_cfar</x:v>
      </x:c>
      <x:c r="E427" s="2" t="str">
        <x:v>weak_beside_strong</x:v>
      </x:c>
      <x:c r="F427" s="2" t="str">
        <x:v>213</x:v>
      </x:c>
      <x:c r="G427" s="2" t="str">
        <x:v>3124216</x:v>
      </x:c>
      <x:c r="H427" s="2" t="str">
        <x:v>2048000.0</x:v>
      </x:c>
      <x:c r="I427" s="2" t="str">
        <x:v>8192</x:v>
      </x:c>
      <x:c r="J427" s="2" t="str">
        <x:v>250.0</x:v>
      </x:c>
      <x:c r="K427" s="2" t="str">
        <x:v>2</x:v>
      </x:c>
      <x:c r="L427" s="2" t="str">
        <x:v>3</x:v>
      </x:c>
      <x:c r="M427" s="2" t="str">
        <x:v>2</x:v>
      </x:c>
      <x:c r="N427" s="2" t="str">
        <x:v>1</x:v>
      </x:c>
      <x:c r="O427" s="2" t="str">
        <x:v>0</x:v>
      </x:c>
      <x:c r="P427" s="2" t="str">
        <x:v>true</x:v>
      </x:c>
      <x:c r="Q427" s="2" t="str">
        <x:v>101.613099779;101.613099779</x:v>
      </x:c>
      <x:c r="R427" s="2" t="str">
        <x:v>14.048416996956803</x:v>
      </x:c>
      <x:c r="S427" s="2" t="str">
        <x:v>48.174574367769026</x:v>
      </x:c>
    </x:row>
    <x:row r="428">
      <x:c r="A428" s="2" t="str">
        <x:v>DE-CMP-01</x:v>
      </x:c>
      <x:c r="B428" s="2" t="str">
        <x:v>CFG-C01</x:v>
      </x:c>
      <x:c r="C428" s="2" t="n">
        <x:v>46227.70238086805</x:v>
      </x:c>
      <x:c r="D428" s="2" t="str">
        <x:v>os_cfar</x:v>
      </x:c>
      <x:c r="E428" s="2" t="str">
        <x:v>weak_beside_strong</x:v>
      </x:c>
      <x:c r="F428" s="2" t="str">
        <x:v>214</x:v>
      </x:c>
      <x:c r="G428" s="2" t="str">
        <x:v>3124217</x:v>
      </x:c>
      <x:c r="H428" s="2" t="str">
        <x:v>2048000.0</x:v>
      </x:c>
      <x:c r="I428" s="2" t="str">
        <x:v>8192</x:v>
      </x:c>
      <x:c r="J428" s="2" t="str">
        <x:v>250.0</x:v>
      </x:c>
      <x:c r="K428" s="2" t="str">
        <x:v>2</x:v>
      </x:c>
      <x:c r="L428" s="2" t="str">
        <x:v>3</x:v>
      </x:c>
      <x:c r="M428" s="2" t="str">
        <x:v>2</x:v>
      </x:c>
      <x:c r="N428" s="2" t="str">
        <x:v>1</x:v>
      </x:c>
      <x:c r="O428" s="2" t="str">
        <x:v>0</x:v>
      </x:c>
      <x:c r="P428" s="2" t="str">
        <x:v>true</x:v>
      </x:c>
      <x:c r="Q428" s="2" t="str">
        <x:v>66.043164377;66.043164377</x:v>
      </x:c>
      <x:c r="R428" s="2" t="str">
        <x:v>13.78850000037346</x:v>
      </x:c>
      <x:c r="S428" s="2" t="str">
        <x:v>48.10814395940474</x:v>
      </x:c>
    </x:row>
    <x:row r="429">
      <x:c r="A429" s="2" t="str">
        <x:v>DE-CMP-01</x:v>
      </x:c>
      <x:c r="B429" s="2" t="str">
        <x:v>CFG-C01</x:v>
      </x:c>
      <x:c r="C429" s="2" t="n">
        <x:v>46227.70238086805</x:v>
      </x:c>
      <x:c r="D429" s="2" t="str">
        <x:v>adaptive</x:v>
      </x:c>
      <x:c r="E429" s="2" t="str">
        <x:v>weak_beside_strong</x:v>
      </x:c>
      <x:c r="F429" s="2" t="str">
        <x:v>214</x:v>
      </x:c>
      <x:c r="G429" s="2" t="str">
        <x:v>3124217</x:v>
      </x:c>
      <x:c r="H429" s="2" t="str">
        <x:v>2048000.0</x:v>
      </x:c>
      <x:c r="I429" s="2" t="str">
        <x:v>8192</x:v>
      </x:c>
      <x:c r="J429" s="2" t="str">
        <x:v>250.0</x:v>
      </x:c>
      <x:c r="K429" s="2" t="str">
        <x:v>2</x:v>
      </x:c>
      <x:c r="L429" s="2" t="str">
        <x:v>3</x:v>
      </x:c>
      <x:c r="M429" s="2" t="str">
        <x:v>2</x:v>
      </x:c>
      <x:c r="N429" s="2" t="str">
        <x:v>1</x:v>
      </x:c>
      <x:c r="O429" s="2" t="str">
        <x:v>0</x:v>
      </x:c>
      <x:c r="P429" s="2" t="str">
        <x:v>true</x:v>
      </x:c>
      <x:c r="Q429" s="2" t="str">
        <x:v>66.043164377;66.043164377</x:v>
      </x:c>
      <x:c r="R429" s="2" t="str">
        <x:v>0.4193749919068068</x:v>
      </x:c>
      <x:c r="S429" s="2" t="str">
        <x:v>46.382315815725605</x:v>
      </x:c>
    </x:row>
    <x:row r="430">
      <x:c r="A430" s="2" t="str">
        <x:v>DE-CMP-01</x:v>
      </x:c>
      <x:c r="B430" s="2" t="str">
        <x:v>CFG-C01</x:v>
      </x:c>
      <x:c r="C430" s="2" t="n">
        <x:v>46227.70238086805</x:v>
      </x:c>
      <x:c r="D430" s="2" t="str">
        <x:v>adaptive</x:v>
      </x:c>
      <x:c r="E430" s="2" t="str">
        <x:v>weak_beside_strong</x:v>
      </x:c>
      <x:c r="F430" s="2" t="str">
        <x:v>215</x:v>
      </x:c>
      <x:c r="G430" s="2" t="str">
        <x:v>3124218</x:v>
      </x:c>
      <x:c r="H430" s="2" t="str">
        <x:v>2048000.0</x:v>
      </x:c>
      <x:c r="I430" s="2" t="str">
        <x:v>8192</x:v>
      </x:c>
      <x:c r="J430" s="2" t="str">
        <x:v>250.0</x:v>
      </x:c>
      <x:c r="K430" s="2" t="str">
        <x:v>2</x:v>
      </x:c>
      <x:c r="L430" s="2" t="str">
        <x:v>3</x:v>
      </x:c>
      <x:c r="M430" s="2" t="str">
        <x:v>2</x:v>
      </x:c>
      <x:c r="N430" s="2" t="str">
        <x:v>1</x:v>
      </x:c>
      <x:c r="O430" s="2" t="str">
        <x:v>0</x:v>
      </x:c>
      <x:c r="P430" s="2" t="str">
        <x:v>true</x:v>
      </x:c>
      <x:c r="Q430" s="2" t="str">
        <x:v>41.293639218;41.293639218</x:v>
      </x:c>
      <x:c r="R430" s="2" t="str">
        <x:v>0.3938750014640391</x:v>
      </x:c>
      <x:c r="S430" s="2" t="str">
        <x:v>46.47694008580526</x:v>
      </x:c>
    </x:row>
    <x:row r="431">
      <x:c r="A431" s="2" t="str">
        <x:v>DE-CMP-01</x:v>
      </x:c>
      <x:c r="B431" s="2" t="str">
        <x:v>CFG-C01</x:v>
      </x:c>
      <x:c r="C431" s="2" t="n">
        <x:v>46227.70238086805</x:v>
      </x:c>
      <x:c r="D431" s="2" t="str">
        <x:v>os_cfar</x:v>
      </x:c>
      <x:c r="E431" s="2" t="str">
        <x:v>weak_beside_strong</x:v>
      </x:c>
      <x:c r="F431" s="2" t="str">
        <x:v>215</x:v>
      </x:c>
      <x:c r="G431" s="2" t="str">
        <x:v>3124218</x:v>
      </x:c>
      <x:c r="H431" s="2" t="str">
        <x:v>2048000.0</x:v>
      </x:c>
      <x:c r="I431" s="2" t="str">
        <x:v>8192</x:v>
      </x:c>
      <x:c r="J431" s="2" t="str">
        <x:v>250.0</x:v>
      </x:c>
      <x:c r="K431" s="2" t="str">
        <x:v>2</x:v>
      </x:c>
      <x:c r="L431" s="2" t="str">
        <x:v>3</x:v>
      </x:c>
      <x:c r="M431" s="2" t="str">
        <x:v>2</x:v>
      </x:c>
      <x:c r="N431" s="2" t="str">
        <x:v>1</x:v>
      </x:c>
      <x:c r="O431" s="2" t="str">
        <x:v>0</x:v>
      </x:c>
      <x:c r="P431" s="2" t="str">
        <x:v>true</x:v>
      </x:c>
      <x:c r="Q431" s="2" t="str">
        <x:v>41.293639218;41.293639218</x:v>
      </x:c>
      <x:c r="R431" s="2" t="str">
        <x:v>13.76699999673292</x:v>
      </x:c>
      <x:c r="S431" s="2" t="str">
        <x:v>48.06958873858916</x:v>
      </x:c>
    </x:row>
    <x:row r="432">
      <x:c r="A432" s="2" t="str">
        <x:v>DE-CMP-01</x:v>
      </x:c>
      <x:c r="B432" s="2" t="str">
        <x:v>CFG-C01</x:v>
      </x:c>
      <x:c r="C432" s="2" t="n">
        <x:v>46227.70238086805</x:v>
      </x:c>
      <x:c r="D432" s="2" t="str">
        <x:v>os_cfar</x:v>
      </x:c>
      <x:c r="E432" s="2" t="str">
        <x:v>weak_beside_strong</x:v>
      </x:c>
      <x:c r="F432" s="2" t="str">
        <x:v>216</x:v>
      </x:c>
      <x:c r="G432" s="2" t="str">
        <x:v>3124219</x:v>
      </x:c>
      <x:c r="H432" s="2" t="str">
        <x:v>2048000.0</x:v>
      </x:c>
      <x:c r="I432" s="2" t="str">
        <x:v>8192</x:v>
      </x:c>
      <x:c r="J432" s="2" t="str">
        <x:v>250.0</x:v>
      </x:c>
      <x:c r="K432" s="2" t="str">
        <x:v>2</x:v>
      </x:c>
      <x:c r="L432" s="2" t="str">
        <x:v>3</x:v>
      </x:c>
      <x:c r="M432" s="2" t="str">
        <x:v>2</x:v>
      </x:c>
      <x:c r="N432" s="2" t="str">
        <x:v>1</x:v>
      </x:c>
      <x:c r="O432" s="2" t="str">
        <x:v>0</x:v>
      </x:c>
      <x:c r="P432" s="2" t="str">
        <x:v>true</x:v>
      </x:c>
      <x:c r="Q432" s="2" t="str">
        <x:v>39.628163965;39.628163965</x:v>
      </x:c>
      <x:c r="R432" s="2" t="str">
        <x:v>13.916957992478274</x:v>
      </x:c>
      <x:c r="S432" s="2" t="str">
        <x:v>48.126473955905524</x:v>
      </x:c>
    </x:row>
    <x:row r="433">
      <x:c r="A433" s="2" t="str">
        <x:v>DE-CMP-01</x:v>
      </x:c>
      <x:c r="B433" s="2" t="str">
        <x:v>CFG-C01</x:v>
      </x:c>
      <x:c r="C433" s="2" t="n">
        <x:v>46227.70238086805</x:v>
      </x:c>
      <x:c r="D433" s="2" t="str">
        <x:v>adaptive</x:v>
      </x:c>
      <x:c r="E433" s="2" t="str">
        <x:v>weak_beside_strong</x:v>
      </x:c>
      <x:c r="F433" s="2" t="str">
        <x:v>216</x:v>
      </x:c>
      <x:c r="G433" s="2" t="str">
        <x:v>3124219</x:v>
      </x:c>
      <x:c r="H433" s="2" t="str">
        <x:v>2048000.0</x:v>
      </x:c>
      <x:c r="I433" s="2" t="str">
        <x:v>8192</x:v>
      </x:c>
      <x:c r="J433" s="2" t="str">
        <x:v>250.0</x:v>
      </x:c>
      <x:c r="K433" s="2" t="str">
        <x:v>2</x:v>
      </x:c>
      <x:c r="L433" s="2" t="str">
        <x:v>3</x:v>
      </x:c>
      <x:c r="M433" s="2" t="str">
        <x:v>2</x:v>
      </x:c>
      <x:c r="N433" s="2" t="str">
        <x:v>1</x:v>
      </x:c>
      <x:c r="O433" s="2" t="str">
        <x:v>0</x:v>
      </x:c>
      <x:c r="P433" s="2" t="str">
        <x:v>true</x:v>
      </x:c>
      <x:c r="Q433" s="2" t="str">
        <x:v>39.628163965;39.628163965</x:v>
      </x:c>
      <x:c r="R433" s="2" t="str">
        <x:v>0.38329200469888747</x:v>
      </x:c>
      <x:c r="S433" s="2" t="str">
        <x:v>46.467458809183796</x:v>
      </x:c>
    </x:row>
    <x:row r="434">
      <x:c r="A434" s="2" t="str">
        <x:v>DE-CMP-01</x:v>
      </x:c>
      <x:c r="B434" s="2" t="str">
        <x:v>CFG-C01</x:v>
      </x:c>
      <x:c r="C434" s="2" t="n">
        <x:v>46227.70238086805</x:v>
      </x:c>
      <x:c r="D434" s="2" t="str">
        <x:v>adaptive</x:v>
      </x:c>
      <x:c r="E434" s="2" t="str">
        <x:v>weak_beside_strong</x:v>
      </x:c>
      <x:c r="F434" s="2" t="str">
        <x:v>217</x:v>
      </x:c>
      <x:c r="G434" s="2" t="str">
        <x:v>3124220</x:v>
      </x:c>
      <x:c r="H434" s="2" t="str">
        <x:v>2048000.0</x:v>
      </x:c>
      <x:c r="I434" s="2" t="str">
        <x:v>8192</x:v>
      </x:c>
      <x:c r="J434" s="2" t="str">
        <x:v>250.0</x:v>
      </x:c>
      <x:c r="K434" s="2" t="str">
        <x:v>2</x:v>
      </x:c>
      <x:c r="L434" s="2" t="str">
        <x:v>3</x:v>
      </x:c>
      <x:c r="M434" s="2" t="str">
        <x:v>2</x:v>
      </x:c>
      <x:c r="N434" s="2" t="str">
        <x:v>1</x:v>
      </x:c>
      <x:c r="O434" s="2" t="str">
        <x:v>0</x:v>
      </x:c>
      <x:c r="P434" s="2" t="str">
        <x:v>true</x:v>
      </x:c>
      <x:c r="Q434" s="2" t="str">
        <x:v>-66.573006161;-66.573006161</x:v>
      </x:c>
      <x:c r="R434" s="2" t="str">
        <x:v>0.3998750034952536</x:v>
      </x:c>
      <x:c r="S434" s="2" t="str">
        <x:v>46.283974744231266</x:v>
      </x:c>
    </x:row>
    <x:row r="435">
      <x:c r="A435" s="2" t="str">
        <x:v>DE-CMP-01</x:v>
      </x:c>
      <x:c r="B435" s="2" t="str">
        <x:v>CFG-C01</x:v>
      </x:c>
      <x:c r="C435" s="2" t="n">
        <x:v>46227.70238086805</x:v>
      </x:c>
      <x:c r="D435" s="2" t="str">
        <x:v>os_cfar</x:v>
      </x:c>
      <x:c r="E435" s="2" t="str">
        <x:v>weak_beside_strong</x:v>
      </x:c>
      <x:c r="F435" s="2" t="str">
        <x:v>217</x:v>
      </x:c>
      <x:c r="G435" s="2" t="str">
        <x:v>3124220</x:v>
      </x:c>
      <x:c r="H435" s="2" t="str">
        <x:v>2048000.0</x:v>
      </x:c>
      <x:c r="I435" s="2" t="str">
        <x:v>8192</x:v>
      </x:c>
      <x:c r="J435" s="2" t="str">
        <x:v>250.0</x:v>
      </x:c>
      <x:c r="K435" s="2" t="str">
        <x:v>2</x:v>
      </x:c>
      <x:c r="L435" s="2" t="str">
        <x:v>3</x:v>
      </x:c>
      <x:c r="M435" s="2" t="str">
        <x:v>2</x:v>
      </x:c>
      <x:c r="N435" s="2" t="str">
        <x:v>1</x:v>
      </x:c>
      <x:c r="O435" s="2" t="str">
        <x:v>0</x:v>
      </x:c>
      <x:c r="P435" s="2" t="str">
        <x:v>true</x:v>
      </x:c>
      <x:c r="Q435" s="2" t="str">
        <x:v>-66.573006161;-66.573006161</x:v>
      </x:c>
      <x:c r="R435" s="2" t="str">
        <x:v>13.74420800129883</x:v>
      </x:c>
      <x:c r="S435" s="2" t="str">
        <x:v>48.188778467428506</x:v>
      </x:c>
    </x:row>
    <x:row r="436">
      <x:c r="A436" s="2" t="str">
        <x:v>DE-CMP-01</x:v>
      </x:c>
      <x:c r="B436" s="2" t="str">
        <x:v>CFG-C01</x:v>
      </x:c>
      <x:c r="C436" s="2" t="n">
        <x:v>46227.70238086805</x:v>
      </x:c>
      <x:c r="D436" s="2" t="str">
        <x:v>os_cfar</x:v>
      </x:c>
      <x:c r="E436" s="2" t="str">
        <x:v>weak_beside_strong</x:v>
      </x:c>
      <x:c r="F436" s="2" t="str">
        <x:v>218</x:v>
      </x:c>
      <x:c r="G436" s="2" t="str">
        <x:v>3124221</x:v>
      </x:c>
      <x:c r="H436" s="2" t="str">
        <x:v>2048000.0</x:v>
      </x:c>
      <x:c r="I436" s="2" t="str">
        <x:v>8192</x:v>
      </x:c>
      <x:c r="J436" s="2" t="str">
        <x:v>250.0</x:v>
      </x:c>
      <x:c r="K436" s="2" t="str">
        <x:v>2</x:v>
      </x:c>
      <x:c r="L436" s="2" t="str">
        <x:v>3</x:v>
      </x:c>
      <x:c r="M436" s="2" t="str">
        <x:v>2</x:v>
      </x:c>
      <x:c r="N436" s="2" t="str">
        <x:v>1</x:v>
      </x:c>
      <x:c r="O436" s="2" t="str">
        <x:v>0</x:v>
      </x:c>
      <x:c r="P436" s="2" t="str">
        <x:v>true</x:v>
      </x:c>
      <x:c r="Q436" s="2" t="str">
        <x:v>-5.673426096;-5.673426097</x:v>
      </x:c>
      <x:c r="R436" s="2" t="str">
        <x:v>13.946833001682535</x:v>
      </x:c>
      <x:c r="S436" s="2" t="str">
        <x:v>48.28746859811686</x:v>
      </x:c>
    </x:row>
    <x:row r="437">
      <x:c r="A437" s="2" t="str">
        <x:v>DE-CMP-01</x:v>
      </x:c>
      <x:c r="B437" s="2" t="str">
        <x:v>CFG-C01</x:v>
      </x:c>
      <x:c r="C437" s="2" t="n">
        <x:v>46227.70238086805</x:v>
      </x:c>
      <x:c r="D437" s="2" t="str">
        <x:v>adaptive</x:v>
      </x:c>
      <x:c r="E437" s="2" t="str">
        <x:v>weak_beside_strong</x:v>
      </x:c>
      <x:c r="F437" s="2" t="str">
        <x:v>218</x:v>
      </x:c>
      <x:c r="G437" s="2" t="str">
        <x:v>3124221</x:v>
      </x:c>
      <x:c r="H437" s="2" t="str">
        <x:v>2048000.0</x:v>
      </x:c>
      <x:c r="I437" s="2" t="str">
        <x:v>8192</x:v>
      </x:c>
      <x:c r="J437" s="2" t="str">
        <x:v>250.0</x:v>
      </x:c>
      <x:c r="K437" s="2" t="str">
        <x:v>2</x:v>
      </x:c>
      <x:c r="L437" s="2" t="str">
        <x:v>3</x:v>
      </x:c>
      <x:c r="M437" s="2" t="str">
        <x:v>2</x:v>
      </x:c>
      <x:c r="N437" s="2" t="str">
        <x:v>1</x:v>
      </x:c>
      <x:c r="O437" s="2" t="str">
        <x:v>0</x:v>
      </x:c>
      <x:c r="P437" s="2" t="str">
        <x:v>true</x:v>
      </x:c>
      <x:c r="Q437" s="2" t="str">
        <x:v>-5.673426096;-5.673426097</x:v>
      </x:c>
      <x:c r="R437" s="2" t="str">
        <x:v>0.450624997029081</x:v>
      </x:c>
      <x:c r="S437" s="2" t="str">
        <x:v>46.435334867579115</x:v>
      </x:c>
    </x:row>
    <x:row r="438">
      <x:c r="A438" s="2" t="str">
        <x:v>DE-CMP-01</x:v>
      </x:c>
      <x:c r="B438" s="2" t="str">
        <x:v>CFG-C01</x:v>
      </x:c>
      <x:c r="C438" s="2" t="n">
        <x:v>46227.70238086805</x:v>
      </x:c>
      <x:c r="D438" s="2" t="str">
        <x:v>adaptive</x:v>
      </x:c>
      <x:c r="E438" s="2" t="str">
        <x:v>weak_beside_strong</x:v>
      </x:c>
      <x:c r="F438" s="2" t="str">
        <x:v>219</x:v>
      </x:c>
      <x:c r="G438" s="2" t="str">
        <x:v>3124222</x:v>
      </x:c>
      <x:c r="H438" s="2" t="str">
        <x:v>2048000.0</x:v>
      </x:c>
      <x:c r="I438" s="2" t="str">
        <x:v>8192</x:v>
      </x:c>
      <x:c r="J438" s="2" t="str">
        <x:v>250.0</x:v>
      </x:c>
      <x:c r="K438" s="2" t="str">
        <x:v>2</x:v>
      </x:c>
      <x:c r="L438" s="2" t="str">
        <x:v>3</x:v>
      </x:c>
      <x:c r="M438" s="2" t="str">
        <x:v>2</x:v>
      </x:c>
      <x:c r="N438" s="2" t="str">
        <x:v>1</x:v>
      </x:c>
      <x:c r="O438" s="2" t="str">
        <x:v>0</x:v>
      </x:c>
      <x:c r="P438" s="2" t="str">
        <x:v>true</x:v>
      </x:c>
      <x:c r="Q438" s="2" t="str">
        <x:v>-13.636836121;-13.636836121</x:v>
      </x:c>
      <x:c r="R438" s="2" t="str">
        <x:v>0.4322500026319176</x:v>
      </x:c>
      <x:c r="S438" s="2" t="str">
        <x:v>46.31262267817115</x:v>
      </x:c>
    </x:row>
    <x:row r="439">
      <x:c r="A439" s="2" t="str">
        <x:v>DE-CMP-01</x:v>
      </x:c>
      <x:c r="B439" s="2" t="str">
        <x:v>CFG-C01</x:v>
      </x:c>
      <x:c r="C439" s="2" t="n">
        <x:v>46227.70238086805</x:v>
      </x:c>
      <x:c r="D439" s="2" t="str">
        <x:v>os_cfar</x:v>
      </x:c>
      <x:c r="E439" s="2" t="str">
        <x:v>weak_beside_strong</x:v>
      </x:c>
      <x:c r="F439" s="2" t="str">
        <x:v>219</x:v>
      </x:c>
      <x:c r="G439" s="2" t="str">
        <x:v>3124222</x:v>
      </x:c>
      <x:c r="H439" s="2" t="str">
        <x:v>2048000.0</x:v>
      </x:c>
      <x:c r="I439" s="2" t="str">
        <x:v>8192</x:v>
      </x:c>
      <x:c r="J439" s="2" t="str">
        <x:v>250.0</x:v>
      </x:c>
      <x:c r="K439" s="2" t="str">
        <x:v>2</x:v>
      </x:c>
      <x:c r="L439" s="2" t="str">
        <x:v>3</x:v>
      </x:c>
      <x:c r="M439" s="2" t="str">
        <x:v>2</x:v>
      </x:c>
      <x:c r="N439" s="2" t="str">
        <x:v>1</x:v>
      </x:c>
      <x:c r="O439" s="2" t="str">
        <x:v>0</x:v>
      </x:c>
      <x:c r="P439" s="2" t="str">
        <x:v>true</x:v>
      </x:c>
      <x:c r="Q439" s="2" t="str">
        <x:v>-13.636836121;-13.636836121</x:v>
      </x:c>
      <x:c r="R439" s="2" t="str">
        <x:v>13.921624995418824</x:v>
      </x:c>
      <x:c r="S439" s="2" t="str">
        <x:v>48.051641974993174</x:v>
      </x:c>
    </x:row>
    <x:row r="440">
      <x:c r="A440" s="2" t="str">
        <x:v>DE-CMP-01</x:v>
      </x:c>
      <x:c r="B440" s="2" t="str">
        <x:v>CFG-C01</x:v>
      </x:c>
      <x:c r="C440" s="2" t="n">
        <x:v>46227.70238086805</x:v>
      </x:c>
      <x:c r="D440" s="2" t="str">
        <x:v>os_cfar</x:v>
      </x:c>
      <x:c r="E440" s="2" t="str">
        <x:v>weak_beside_strong</x:v>
      </x:c>
      <x:c r="F440" s="2" t="str">
        <x:v>220</x:v>
      </x:c>
      <x:c r="G440" s="2" t="str">
        <x:v>3124223</x:v>
      </x:c>
      <x:c r="H440" s="2" t="str">
        <x:v>2048000.0</x:v>
      </x:c>
      <x:c r="I440" s="2" t="str">
        <x:v>8192</x:v>
      </x:c>
      <x:c r="J440" s="2" t="str">
        <x:v>250.0</x:v>
      </x:c>
      <x:c r="K440" s="2" t="str">
        <x:v>2</x:v>
      </x:c>
      <x:c r="L440" s="2" t="str">
        <x:v>3</x:v>
      </x:c>
      <x:c r="M440" s="2" t="str">
        <x:v>2</x:v>
      </x:c>
      <x:c r="N440" s="2" t="str">
        <x:v>1</x:v>
      </x:c>
      <x:c r="O440" s="2" t="str">
        <x:v>0</x:v>
      </x:c>
      <x:c r="P440" s="2" t="str">
        <x:v>true</x:v>
      </x:c>
      <x:c r="Q440" s="2" t="str">
        <x:v>-54.649153089;-54.649153089</x:v>
      </x:c>
      <x:c r="R440" s="2" t="str">
        <x:v>13.995832996442914</x:v>
      </x:c>
      <x:c r="S440" s="2" t="str">
        <x:v>48.03555220296361</x:v>
      </x:c>
    </x:row>
    <x:row r="441">
      <x:c r="A441" s="2" t="str">
        <x:v>DE-CMP-01</x:v>
      </x:c>
      <x:c r="B441" s="2" t="str">
        <x:v>CFG-C01</x:v>
      </x:c>
      <x:c r="C441" s="2" t="n">
        <x:v>46227.70238086805</x:v>
      </x:c>
      <x:c r="D441" s="2" t="str">
        <x:v>adaptive</x:v>
      </x:c>
      <x:c r="E441" s="2" t="str">
        <x:v>weak_beside_strong</x:v>
      </x:c>
      <x:c r="F441" s="2" t="str">
        <x:v>220</x:v>
      </x:c>
      <x:c r="G441" s="2" t="str">
        <x:v>3124223</x:v>
      </x:c>
      <x:c r="H441" s="2" t="str">
        <x:v>2048000.0</x:v>
      </x:c>
      <x:c r="I441" s="2" t="str">
        <x:v>8192</x:v>
      </x:c>
      <x:c r="J441" s="2" t="str">
        <x:v>250.0</x:v>
      </x:c>
      <x:c r="K441" s="2" t="str">
        <x:v>2</x:v>
      </x:c>
      <x:c r="L441" s="2" t="str">
        <x:v>3</x:v>
      </x:c>
      <x:c r="M441" s="2" t="str">
        <x:v>2</x:v>
      </x:c>
      <x:c r="N441" s="2" t="str">
        <x:v>1</x:v>
      </x:c>
      <x:c r="O441" s="2" t="str">
        <x:v>0</x:v>
      </x:c>
      <x:c r="P441" s="2" t="str">
        <x:v>true</x:v>
      </x:c>
      <x:c r="Q441" s="2" t="str">
        <x:v>-54.649153089;-54.649153089</x:v>
      </x:c>
      <x:c r="R441" s="2" t="str">
        <x:v>0.4007500101579353</x:v>
      </x:c>
      <x:c r="S441" s="2" t="str">
        <x:v>46.253234017321525</x:v>
      </x:c>
    </x:row>
    <x:row r="442">
      <x:c r="A442" s="2" t="str">
        <x:v>DE-CMP-01</x:v>
      </x:c>
      <x:c r="B442" s="2" t="str">
        <x:v>CFG-C01</x:v>
      </x:c>
      <x:c r="C442" s="2" t="n">
        <x:v>46227.70238086805</x:v>
      </x:c>
      <x:c r="D442" s="2" t="str">
        <x:v>adaptive</x:v>
      </x:c>
      <x:c r="E442" s="2" t="str">
        <x:v>weak_beside_strong</x:v>
      </x:c>
      <x:c r="F442" s="2" t="str">
        <x:v>221</x:v>
      </x:c>
      <x:c r="G442" s="2" t="str">
        <x:v>3124224</x:v>
      </x:c>
      <x:c r="H442" s="2" t="str">
        <x:v>2048000.0</x:v>
      </x:c>
      <x:c r="I442" s="2" t="str">
        <x:v>8192</x:v>
      </x:c>
      <x:c r="J442" s="2" t="str">
        <x:v>250.0</x:v>
      </x:c>
      <x:c r="K442" s="2" t="str">
        <x:v>2</x:v>
      </x:c>
      <x:c r="L442" s="2" t="str">
        <x:v>3</x:v>
      </x:c>
      <x:c r="M442" s="2" t="str">
        <x:v>2</x:v>
      </x:c>
      <x:c r="N442" s="2" t="str">
        <x:v>1</x:v>
      </x:c>
      <x:c r="O442" s="2" t="str">
        <x:v>0</x:v>
      </x:c>
      <x:c r="P442" s="2" t="str">
        <x:v>true</x:v>
      </x:c>
      <x:c r="Q442" s="2" t="str">
        <x:v>-56.357522603;-56.357522603</x:v>
      </x:c>
      <x:c r="R442" s="2" t="str">
        <x:v>0.4014579899376258</x:v>
      </x:c>
      <x:c r="S442" s="2" t="str">
        <x:v>46.47805745645166</x:v>
      </x:c>
    </x:row>
    <x:row r="443">
      <x:c r="A443" s="2" t="str">
        <x:v>DE-CMP-01</x:v>
      </x:c>
      <x:c r="B443" s="2" t="str">
        <x:v>CFG-C01</x:v>
      </x:c>
      <x:c r="C443" s="2" t="n">
        <x:v>46227.70238086805</x:v>
      </x:c>
      <x:c r="D443" s="2" t="str">
        <x:v>os_cfar</x:v>
      </x:c>
      <x:c r="E443" s="2" t="str">
        <x:v>weak_beside_strong</x:v>
      </x:c>
      <x:c r="F443" s="2" t="str">
        <x:v>221</x:v>
      </x:c>
      <x:c r="G443" s="2" t="str">
        <x:v>3124224</x:v>
      </x:c>
      <x:c r="H443" s="2" t="str">
        <x:v>2048000.0</x:v>
      </x:c>
      <x:c r="I443" s="2" t="str">
        <x:v>8192</x:v>
      </x:c>
      <x:c r="J443" s="2" t="str">
        <x:v>250.0</x:v>
      </x:c>
      <x:c r="K443" s="2" t="str">
        <x:v>2</x:v>
      </x:c>
      <x:c r="L443" s="2" t="str">
        <x:v>3</x:v>
      </x:c>
      <x:c r="M443" s="2" t="str">
        <x:v>2</x:v>
      </x:c>
      <x:c r="N443" s="2" t="str">
        <x:v>1</x:v>
      </x:c>
      <x:c r="O443" s="2" t="str">
        <x:v>0</x:v>
      </x:c>
      <x:c r="P443" s="2" t="str">
        <x:v>true</x:v>
      </x:c>
      <x:c r="Q443" s="2" t="str">
        <x:v>-56.357522603;-56.357522603</x:v>
      </x:c>
      <x:c r="R443" s="2" t="str">
        <x:v>13.819415995385498</x:v>
      </x:c>
      <x:c r="S443" s="2" t="str">
        <x:v>48.24498456591797</x:v>
      </x:c>
    </x:row>
    <x:row r="444">
      <x:c r="A444" s="2" t="str">
        <x:v>DE-CMP-01</x:v>
      </x:c>
      <x:c r="B444" s="2" t="str">
        <x:v>CFG-C01</x:v>
      </x:c>
      <x:c r="C444" s="2" t="n">
        <x:v>46227.70238086805</x:v>
      </x:c>
      <x:c r="D444" s="2" t="str">
        <x:v>os_cfar</x:v>
      </x:c>
      <x:c r="E444" s="2" t="str">
        <x:v>weak_beside_strong</x:v>
      </x:c>
      <x:c r="F444" s="2" t="str">
        <x:v>222</x:v>
      </x:c>
      <x:c r="G444" s="2" t="str">
        <x:v>3124225</x:v>
      </x:c>
      <x:c r="H444" s="2" t="str">
        <x:v>2048000.0</x:v>
      </x:c>
      <x:c r="I444" s="2" t="str">
        <x:v>8192</x:v>
      </x:c>
      <x:c r="J444" s="2" t="str">
        <x:v>250.0</x:v>
      </x:c>
      <x:c r="K444" s="2" t="str">
        <x:v>2</x:v>
      </x:c>
      <x:c r="L444" s="2" t="str">
        <x:v>3</x:v>
      </x:c>
      <x:c r="M444" s="2" t="str">
        <x:v>2</x:v>
      </x:c>
      <x:c r="N444" s="2" t="str">
        <x:v>1</x:v>
      </x:c>
      <x:c r="O444" s="2" t="str">
        <x:v>0</x:v>
      </x:c>
      <x:c r="P444" s="2" t="str">
        <x:v>true</x:v>
      </x:c>
      <x:c r="Q444" s="2" t="str">
        <x:v>-47.309273483;-47.309273483</x:v>
      </x:c>
      <x:c r="R444" s="2" t="str">
        <x:v>13.858125006663613</x:v>
      </x:c>
      <x:c r="S444" s="2" t="str">
        <x:v>48.33141909108295</x:v>
      </x:c>
    </x:row>
    <x:row r="445">
      <x:c r="A445" s="2" t="str">
        <x:v>DE-CMP-01</x:v>
      </x:c>
      <x:c r="B445" s="2" t="str">
        <x:v>CFG-C01</x:v>
      </x:c>
      <x:c r="C445" s="2" t="n">
        <x:v>46227.70238086805</x:v>
      </x:c>
      <x:c r="D445" s="2" t="str">
        <x:v>adaptive</x:v>
      </x:c>
      <x:c r="E445" s="2" t="str">
        <x:v>weak_beside_strong</x:v>
      </x:c>
      <x:c r="F445" s="2" t="str">
        <x:v>222</x:v>
      </x:c>
      <x:c r="G445" s="2" t="str">
        <x:v>3124225</x:v>
      </x:c>
      <x:c r="H445" s="2" t="str">
        <x:v>2048000.0</x:v>
      </x:c>
      <x:c r="I445" s="2" t="str">
        <x:v>8192</x:v>
      </x:c>
      <x:c r="J445" s="2" t="str">
        <x:v>250.0</x:v>
      </x:c>
      <x:c r="K445" s="2" t="str">
        <x:v>2</x:v>
      </x:c>
      <x:c r="L445" s="2" t="str">
        <x:v>3</x:v>
      </x:c>
      <x:c r="M445" s="2" t="str">
        <x:v>2</x:v>
      </x:c>
      <x:c r="N445" s="2" t="str">
        <x:v>1</x:v>
      </x:c>
      <x:c r="O445" s="2" t="str">
        <x:v>0</x:v>
      </x:c>
      <x:c r="P445" s="2" t="str">
        <x:v>true</x:v>
      </x:c>
      <x:c r="Q445" s="2" t="str">
        <x:v>-47.309273483;-47.309273483</x:v>
      </x:c>
      <x:c r="R445" s="2" t="str">
        <x:v>0.38979100645519793</x:v>
      </x:c>
      <x:c r="S445" s="2" t="str">
        <x:v>46.58952496899977</x:v>
      </x:c>
    </x:row>
    <x:row r="446">
      <x:c r="A446" s="2" t="str">
        <x:v>DE-CMP-01</x:v>
      </x:c>
      <x:c r="B446" s="2" t="str">
        <x:v>CFG-C01</x:v>
      </x:c>
      <x:c r="C446" s="2" t="n">
        <x:v>46227.70238086805</x:v>
      </x:c>
      <x:c r="D446" s="2" t="str">
        <x:v>adaptive</x:v>
      </x:c>
      <x:c r="E446" s="2" t="str">
        <x:v>weak_beside_strong</x:v>
      </x:c>
      <x:c r="F446" s="2" t="str">
        <x:v>223</x:v>
      </x:c>
      <x:c r="G446" s="2" t="str">
        <x:v>3124226</x:v>
      </x:c>
      <x:c r="H446" s="2" t="str">
        <x:v>2048000.0</x:v>
      </x:c>
      <x:c r="I446" s="2" t="str">
        <x:v>8192</x:v>
      </x:c>
      <x:c r="J446" s="2" t="str">
        <x:v>250.0</x:v>
      </x:c>
      <x:c r="K446" s="2" t="str">
        <x:v>2</x:v>
      </x:c>
      <x:c r="L446" s="2" t="str">
        <x:v>3</x:v>
      </x:c>
      <x:c r="M446" s="2" t="str">
        <x:v>2</x:v>
      </x:c>
      <x:c r="N446" s="2" t="str">
        <x:v>1</x:v>
      </x:c>
      <x:c r="O446" s="2" t="str">
        <x:v>0</x:v>
      </x:c>
      <x:c r="P446" s="2" t="str">
        <x:v>true</x:v>
      </x:c>
      <x:c r="Q446" s="2" t="str">
        <x:v>73.976955490;73.976955490</x:v>
      </x:c>
      <x:c r="R446" s="2" t="str">
        <x:v>0.42050000047311187</x:v>
      </x:c>
      <x:c r="S446" s="2" t="str">
        <x:v>46.33364298559532</x:v>
      </x:c>
    </x:row>
    <x:row r="447">
      <x:c r="A447" s="2" t="str">
        <x:v>DE-CMP-01</x:v>
      </x:c>
      <x:c r="B447" s="2" t="str">
        <x:v>CFG-C01</x:v>
      </x:c>
      <x:c r="C447" s="2" t="n">
        <x:v>46227.70238086805</x:v>
      </x:c>
      <x:c r="D447" s="2" t="str">
        <x:v>os_cfar</x:v>
      </x:c>
      <x:c r="E447" s="2" t="str">
        <x:v>weak_beside_strong</x:v>
      </x:c>
      <x:c r="F447" s="2" t="str">
        <x:v>223</x:v>
      </x:c>
      <x:c r="G447" s="2" t="str">
        <x:v>3124226</x:v>
      </x:c>
      <x:c r="H447" s="2" t="str">
        <x:v>2048000.0</x:v>
      </x:c>
      <x:c r="I447" s="2" t="str">
        <x:v>8192</x:v>
      </x:c>
      <x:c r="J447" s="2" t="str">
        <x:v>250.0</x:v>
      </x:c>
      <x:c r="K447" s="2" t="str">
        <x:v>2</x:v>
      </x:c>
      <x:c r="L447" s="2" t="str">
        <x:v>3</x:v>
      </x:c>
      <x:c r="M447" s="2" t="str">
        <x:v>2</x:v>
      </x:c>
      <x:c r="N447" s="2" t="str">
        <x:v>1</x:v>
      </x:c>
      <x:c r="O447" s="2" t="str">
        <x:v>0</x:v>
      </x:c>
      <x:c r="P447" s="2" t="str">
        <x:v>true</x:v>
      </x:c>
      <x:c r="Q447" s="2" t="str">
        <x:v>73.976955490;73.976955490</x:v>
      </x:c>
      <x:c r="R447" s="2" t="str">
        <x:v>14.060667002922855</x:v>
      </x:c>
      <x:c r="S447" s="2" t="str">
        <x:v>48.188376912677946</x:v>
      </x:c>
    </x:row>
    <x:row r="448">
      <x:c r="A448" s="2" t="str">
        <x:v>DE-CMP-01</x:v>
      </x:c>
      <x:c r="B448" s="2" t="str">
        <x:v>CFG-C01</x:v>
      </x:c>
      <x:c r="C448" s="2" t="n">
        <x:v>46227.70238086805</x:v>
      </x:c>
      <x:c r="D448" s="2" t="str">
        <x:v>os_cfar</x:v>
      </x:c>
      <x:c r="E448" s="2" t="str">
        <x:v>weak_beside_strong</x:v>
      </x:c>
      <x:c r="F448" s="2" t="str">
        <x:v>224</x:v>
      </x:c>
      <x:c r="G448" s="2" t="str">
        <x:v>3124227</x:v>
      </x:c>
      <x:c r="H448" s="2" t="str">
        <x:v>2048000.0</x:v>
      </x:c>
      <x:c r="I448" s="2" t="str">
        <x:v>8192</x:v>
      </x:c>
      <x:c r="J448" s="2" t="str">
        <x:v>250.0</x:v>
      </x:c>
      <x:c r="K448" s="2" t="str">
        <x:v>2</x:v>
      </x:c>
      <x:c r="L448" s="2" t="str">
        <x:v>3</x:v>
      </x:c>
      <x:c r="M448" s="2" t="str">
        <x:v>2</x:v>
      </x:c>
      <x:c r="N448" s="2" t="str">
        <x:v>1</x:v>
      </x:c>
      <x:c r="O448" s="2" t="str">
        <x:v>0</x:v>
      </x:c>
      <x:c r="P448" s="2" t="str">
        <x:v>true</x:v>
      </x:c>
      <x:c r="Q448" s="2" t="str">
        <x:v>-5.282548740;-5.282548740</x:v>
      </x:c>
      <x:c r="R448" s="2" t="str">
        <x:v>14.100165994022973</x:v>
      </x:c>
      <x:c r="S448" s="2" t="str">
        <x:v>48.17114399101144</x:v>
      </x:c>
    </x:row>
    <x:row r="449">
      <x:c r="A449" s="2" t="str">
        <x:v>DE-CMP-01</x:v>
      </x:c>
      <x:c r="B449" s="2" t="str">
        <x:v>CFG-C01</x:v>
      </x:c>
      <x:c r="C449" s="2" t="n">
        <x:v>46227.70238086805</x:v>
      </x:c>
      <x:c r="D449" s="2" t="str">
        <x:v>adaptive</x:v>
      </x:c>
      <x:c r="E449" s="2" t="str">
        <x:v>weak_beside_strong</x:v>
      </x:c>
      <x:c r="F449" s="2" t="str">
        <x:v>224</x:v>
      </x:c>
      <x:c r="G449" s="2" t="str">
        <x:v>3124227</x:v>
      </x:c>
      <x:c r="H449" s="2" t="str">
        <x:v>2048000.0</x:v>
      </x:c>
      <x:c r="I449" s="2" t="str">
        <x:v>8192</x:v>
      </x:c>
      <x:c r="J449" s="2" t="str">
        <x:v>250.0</x:v>
      </x:c>
      <x:c r="K449" s="2" t="str">
        <x:v>2</x:v>
      </x:c>
      <x:c r="L449" s="2" t="str">
        <x:v>3</x:v>
      </x:c>
      <x:c r="M449" s="2" t="str">
        <x:v>2</x:v>
      </x:c>
      <x:c r="N449" s="2" t="str">
        <x:v>1</x:v>
      </x:c>
      <x:c r="O449" s="2" t="str">
        <x:v>0</x:v>
      </x:c>
      <x:c r="P449" s="2" t="str">
        <x:v>true</x:v>
      </x:c>
      <x:c r="Q449" s="2" t="str">
        <x:v>-5.282548740;-5.282548740</x:v>
      </x:c>
      <x:c r="R449" s="2" t="str">
        <x:v>0.4020420019514859</x:v>
      </x:c>
      <x:c r="S449" s="2" t="str">
        <x:v>46.479931479874715</x:v>
      </x:c>
    </x:row>
    <x:row r="450">
      <x:c r="A450" s="2" t="str">
        <x:v>DE-CMP-01</x:v>
      </x:c>
      <x:c r="B450" s="2" t="str">
        <x:v>CFG-C01</x:v>
      </x:c>
      <x:c r="C450" s="2" t="n">
        <x:v>46227.70238086805</x:v>
      </x:c>
      <x:c r="D450" s="2" t="str">
        <x:v>adaptive</x:v>
      </x:c>
      <x:c r="E450" s="2" t="str">
        <x:v>weak_beside_strong</x:v>
      </x:c>
      <x:c r="F450" s="2" t="str">
        <x:v>225</x:v>
      </x:c>
      <x:c r="G450" s="2" t="str">
        <x:v>3124228</x:v>
      </x:c>
      <x:c r="H450" s="2" t="str">
        <x:v>2048000.0</x:v>
      </x:c>
      <x:c r="I450" s="2" t="str">
        <x:v>8192</x:v>
      </x:c>
      <x:c r="J450" s="2" t="str">
        <x:v>250.0</x:v>
      </x:c>
      <x:c r="K450" s="2" t="str">
        <x:v>2</x:v>
      </x:c>
      <x:c r="L450" s="2" t="str">
        <x:v>3</x:v>
      </x:c>
      <x:c r="M450" s="2" t="str">
        <x:v>2</x:v>
      </x:c>
      <x:c r="N450" s="2" t="str">
        <x:v>1</x:v>
      </x:c>
      <x:c r="O450" s="2" t="str">
        <x:v>0</x:v>
      </x:c>
      <x:c r="P450" s="2" t="str">
        <x:v>true</x:v>
      </x:c>
      <x:c r="Q450" s="2" t="str">
        <x:v>-35.197329067;-35.197329067</x:v>
      </x:c>
      <x:c r="R450" s="2" t="str">
        <x:v>0.3758750099223107</x:v>
      </x:c>
      <x:c r="S450" s="2" t="str">
        <x:v>46.30235155741847</x:v>
      </x:c>
    </x:row>
    <x:row r="451">
      <x:c r="A451" s="2" t="str">
        <x:v>DE-CMP-01</x:v>
      </x:c>
      <x:c r="B451" s="2" t="str">
        <x:v>CFG-C01</x:v>
      </x:c>
      <x:c r="C451" s="2" t="n">
        <x:v>46227.70238086805</x:v>
      </x:c>
      <x:c r="D451" s="2" t="str">
        <x:v>os_cfar</x:v>
      </x:c>
      <x:c r="E451" s="2" t="str">
        <x:v>weak_beside_strong</x:v>
      </x:c>
      <x:c r="F451" s="2" t="str">
        <x:v>225</x:v>
      </x:c>
      <x:c r="G451" s="2" t="str">
        <x:v>3124228</x:v>
      </x:c>
      <x:c r="H451" s="2" t="str">
        <x:v>2048000.0</x:v>
      </x:c>
      <x:c r="I451" s="2" t="str">
        <x:v>8192</x:v>
      </x:c>
      <x:c r="J451" s="2" t="str">
        <x:v>250.0</x:v>
      </x:c>
      <x:c r="K451" s="2" t="str">
        <x:v>2</x:v>
      </x:c>
      <x:c r="L451" s="2" t="str">
        <x:v>3</x:v>
      </x:c>
      <x:c r="M451" s="2" t="str">
        <x:v>2</x:v>
      </x:c>
      <x:c r="N451" s="2" t="str">
        <x:v>1</x:v>
      </x:c>
      <x:c r="O451" s="2" t="str">
        <x:v>0</x:v>
      </x:c>
      <x:c r="P451" s="2" t="str">
        <x:v>true</x:v>
      </x:c>
      <x:c r="Q451" s="2" t="str">
        <x:v>-35.197329067;-35.197329067</x:v>
      </x:c>
      <x:c r="R451" s="2" t="str">
        <x:v>13.64437500888016</x:v>
      </x:c>
      <x:c r="S451" s="2" t="str">
        <x:v>48.15860473939752</x:v>
      </x:c>
    </x:row>
    <x:row r="452">
      <x:c r="A452" s="2" t="str">
        <x:v>DE-CMP-01</x:v>
      </x:c>
      <x:c r="B452" s="2" t="str">
        <x:v>CFG-C01</x:v>
      </x:c>
      <x:c r="C452" s="2" t="n">
        <x:v>46227.70238086805</x:v>
      </x:c>
      <x:c r="D452" s="2" t="str">
        <x:v>os_cfar</x:v>
      </x:c>
      <x:c r="E452" s="2" t="str">
        <x:v>weak_beside_strong</x:v>
      </x:c>
      <x:c r="F452" s="2" t="str">
        <x:v>226</x:v>
      </x:c>
      <x:c r="G452" s="2" t="str">
        <x:v>3124229</x:v>
      </x:c>
      <x:c r="H452" s="2" t="str">
        <x:v>2048000.0</x:v>
      </x:c>
      <x:c r="I452" s="2" t="str">
        <x:v>8192</x:v>
      </x:c>
      <x:c r="J452" s="2" t="str">
        <x:v>250.0</x:v>
      </x:c>
      <x:c r="K452" s="2" t="str">
        <x:v>2</x:v>
      </x:c>
      <x:c r="L452" s="2" t="str">
        <x:v>3</x:v>
      </x:c>
      <x:c r="M452" s="2" t="str">
        <x:v>2</x:v>
      </x:c>
      <x:c r="N452" s="2" t="str">
        <x:v>1</x:v>
      </x:c>
      <x:c r="O452" s="2" t="str">
        <x:v>0</x:v>
      </x:c>
      <x:c r="P452" s="2" t="str">
        <x:v>true</x:v>
      </x:c>
      <x:c r="Q452" s="2" t="str">
        <x:v>-83.311501124;-83.311501124</x:v>
      </x:c>
      <x:c r="R452" s="2" t="str">
        <x:v>14.08324998919852</x:v>
      </x:c>
      <x:c r="S452" s="2" t="str">
        <x:v>48.32919944566725</x:v>
      </x:c>
    </x:row>
    <x:row r="453">
      <x:c r="A453" s="2" t="str">
        <x:v>DE-CMP-01</x:v>
      </x:c>
      <x:c r="B453" s="2" t="str">
        <x:v>CFG-C01</x:v>
      </x:c>
      <x:c r="C453" s="2" t="n">
        <x:v>46227.70238086805</x:v>
      </x:c>
      <x:c r="D453" s="2" t="str">
        <x:v>adaptive</x:v>
      </x:c>
      <x:c r="E453" s="2" t="str">
        <x:v>weak_beside_strong</x:v>
      </x:c>
      <x:c r="F453" s="2" t="str">
        <x:v>226</x:v>
      </x:c>
      <x:c r="G453" s="2" t="str">
        <x:v>3124229</x:v>
      </x:c>
      <x:c r="H453" s="2" t="str">
        <x:v>2048000.0</x:v>
      </x:c>
      <x:c r="I453" s="2" t="str">
        <x:v>8192</x:v>
      </x:c>
      <x:c r="J453" s="2" t="str">
        <x:v>250.0</x:v>
      </x:c>
      <x:c r="K453" s="2" t="str">
        <x:v>2</x:v>
      </x:c>
      <x:c r="L453" s="2" t="str">
        <x:v>3</x:v>
      </x:c>
      <x:c r="M453" s="2" t="str">
        <x:v>2</x:v>
      </x:c>
      <x:c r="N453" s="2" t="str">
        <x:v>1</x:v>
      </x:c>
      <x:c r="O453" s="2" t="str">
        <x:v>0</x:v>
      </x:c>
      <x:c r="P453" s="2" t="str">
        <x:v>true</x:v>
      </x:c>
      <x:c r="Q453" s="2" t="str">
        <x:v>-83.311501124;-83.311501124</x:v>
      </x:c>
      <x:c r="R453" s="2" t="str">
        <x:v>0.4085830005351454</x:v>
      </x:c>
      <x:c r="S453" s="2" t="str">
        <x:v>46.384839496434395</x:v>
      </x:c>
    </x:row>
    <x:row r="454">
      <x:c r="A454" s="2" t="str">
        <x:v>DE-CMP-01</x:v>
      </x:c>
      <x:c r="B454" s="2" t="str">
        <x:v>CFG-C01</x:v>
      </x:c>
      <x:c r="C454" s="2" t="n">
        <x:v>46227.70238086805</x:v>
      </x:c>
      <x:c r="D454" s="2" t="str">
        <x:v>adaptive</x:v>
      </x:c>
      <x:c r="E454" s="2" t="str">
        <x:v>weak_beside_strong</x:v>
      </x:c>
      <x:c r="F454" s="2" t="str">
        <x:v>227</x:v>
      </x:c>
      <x:c r="G454" s="2" t="str">
        <x:v>3124230</x:v>
      </x:c>
      <x:c r="H454" s="2" t="str">
        <x:v>2048000.0</x:v>
      </x:c>
      <x:c r="I454" s="2" t="str">
        <x:v>8192</x:v>
      </x:c>
      <x:c r="J454" s="2" t="str">
        <x:v>250.0</x:v>
      </x:c>
      <x:c r="K454" s="2" t="str">
        <x:v>2</x:v>
      </x:c>
      <x:c r="L454" s="2" t="str">
        <x:v>3</x:v>
      </x:c>
      <x:c r="M454" s="2" t="str">
        <x:v>2</x:v>
      </x:c>
      <x:c r="N454" s="2" t="str">
        <x:v>1</x:v>
      </x:c>
      <x:c r="O454" s="2" t="str">
        <x:v>0</x:v>
      </x:c>
      <x:c r="P454" s="2" t="str">
        <x:v>true</x:v>
      </x:c>
      <x:c r="Q454" s="2" t="str">
        <x:v>-100.818028980;-100.818028980</x:v>
      </x:c>
      <x:c r="R454" s="2" t="str">
        <x:v>0.40212499152403325</x:v>
      </x:c>
      <x:c r="S454" s="2" t="str">
        <x:v>46.54442708405276</x:v>
      </x:c>
    </x:row>
    <x:row r="455">
      <x:c r="A455" s="2" t="str">
        <x:v>DE-CMP-01</x:v>
      </x:c>
      <x:c r="B455" s="2" t="str">
        <x:v>CFG-C01</x:v>
      </x:c>
      <x:c r="C455" s="2" t="n">
        <x:v>46227.70238086805</x:v>
      </x:c>
      <x:c r="D455" s="2" t="str">
        <x:v>os_cfar</x:v>
      </x:c>
      <x:c r="E455" s="2" t="str">
        <x:v>weak_beside_strong</x:v>
      </x:c>
      <x:c r="F455" s="2" t="str">
        <x:v>227</x:v>
      </x:c>
      <x:c r="G455" s="2" t="str">
        <x:v>3124230</x:v>
      </x:c>
      <x:c r="H455" s="2" t="str">
        <x:v>2048000.0</x:v>
      </x:c>
      <x:c r="I455" s="2" t="str">
        <x:v>8192</x:v>
      </x:c>
      <x:c r="J455" s="2" t="str">
        <x:v>250.0</x:v>
      </x:c>
      <x:c r="K455" s="2" t="str">
        <x:v>2</x:v>
      </x:c>
      <x:c r="L455" s="2" t="str">
        <x:v>3</x:v>
      </x:c>
      <x:c r="M455" s="2" t="str">
        <x:v>2</x:v>
      </x:c>
      <x:c r="N455" s="2" t="str">
        <x:v>1</x:v>
      </x:c>
      <x:c r="O455" s="2" t="str">
        <x:v>0</x:v>
      </x:c>
      <x:c r="P455" s="2" t="str">
        <x:v>true</x:v>
      </x:c>
      <x:c r="Q455" s="2" t="str">
        <x:v>-100.818028980;-100.818028980</x:v>
      </x:c>
      <x:c r="R455" s="2" t="str">
        <x:v>13.912415990489535</x:v>
      </x:c>
      <x:c r="S455" s="2" t="str">
        <x:v>48.3383459087179</x:v>
      </x:c>
    </x:row>
    <x:row r="456">
      <x:c r="A456" s="2" t="str">
        <x:v>DE-CMP-01</x:v>
      </x:c>
      <x:c r="B456" s="2" t="str">
        <x:v>CFG-C01</x:v>
      </x:c>
      <x:c r="C456" s="2" t="n">
        <x:v>46227.70238086805</x:v>
      </x:c>
      <x:c r="D456" s="2" t="str">
        <x:v>os_cfar</x:v>
      </x:c>
      <x:c r="E456" s="2" t="str">
        <x:v>weak_beside_strong</x:v>
      </x:c>
      <x:c r="F456" s="2" t="str">
        <x:v>228</x:v>
      </x:c>
      <x:c r="G456" s="2" t="str">
        <x:v>3124231</x:v>
      </x:c>
      <x:c r="H456" s="2" t="str">
        <x:v>2048000.0</x:v>
      </x:c>
      <x:c r="I456" s="2" t="str">
        <x:v>8192</x:v>
      </x:c>
      <x:c r="J456" s="2" t="str">
        <x:v>250.0</x:v>
      </x:c>
      <x:c r="K456" s="2" t="str">
        <x:v>2</x:v>
      </x:c>
      <x:c r="L456" s="2" t="str">
        <x:v>3</x:v>
      </x:c>
      <x:c r="M456" s="2" t="str">
        <x:v>2</x:v>
      </x:c>
      <x:c r="N456" s="2" t="str">
        <x:v>1</x:v>
      </x:c>
      <x:c r="O456" s="2" t="str">
        <x:v>0</x:v>
      </x:c>
      <x:c r="P456" s="2" t="str">
        <x:v>true</x:v>
      </x:c>
      <x:c r="Q456" s="2" t="str">
        <x:v>-58.976684656;-58.976684656</x:v>
      </x:c>
      <x:c r="R456" s="2" t="str">
        <x:v>13.924083003075793</x:v>
      </x:c>
      <x:c r="S456" s="2" t="str">
        <x:v>48.257168569391744</x:v>
      </x:c>
    </x:row>
    <x:row r="457">
      <x:c r="A457" s="2" t="str">
        <x:v>DE-CMP-01</x:v>
      </x:c>
      <x:c r="B457" s="2" t="str">
        <x:v>CFG-C01</x:v>
      </x:c>
      <x:c r="C457" s="2" t="n">
        <x:v>46227.70238086805</x:v>
      </x:c>
      <x:c r="D457" s="2" t="str">
        <x:v>adaptive</x:v>
      </x:c>
      <x:c r="E457" s="2" t="str">
        <x:v>weak_beside_strong</x:v>
      </x:c>
      <x:c r="F457" s="2" t="str">
        <x:v>228</x:v>
      </x:c>
      <x:c r="G457" s="2" t="str">
        <x:v>3124231</x:v>
      </x:c>
      <x:c r="H457" s="2" t="str">
        <x:v>2048000.0</x:v>
      </x:c>
      <x:c r="I457" s="2" t="str">
        <x:v>8192</x:v>
      </x:c>
      <x:c r="J457" s="2" t="str">
        <x:v>250.0</x:v>
      </x:c>
      <x:c r="K457" s="2" t="str">
        <x:v>2</x:v>
      </x:c>
      <x:c r="L457" s="2" t="str">
        <x:v>3</x:v>
      </x:c>
      <x:c r="M457" s="2" t="str">
        <x:v>2</x:v>
      </x:c>
      <x:c r="N457" s="2" t="str">
        <x:v>1</x:v>
      </x:c>
      <x:c r="O457" s="2" t="str">
        <x:v>0</x:v>
      </x:c>
      <x:c r="P457" s="2" t="str">
        <x:v>true</x:v>
      </x:c>
      <x:c r="Q457" s="2" t="str">
        <x:v>-58.976684656;-58.976684656</x:v>
      </x:c>
      <x:c r="R457" s="2" t="str">
        <x:v>0.43637499038595706</x:v>
      </x:c>
      <x:c r="S457" s="2" t="str">
        <x:v>46.56598996745626</x:v>
      </x:c>
    </x:row>
    <x:row r="458">
      <x:c r="A458" s="2" t="str">
        <x:v>DE-CMP-01</x:v>
      </x:c>
      <x:c r="B458" s="2" t="str">
        <x:v>CFG-C01</x:v>
      </x:c>
      <x:c r="C458" s="2" t="n">
        <x:v>46227.70238086805</x:v>
      </x:c>
      <x:c r="D458" s="2" t="str">
        <x:v>adaptive</x:v>
      </x:c>
      <x:c r="E458" s="2" t="str">
        <x:v>weak_beside_strong</x:v>
      </x:c>
      <x:c r="F458" s="2" t="str">
        <x:v>229</x:v>
      </x:c>
      <x:c r="G458" s="2" t="str">
        <x:v>3124232</x:v>
      </x:c>
      <x:c r="H458" s="2" t="str">
        <x:v>2048000.0</x:v>
      </x:c>
      <x:c r="I458" s="2" t="str">
        <x:v>8192</x:v>
      </x:c>
      <x:c r="J458" s="2" t="str">
        <x:v>250.0</x:v>
      </x:c>
      <x:c r="K458" s="2" t="str">
        <x:v>2</x:v>
      </x:c>
      <x:c r="L458" s="2" t="str">
        <x:v>3</x:v>
      </x:c>
      <x:c r="M458" s="2" t="str">
        <x:v>2</x:v>
      </x:c>
      <x:c r="N458" s="2" t="str">
        <x:v>1</x:v>
      </x:c>
      <x:c r="O458" s="2" t="str">
        <x:v>0</x:v>
      </x:c>
      <x:c r="P458" s="2" t="str">
        <x:v>true</x:v>
      </x:c>
      <x:c r="Q458" s="2" t="str">
        <x:v>26.565597931;26.565597931</x:v>
      </x:c>
      <x:c r="R458" s="2" t="str">
        <x:v>0.4233329964336008</x:v>
      </x:c>
      <x:c r="S458" s="2" t="str">
        <x:v>46.488918695117206</x:v>
      </x:c>
    </x:row>
    <x:row r="459">
      <x:c r="A459" s="2" t="str">
        <x:v>DE-CMP-01</x:v>
      </x:c>
      <x:c r="B459" s="2" t="str">
        <x:v>CFG-C01</x:v>
      </x:c>
      <x:c r="C459" s="2" t="n">
        <x:v>46227.70238086805</x:v>
      </x:c>
      <x:c r="D459" s="2" t="str">
        <x:v>os_cfar</x:v>
      </x:c>
      <x:c r="E459" s="2" t="str">
        <x:v>weak_beside_strong</x:v>
      </x:c>
      <x:c r="F459" s="2" t="str">
        <x:v>229</x:v>
      </x:c>
      <x:c r="G459" s="2" t="str">
        <x:v>3124232</x:v>
      </x:c>
      <x:c r="H459" s="2" t="str">
        <x:v>2048000.0</x:v>
      </x:c>
      <x:c r="I459" s="2" t="str">
        <x:v>8192</x:v>
      </x:c>
      <x:c r="J459" s="2" t="str">
        <x:v>250.0</x:v>
      </x:c>
      <x:c r="K459" s="2" t="str">
        <x:v>2</x:v>
      </x:c>
      <x:c r="L459" s="2" t="str">
        <x:v>3</x:v>
      </x:c>
      <x:c r="M459" s="2" t="str">
        <x:v>2</x:v>
      </x:c>
      <x:c r="N459" s="2" t="str">
        <x:v>1</x:v>
      </x:c>
      <x:c r="O459" s="2" t="str">
        <x:v>0</x:v>
      </x:c>
      <x:c r="P459" s="2" t="str">
        <x:v>true</x:v>
      </x:c>
      <x:c r="Q459" s="2" t="str">
        <x:v>26.565597931;26.565597931</x:v>
      </x:c>
      <x:c r="R459" s="2" t="str">
        <x:v>13.974290995975025</x:v>
      </x:c>
      <x:c r="S459" s="2" t="str">
        <x:v>48.31522402514711</x:v>
      </x:c>
    </x:row>
    <x:row r="460">
      <x:c r="A460" s="2" t="str">
        <x:v>DE-CMP-01</x:v>
      </x:c>
      <x:c r="B460" s="2" t="str">
        <x:v>CFG-C01</x:v>
      </x:c>
      <x:c r="C460" s="2" t="n">
        <x:v>46227.70238086805</x:v>
      </x:c>
      <x:c r="D460" s="2" t="str">
        <x:v>os_cfar</x:v>
      </x:c>
      <x:c r="E460" s="2" t="str">
        <x:v>weak_beside_strong</x:v>
      </x:c>
      <x:c r="F460" s="2" t="str">
        <x:v>230</x:v>
      </x:c>
      <x:c r="G460" s="2" t="str">
        <x:v>3124233</x:v>
      </x:c>
      <x:c r="H460" s="2" t="str">
        <x:v>2048000.0</x:v>
      </x:c>
      <x:c r="I460" s="2" t="str">
        <x:v>8192</x:v>
      </x:c>
      <x:c r="J460" s="2" t="str">
        <x:v>250.0</x:v>
      </x:c>
      <x:c r="K460" s="2" t="str">
        <x:v>2</x:v>
      </x:c>
      <x:c r="L460" s="2" t="str">
        <x:v>3</x:v>
      </x:c>
      <x:c r="M460" s="2" t="str">
        <x:v>2</x:v>
      </x:c>
      <x:c r="N460" s="2" t="str">
        <x:v>1</x:v>
      </x:c>
      <x:c r="O460" s="2" t="str">
        <x:v>0</x:v>
      </x:c>
      <x:c r="P460" s="2" t="str">
        <x:v>true</x:v>
      </x:c>
      <x:c r="Q460" s="2" t="str">
        <x:v>-5.332885202;-5.332885202</x:v>
      </x:c>
      <x:c r="R460" s="2" t="str">
        <x:v>14.235125010600314</x:v>
      </x:c>
      <x:c r="S460" s="2" t="str">
        <x:v>48.32793742313704</x:v>
      </x:c>
    </x:row>
    <x:row r="461">
      <x:c r="A461" s="2" t="str">
        <x:v>DE-CMP-01</x:v>
      </x:c>
      <x:c r="B461" s="2" t="str">
        <x:v>CFG-C01</x:v>
      </x:c>
      <x:c r="C461" s="2" t="n">
        <x:v>46227.70238086805</x:v>
      </x:c>
      <x:c r="D461" s="2" t="str">
        <x:v>adaptive</x:v>
      </x:c>
      <x:c r="E461" s="2" t="str">
        <x:v>weak_beside_strong</x:v>
      </x:c>
      <x:c r="F461" s="2" t="str">
        <x:v>230</x:v>
      </x:c>
      <x:c r="G461" s="2" t="str">
        <x:v>3124233</x:v>
      </x:c>
      <x:c r="H461" s="2" t="str">
        <x:v>2048000.0</x:v>
      </x:c>
      <x:c r="I461" s="2" t="str">
        <x:v>8192</x:v>
      </x:c>
      <x:c r="J461" s="2" t="str">
        <x:v>250.0</x:v>
      </x:c>
      <x:c r="K461" s="2" t="str">
        <x:v>2</x:v>
      </x:c>
      <x:c r="L461" s="2" t="str">
        <x:v>3</x:v>
      </x:c>
      <x:c r="M461" s="2" t="str">
        <x:v>2</x:v>
      </x:c>
      <x:c r="N461" s="2" t="str">
        <x:v>1</x:v>
      </x:c>
      <x:c r="O461" s="2" t="str">
        <x:v>0</x:v>
      </x:c>
      <x:c r="P461" s="2" t="str">
        <x:v>true</x:v>
      </x:c>
      <x:c r="Q461" s="2" t="str">
        <x:v>-5.332885202;-5.332885202</x:v>
      </x:c>
      <x:c r="R461" s="2" t="str">
        <x:v>0.44666700705420226</x:v>
      </x:c>
      <x:c r="S461" s="2" t="str">
        <x:v>46.73320884249017</x:v>
      </x:c>
    </x:row>
    <x:row r="462">
      <x:c r="A462" s="2" t="str">
        <x:v>DE-CMP-01</x:v>
      </x:c>
      <x:c r="B462" s="2" t="str">
        <x:v>CFG-C01</x:v>
      </x:c>
      <x:c r="C462" s="2" t="n">
        <x:v>46227.70238086805</x:v>
      </x:c>
      <x:c r="D462" s="2" t="str">
        <x:v>adaptive</x:v>
      </x:c>
      <x:c r="E462" s="2" t="str">
        <x:v>weak_beside_strong</x:v>
      </x:c>
      <x:c r="F462" s="2" t="str">
        <x:v>231</x:v>
      </x:c>
      <x:c r="G462" s="2" t="str">
        <x:v>3124234</x:v>
      </x:c>
      <x:c r="H462" s="2" t="str">
        <x:v>2048000.0</x:v>
      </x:c>
      <x:c r="I462" s="2" t="str">
        <x:v>8192</x:v>
      </x:c>
      <x:c r="J462" s="2" t="str">
        <x:v>250.0</x:v>
      </x:c>
      <x:c r="K462" s="2" t="str">
        <x:v>2</x:v>
      </x:c>
      <x:c r="L462" s="2" t="str">
        <x:v>3</x:v>
      </x:c>
      <x:c r="M462" s="2" t="str">
        <x:v>2</x:v>
      </x:c>
      <x:c r="N462" s="2" t="str">
        <x:v>1</x:v>
      </x:c>
      <x:c r="O462" s="2" t="str">
        <x:v>0</x:v>
      </x:c>
      <x:c r="P462" s="2" t="str">
        <x:v>true</x:v>
      </x:c>
      <x:c r="Q462" s="2" t="str">
        <x:v>53.192238999;53.192238999</x:v>
      </x:c>
      <x:c r="R462" s="2" t="str">
        <x:v>0.4293329984648153</x:v>
      </x:c>
      <x:c r="S462" s="2" t="str">
        <x:v>46.67696958187166</x:v>
      </x:c>
    </x:row>
    <x:row r="463">
      <x:c r="A463" s="2" t="str">
        <x:v>DE-CMP-01</x:v>
      </x:c>
      <x:c r="B463" s="2" t="str">
        <x:v>CFG-C01</x:v>
      </x:c>
      <x:c r="C463" s="2" t="n">
        <x:v>46227.70238086805</x:v>
      </x:c>
      <x:c r="D463" s="2" t="str">
        <x:v>os_cfar</x:v>
      </x:c>
      <x:c r="E463" s="2" t="str">
        <x:v>weak_beside_strong</x:v>
      </x:c>
      <x:c r="F463" s="2" t="str">
        <x:v>231</x:v>
      </x:c>
      <x:c r="G463" s="2" t="str">
        <x:v>3124234</x:v>
      </x:c>
      <x:c r="H463" s="2" t="str">
        <x:v>2048000.0</x:v>
      </x:c>
      <x:c r="I463" s="2" t="str">
        <x:v>8192</x:v>
      </x:c>
      <x:c r="J463" s="2" t="str">
        <x:v>250.0</x:v>
      </x:c>
      <x:c r="K463" s="2" t="str">
        <x:v>2</x:v>
      </x:c>
      <x:c r="L463" s="2" t="str">
        <x:v>3</x:v>
      </x:c>
      <x:c r="M463" s="2" t="str">
        <x:v>2</x:v>
      </x:c>
      <x:c r="N463" s="2" t="str">
        <x:v>1</x:v>
      </x:c>
      <x:c r="O463" s="2" t="str">
        <x:v>0</x:v>
      </x:c>
      <x:c r="P463" s="2" t="str">
        <x:v>true</x:v>
      </x:c>
      <x:c r="Q463" s="2" t="str">
        <x:v>53.192238999;53.192238999</x:v>
      </x:c>
      <x:c r="R463" s="2" t="str">
        <x:v>14.113166005699895</x:v>
      </x:c>
      <x:c r="S463" s="2" t="str">
        <x:v>48.37138527059746</x:v>
      </x:c>
    </x:row>
    <x:row r="464">
      <x:c r="A464" s="2" t="str">
        <x:v>DE-CMP-01</x:v>
      </x:c>
      <x:c r="B464" s="2" t="str">
        <x:v>CFG-C01</x:v>
      </x:c>
      <x:c r="C464" s="2" t="n">
        <x:v>46227.70238086805</x:v>
      </x:c>
      <x:c r="D464" s="2" t="str">
        <x:v>os_cfar</x:v>
      </x:c>
      <x:c r="E464" s="2" t="str">
        <x:v>weak_beside_strong</x:v>
      </x:c>
      <x:c r="F464" s="2" t="str">
        <x:v>232</x:v>
      </x:c>
      <x:c r="G464" s="2" t="str">
        <x:v>3124235</x:v>
      </x:c>
      <x:c r="H464" s="2" t="str">
        <x:v>2048000.0</x:v>
      </x:c>
      <x:c r="I464" s="2" t="str">
        <x:v>8192</x:v>
      </x:c>
      <x:c r="J464" s="2" t="str">
        <x:v>250.0</x:v>
      </x:c>
      <x:c r="K464" s="2" t="str">
        <x:v>2</x:v>
      </x:c>
      <x:c r="L464" s="2" t="str">
        <x:v>3</x:v>
      </x:c>
      <x:c r="M464" s="2" t="str">
        <x:v>2</x:v>
      </x:c>
      <x:c r="N464" s="2" t="str">
        <x:v>1</x:v>
      </x:c>
      <x:c r="O464" s="2" t="str">
        <x:v>0</x:v>
      </x:c>
      <x:c r="P464" s="2" t="str">
        <x:v>true</x:v>
      </x:c>
      <x:c r="Q464" s="2" t="str">
        <x:v>-20.986660423;-20.986660423</x:v>
      </x:c>
      <x:c r="R464" s="2" t="str">
        <x:v>13.790041004540399</x:v>
      </x:c>
      <x:c r="S464" s="2" t="str">
        <x:v>48.22945445390938</x:v>
      </x:c>
    </x:row>
    <x:row r="465">
      <x:c r="A465" s="2" t="str">
        <x:v>DE-CMP-01</x:v>
      </x:c>
      <x:c r="B465" s="2" t="str">
        <x:v>CFG-C01</x:v>
      </x:c>
      <x:c r="C465" s="2" t="n">
        <x:v>46227.70238086805</x:v>
      </x:c>
      <x:c r="D465" s="2" t="str">
        <x:v>adaptive</x:v>
      </x:c>
      <x:c r="E465" s="2" t="str">
        <x:v>weak_beside_strong</x:v>
      </x:c>
      <x:c r="F465" s="2" t="str">
        <x:v>232</x:v>
      </x:c>
      <x:c r="G465" s="2" t="str">
        <x:v>3124235</x:v>
      </x:c>
      <x:c r="H465" s="2" t="str">
        <x:v>2048000.0</x:v>
      </x:c>
      <x:c r="I465" s="2" t="str">
        <x:v>8192</x:v>
      </x:c>
      <x:c r="J465" s="2" t="str">
        <x:v>250.0</x:v>
      </x:c>
      <x:c r="K465" s="2" t="str">
        <x:v>2</x:v>
      </x:c>
      <x:c r="L465" s="2" t="str">
        <x:v>3</x:v>
      </x:c>
      <x:c r="M465" s="2" t="str">
        <x:v>2</x:v>
      </x:c>
      <x:c r="N465" s="2" t="str">
        <x:v>1</x:v>
      </x:c>
      <x:c r="O465" s="2" t="str">
        <x:v>0</x:v>
      </x:c>
      <x:c r="P465" s="2" t="str">
        <x:v>true</x:v>
      </x:c>
      <x:c r="Q465" s="2" t="str">
        <x:v>-20.986660423;-20.986660423</x:v>
      </x:c>
      <x:c r="R465" s="2" t="str">
        <x:v>0.5573340022237971</x:v>
      </x:c>
      <x:c r="S465" s="2" t="str">
        <x:v>46.51112877601178</x:v>
      </x:c>
    </x:row>
    <x:row r="466">
      <x:c r="A466" s="2" t="str">
        <x:v>DE-CMP-01</x:v>
      </x:c>
      <x:c r="B466" s="2" t="str">
        <x:v>CFG-C01</x:v>
      </x:c>
      <x:c r="C466" s="2" t="n">
        <x:v>46227.70238086805</x:v>
      </x:c>
      <x:c r="D466" s="2" t="str">
        <x:v>adaptive</x:v>
      </x:c>
      <x:c r="E466" s="2" t="str">
        <x:v>weak_beside_strong</x:v>
      </x:c>
      <x:c r="F466" s="2" t="str">
        <x:v>233</x:v>
      </x:c>
      <x:c r="G466" s="2" t="str">
        <x:v>3124236</x:v>
      </x:c>
      <x:c r="H466" s="2" t="str">
        <x:v>2048000.0</x:v>
      </x:c>
      <x:c r="I466" s="2" t="str">
        <x:v>8192</x:v>
      </x:c>
      <x:c r="J466" s="2" t="str">
        <x:v>250.0</x:v>
      </x:c>
      <x:c r="K466" s="2" t="str">
        <x:v>2</x:v>
      </x:c>
      <x:c r="L466" s="2" t="str">
        <x:v>3</x:v>
      </x:c>
      <x:c r="M466" s="2" t="str">
        <x:v>2</x:v>
      </x:c>
      <x:c r="N466" s="2" t="str">
        <x:v>1</x:v>
      </x:c>
      <x:c r="O466" s="2" t="str">
        <x:v>0</x:v>
      </x:c>
      <x:c r="P466" s="2" t="str">
        <x:v>true</x:v>
      </x:c>
      <x:c r="Q466" s="2" t="str">
        <x:v>69.856711678;69.856711678</x:v>
      </x:c>
      <x:c r="R466" s="2" t="str">
        <x:v>0.4249579942552373</x:v>
      </x:c>
      <x:c r="S466" s="2" t="str">
        <x:v>46.26132012810318</x:v>
      </x:c>
    </x:row>
    <x:row r="467">
      <x:c r="A467" s="2" t="str">
        <x:v>DE-CMP-01</x:v>
      </x:c>
      <x:c r="B467" s="2" t="str">
        <x:v>CFG-C01</x:v>
      </x:c>
      <x:c r="C467" s="2" t="n">
        <x:v>46227.70238086805</x:v>
      </x:c>
      <x:c r="D467" s="2" t="str">
        <x:v>os_cfar</x:v>
      </x:c>
      <x:c r="E467" s="2" t="str">
        <x:v>weak_beside_strong</x:v>
      </x:c>
      <x:c r="F467" s="2" t="str">
        <x:v>233</x:v>
      </x:c>
      <x:c r="G467" s="2" t="str">
        <x:v>3124236</x:v>
      </x:c>
      <x:c r="H467" s="2" t="str">
        <x:v>2048000.0</x:v>
      </x:c>
      <x:c r="I467" s="2" t="str">
        <x:v>8192</x:v>
      </x:c>
      <x:c r="J467" s="2" t="str">
        <x:v>250.0</x:v>
      </x:c>
      <x:c r="K467" s="2" t="str">
        <x:v>2</x:v>
      </x:c>
      <x:c r="L467" s="2" t="str">
        <x:v>3</x:v>
      </x:c>
      <x:c r="M467" s="2" t="str">
        <x:v>2</x:v>
      </x:c>
      <x:c r="N467" s="2" t="str">
        <x:v>1</x:v>
      </x:c>
      <x:c r="O467" s="2" t="str">
        <x:v>0</x:v>
      </x:c>
      <x:c r="P467" s="2" t="str">
        <x:v>true</x:v>
      </x:c>
      <x:c r="Q467" s="2" t="str">
        <x:v>69.856711678;69.856711678</x:v>
      </x:c>
      <x:c r="R467" s="2" t="str">
        <x:v>13.916415991843678</x:v>
      </x:c>
      <x:c r="S467" s="2" t="str">
        <x:v>48.01832336519674</x:v>
      </x:c>
    </x:row>
    <x:row r="468">
      <x:c r="A468" s="2" t="str">
        <x:v>DE-CMP-01</x:v>
      </x:c>
      <x:c r="B468" s="2" t="str">
        <x:v>CFG-C01</x:v>
      </x:c>
      <x:c r="C468" s="2" t="n">
        <x:v>46227.70238086805</x:v>
      </x:c>
      <x:c r="D468" s="2" t="str">
        <x:v>os_cfar</x:v>
      </x:c>
      <x:c r="E468" s="2" t="str">
        <x:v>weak_beside_strong</x:v>
      </x:c>
      <x:c r="F468" s="2" t="str">
        <x:v>234</x:v>
      </x:c>
      <x:c r="G468" s="2" t="str">
        <x:v>3124237</x:v>
      </x:c>
      <x:c r="H468" s="2" t="str">
        <x:v>2048000.0</x:v>
      </x:c>
      <x:c r="I468" s="2" t="str">
        <x:v>8192</x:v>
      </x:c>
      <x:c r="J468" s="2" t="str">
        <x:v>250.0</x:v>
      </x:c>
      <x:c r="K468" s="2" t="str">
        <x:v>2</x:v>
      </x:c>
      <x:c r="L468" s="2" t="str">
        <x:v>3</x:v>
      </x:c>
      <x:c r="M468" s="2" t="str">
        <x:v>2</x:v>
      </x:c>
      <x:c r="N468" s="2" t="str">
        <x:v>1</x:v>
      </x:c>
      <x:c r="O468" s="2" t="str">
        <x:v>0</x:v>
      </x:c>
      <x:c r="P468" s="2" t="str">
        <x:v>true</x:v>
      </x:c>
      <x:c r="Q468" s="2" t="str">
        <x:v>48.883872490;48.883872490</x:v>
      </x:c>
      <x:c r="R468" s="2" t="str">
        <x:v>13.882040992029943</x:v>
      </x:c>
      <x:c r="S468" s="2" t="str">
        <x:v>48.128301224961746</x:v>
      </x:c>
    </x:row>
    <x:row r="469">
      <x:c r="A469" s="2" t="str">
        <x:v>DE-CMP-01</x:v>
      </x:c>
      <x:c r="B469" s="2" t="str">
        <x:v>CFG-C01</x:v>
      </x:c>
      <x:c r="C469" s="2" t="n">
        <x:v>46227.70238086805</x:v>
      </x:c>
      <x:c r="D469" s="2" t="str">
        <x:v>adaptive</x:v>
      </x:c>
      <x:c r="E469" s="2" t="str">
        <x:v>weak_beside_strong</x:v>
      </x:c>
      <x:c r="F469" s="2" t="str">
        <x:v>234</x:v>
      </x:c>
      <x:c r="G469" s="2" t="str">
        <x:v>3124237</x:v>
      </x:c>
      <x:c r="H469" s="2" t="str">
        <x:v>2048000.0</x:v>
      </x:c>
      <x:c r="I469" s="2" t="str">
        <x:v>8192</x:v>
      </x:c>
      <x:c r="J469" s="2" t="str">
        <x:v>250.0</x:v>
      </x:c>
      <x:c r="K469" s="2" t="str">
        <x:v>2</x:v>
      </x:c>
      <x:c r="L469" s="2" t="str">
        <x:v>3</x:v>
      </x:c>
      <x:c r="M469" s="2" t="str">
        <x:v>2</x:v>
      </x:c>
      <x:c r="N469" s="2" t="str">
        <x:v>1</x:v>
      </x:c>
      <x:c r="O469" s="2" t="str">
        <x:v>0</x:v>
      </x:c>
      <x:c r="P469" s="2" t="str">
        <x:v>true</x:v>
      </x:c>
      <x:c r="Q469" s="2" t="str">
        <x:v>48.883872490;48.883872490</x:v>
      </x:c>
      <x:c r="R469" s="2" t="str">
        <x:v>0.4225000011501834</x:v>
      </x:c>
      <x:c r="S469" s="2" t="str">
        <x:v>46.45235390446531</x:v>
      </x:c>
    </x:row>
    <x:row r="470">
      <x:c r="A470" s="2" t="str">
        <x:v>DE-CMP-01</x:v>
      </x:c>
      <x:c r="B470" s="2" t="str">
        <x:v>CFG-C01</x:v>
      </x:c>
      <x:c r="C470" s="2" t="n">
        <x:v>46227.70238086805</x:v>
      </x:c>
      <x:c r="D470" s="2" t="str">
        <x:v>adaptive</x:v>
      </x:c>
      <x:c r="E470" s="2" t="str">
        <x:v>weak_beside_strong</x:v>
      </x:c>
      <x:c r="F470" s="2" t="str">
        <x:v>235</x:v>
      </x:c>
      <x:c r="G470" s="2" t="str">
        <x:v>3124238</x:v>
      </x:c>
      <x:c r="H470" s="2" t="str">
        <x:v>2048000.0</x:v>
      </x:c>
      <x:c r="I470" s="2" t="str">
        <x:v>8192</x:v>
      </x:c>
      <x:c r="J470" s="2" t="str">
        <x:v>250.0</x:v>
      </x:c>
      <x:c r="K470" s="2" t="str">
        <x:v>2</x:v>
      </x:c>
      <x:c r="L470" s="2" t="str">
        <x:v>3</x:v>
      </x:c>
      <x:c r="M470" s="2" t="str">
        <x:v>2</x:v>
      </x:c>
      <x:c r="N470" s="2" t="str">
        <x:v>1</x:v>
      </x:c>
      <x:c r="O470" s="2" t="str">
        <x:v>0</x:v>
      </x:c>
      <x:c r="P470" s="2" t="str">
        <x:v>true</x:v>
      </x:c>
      <x:c r="Q470" s="2" t="str">
        <x:v>49.798899564;49.798899564</x:v>
      </x:c>
      <x:c r="R470" s="2" t="str">
        <x:v>0.4039170016767457</x:v>
      </x:c>
      <x:c r="S470" s="2" t="str">
        <x:v>46.46527791411496</x:v>
      </x:c>
    </x:row>
    <x:row r="471">
      <x:c r="A471" s="2" t="str">
        <x:v>DE-CMP-01</x:v>
      </x:c>
      <x:c r="B471" s="2" t="str">
        <x:v>CFG-C01</x:v>
      </x:c>
      <x:c r="C471" s="2" t="n">
        <x:v>46227.70238086805</x:v>
      </x:c>
      <x:c r="D471" s="2" t="str">
        <x:v>os_cfar</x:v>
      </x:c>
      <x:c r="E471" s="2" t="str">
        <x:v>weak_beside_strong</x:v>
      </x:c>
      <x:c r="F471" s="2" t="str">
        <x:v>235</x:v>
      </x:c>
      <x:c r="G471" s="2" t="str">
        <x:v>3124238</x:v>
      </x:c>
      <x:c r="H471" s="2" t="str">
        <x:v>2048000.0</x:v>
      </x:c>
      <x:c r="I471" s="2" t="str">
        <x:v>8192</x:v>
      </x:c>
      <x:c r="J471" s="2" t="str">
        <x:v>250.0</x:v>
      </x:c>
      <x:c r="K471" s="2" t="str">
        <x:v>2</x:v>
      </x:c>
      <x:c r="L471" s="2" t="str">
        <x:v>3</x:v>
      </x:c>
      <x:c r="M471" s="2" t="str">
        <x:v>2</x:v>
      </x:c>
      <x:c r="N471" s="2" t="str">
        <x:v>1</x:v>
      </x:c>
      <x:c r="O471" s="2" t="str">
        <x:v>0</x:v>
      </x:c>
      <x:c r="P471" s="2" t="str">
        <x:v>true</x:v>
      </x:c>
      <x:c r="Q471" s="2" t="str">
        <x:v>49.798899564;49.798899564</x:v>
      </x:c>
      <x:c r="R471" s="2" t="str">
        <x:v>13.894749994506128</x:v>
      </x:c>
      <x:c r="S471" s="2" t="str">
        <x:v>48.25905285711353</x:v>
      </x:c>
    </x:row>
    <x:row r="472">
      <x:c r="A472" s="2" t="str">
        <x:v>DE-CMP-01</x:v>
      </x:c>
      <x:c r="B472" s="2" t="str">
        <x:v>CFG-C01</x:v>
      </x:c>
      <x:c r="C472" s="2" t="n">
        <x:v>46227.70238086805</x:v>
      </x:c>
      <x:c r="D472" s="2" t="str">
        <x:v>os_cfar</x:v>
      </x:c>
      <x:c r="E472" s="2" t="str">
        <x:v>weak_beside_strong</x:v>
      </x:c>
      <x:c r="F472" s="2" t="str">
        <x:v>236</x:v>
      </x:c>
      <x:c r="G472" s="2" t="str">
        <x:v>3124239</x:v>
      </x:c>
      <x:c r="H472" s="2" t="str">
        <x:v>2048000.0</x:v>
      </x:c>
      <x:c r="I472" s="2" t="str">
        <x:v>8192</x:v>
      </x:c>
      <x:c r="J472" s="2" t="str">
        <x:v>250.0</x:v>
      </x:c>
      <x:c r="K472" s="2" t="str">
        <x:v>2</x:v>
      </x:c>
      <x:c r="L472" s="2" t="str">
        <x:v>3</x:v>
      </x:c>
      <x:c r="M472" s="2" t="str">
        <x:v>2</x:v>
      </x:c>
      <x:c r="N472" s="2" t="str">
        <x:v>1</x:v>
      </x:c>
      <x:c r="O472" s="2" t="str">
        <x:v>0</x:v>
      </x:c>
      <x:c r="P472" s="2" t="str">
        <x:v>true</x:v>
      </x:c>
      <x:c r="Q472" s="2" t="str">
        <x:v>99.521193809;99.521193809</x:v>
      </x:c>
      <x:c r="R472" s="2" t="str">
        <x:v>14.190665999194607</x:v>
      </x:c>
      <x:c r="S472" s="2" t="str">
        <x:v>48.310814721199485</x:v>
      </x:c>
    </x:row>
    <x:row r="473">
      <x:c r="A473" s="2" t="str">
        <x:v>DE-CMP-01</x:v>
      </x:c>
      <x:c r="B473" s="2" t="str">
        <x:v>CFG-C01</x:v>
      </x:c>
      <x:c r="C473" s="2" t="n">
        <x:v>46227.70238086805</x:v>
      </x:c>
      <x:c r="D473" s="2" t="str">
        <x:v>adaptive</x:v>
      </x:c>
      <x:c r="E473" s="2" t="str">
        <x:v>weak_beside_strong</x:v>
      </x:c>
      <x:c r="F473" s="2" t="str">
        <x:v>236</x:v>
      </x:c>
      <x:c r="G473" s="2" t="str">
        <x:v>3124239</x:v>
      </x:c>
      <x:c r="H473" s="2" t="str">
        <x:v>2048000.0</x:v>
      </x:c>
      <x:c r="I473" s="2" t="str">
        <x:v>8192</x:v>
      </x:c>
      <x:c r="J473" s="2" t="str">
        <x:v>250.0</x:v>
      </x:c>
      <x:c r="K473" s="2" t="str">
        <x:v>2</x:v>
      </x:c>
      <x:c r="L473" s="2" t="str">
        <x:v>3</x:v>
      </x:c>
      <x:c r="M473" s="2" t="str">
        <x:v>2</x:v>
      </x:c>
      <x:c r="N473" s="2" t="str">
        <x:v>1</x:v>
      </x:c>
      <x:c r="O473" s="2" t="str">
        <x:v>0</x:v>
      </x:c>
      <x:c r="P473" s="2" t="str">
        <x:v>true</x:v>
      </x:c>
      <x:c r="Q473" s="2" t="str">
        <x:v>99.521193809;99.521193809</x:v>
      </x:c>
      <x:c r="R473" s="2" t="str">
        <x:v>0.4326250054873526</x:v>
      </x:c>
      <x:c r="S473" s="2" t="str">
        <x:v>46.41123159638459</x:v>
      </x:c>
    </x:row>
    <x:row r="474">
      <x:c r="A474" s="2" t="str">
        <x:v>DE-CMP-01</x:v>
      </x:c>
      <x:c r="B474" s="2" t="str">
        <x:v>CFG-C01</x:v>
      </x:c>
      <x:c r="C474" s="2" t="n">
        <x:v>46227.70238086805</x:v>
      </x:c>
      <x:c r="D474" s="2" t="str">
        <x:v>adaptive</x:v>
      </x:c>
      <x:c r="E474" s="2" t="str">
        <x:v>weak_beside_strong</x:v>
      </x:c>
      <x:c r="F474" s="2" t="str">
        <x:v>237</x:v>
      </x:c>
      <x:c r="G474" s="2" t="str">
        <x:v>3124240</x:v>
      </x:c>
      <x:c r="H474" s="2" t="str">
        <x:v>2048000.0</x:v>
      </x:c>
      <x:c r="I474" s="2" t="str">
        <x:v>8192</x:v>
      </x:c>
      <x:c r="J474" s="2" t="str">
        <x:v>250.0</x:v>
      </x:c>
      <x:c r="K474" s="2" t="str">
        <x:v>2</x:v>
      </x:c>
      <x:c r="L474" s="2" t="str">
        <x:v>3</x:v>
      </x:c>
      <x:c r="M474" s="2" t="str">
        <x:v>2</x:v>
      </x:c>
      <x:c r="N474" s="2" t="str">
        <x:v>1</x:v>
      </x:c>
      <x:c r="O474" s="2" t="str">
        <x:v>0</x:v>
      </x:c>
      <x:c r="P474" s="2" t="str">
        <x:v>true</x:v>
      </x:c>
      <x:c r="Q474" s="2" t="str">
        <x:v>-121.836088132;-121.836088132</x:v>
      </x:c>
      <x:c r="R474" s="2" t="str">
        <x:v>0.4047499969601631</x:v>
      </x:c>
      <x:c r="S474" s="2" t="str">
        <x:v>46.693356322376836</x:v>
      </x:c>
    </x:row>
    <x:row r="475">
      <x:c r="A475" s="2" t="str">
        <x:v>DE-CMP-01</x:v>
      </x:c>
      <x:c r="B475" s="2" t="str">
        <x:v>CFG-C01</x:v>
      </x:c>
      <x:c r="C475" s="2" t="n">
        <x:v>46227.70238086805</x:v>
      </x:c>
      <x:c r="D475" s="2" t="str">
        <x:v>os_cfar</x:v>
      </x:c>
      <x:c r="E475" s="2" t="str">
        <x:v>weak_beside_strong</x:v>
      </x:c>
      <x:c r="F475" s="2" t="str">
        <x:v>237</x:v>
      </x:c>
      <x:c r="G475" s="2" t="str">
        <x:v>3124240</x:v>
      </x:c>
      <x:c r="H475" s="2" t="str">
        <x:v>2048000.0</x:v>
      </x:c>
      <x:c r="I475" s="2" t="str">
        <x:v>8192</x:v>
      </x:c>
      <x:c r="J475" s="2" t="str">
        <x:v>250.0</x:v>
      </x:c>
      <x:c r="K475" s="2" t="str">
        <x:v>2</x:v>
      </x:c>
      <x:c r="L475" s="2" t="str">
        <x:v>3</x:v>
      </x:c>
      <x:c r="M475" s="2" t="str">
        <x:v>2</x:v>
      </x:c>
      <x:c r="N475" s="2" t="str">
        <x:v>1</x:v>
      </x:c>
      <x:c r="O475" s="2" t="str">
        <x:v>0</x:v>
      </x:c>
      <x:c r="P475" s="2" t="str">
        <x:v>true</x:v>
      </x:c>
      <x:c r="Q475" s="2" t="str">
        <x:v>-121.836088132;-121.836088132</x:v>
      </x:c>
      <x:c r="R475" s="2" t="str">
        <x:v>13.82066699443385</x:v>
      </x:c>
      <x:c r="S475" s="2" t="str">
        <x:v>48.33865534605597</x:v>
      </x:c>
    </x:row>
    <x:row r="476">
      <x:c r="A476" s="2" t="str">
        <x:v>DE-CMP-01</x:v>
      </x:c>
      <x:c r="B476" s="2" t="str">
        <x:v>CFG-C01</x:v>
      </x:c>
      <x:c r="C476" s="2" t="n">
        <x:v>46227.70238086805</x:v>
      </x:c>
      <x:c r="D476" s="2" t="str">
        <x:v>os_cfar</x:v>
      </x:c>
      <x:c r="E476" s="2" t="str">
        <x:v>weak_beside_strong</x:v>
      </x:c>
      <x:c r="F476" s="2" t="str">
        <x:v>238</x:v>
      </x:c>
      <x:c r="G476" s="2" t="str">
        <x:v>3124241</x:v>
      </x:c>
      <x:c r="H476" s="2" t="str">
        <x:v>2048000.0</x:v>
      </x:c>
      <x:c r="I476" s="2" t="str">
        <x:v>8192</x:v>
      </x:c>
      <x:c r="J476" s="2" t="str">
        <x:v>250.0</x:v>
      </x:c>
      <x:c r="K476" s="2" t="str">
        <x:v>2</x:v>
      </x:c>
      <x:c r="L476" s="2" t="str">
        <x:v>3</x:v>
      </x:c>
      <x:c r="M476" s="2" t="str">
        <x:v>2</x:v>
      </x:c>
      <x:c r="N476" s="2" t="str">
        <x:v>1</x:v>
      </x:c>
      <x:c r="O476" s="2" t="str">
        <x:v>0</x:v>
      </x:c>
      <x:c r="P476" s="2" t="str">
        <x:v>true</x:v>
      </x:c>
      <x:c r="Q476" s="2" t="str">
        <x:v>-118.347012018;-118.347012018</x:v>
      </x:c>
      <x:c r="R476" s="2" t="str">
        <x:v>13.887833003536798</x:v>
      </x:c>
      <x:c r="S476" s="2" t="str">
        <x:v>48.36162065745653</x:v>
      </x:c>
    </x:row>
    <x:row r="477">
      <x:c r="A477" s="2" t="str">
        <x:v>DE-CMP-01</x:v>
      </x:c>
      <x:c r="B477" s="2" t="str">
        <x:v>CFG-C01</x:v>
      </x:c>
      <x:c r="C477" s="2" t="n">
        <x:v>46227.70238086805</x:v>
      </x:c>
      <x:c r="D477" s="2" t="str">
        <x:v>adaptive</x:v>
      </x:c>
      <x:c r="E477" s="2" t="str">
        <x:v>weak_beside_strong</x:v>
      </x:c>
      <x:c r="F477" s="2" t="str">
        <x:v>238</x:v>
      </x:c>
      <x:c r="G477" s="2" t="str">
        <x:v>3124241</x:v>
      </x:c>
      <x:c r="H477" s="2" t="str">
        <x:v>2048000.0</x:v>
      </x:c>
      <x:c r="I477" s="2" t="str">
        <x:v>8192</x:v>
      </x:c>
      <x:c r="J477" s="2" t="str">
        <x:v>250.0</x:v>
      </x:c>
      <x:c r="K477" s="2" t="str">
        <x:v>2</x:v>
      </x:c>
      <x:c r="L477" s="2" t="str">
        <x:v>3</x:v>
      </x:c>
      <x:c r="M477" s="2" t="str">
        <x:v>2</x:v>
      </x:c>
      <x:c r="N477" s="2" t="str">
        <x:v>1</x:v>
      </x:c>
      <x:c r="O477" s="2" t="str">
        <x:v>0</x:v>
      </x:c>
      <x:c r="P477" s="2" t="str">
        <x:v>true</x:v>
      </x:c>
      <x:c r="Q477" s="2" t="str">
        <x:v>-118.347012018;-118.347012018</x:v>
      </x:c>
      <x:c r="R477" s="2" t="str">
        <x:v>0.4260419955244288</x:v>
      </x:c>
      <x:c r="S477" s="2" t="str">
        <x:v>46.50208489558393</x:v>
      </x:c>
    </x:row>
    <x:row r="478">
      <x:c r="A478" s="2" t="str">
        <x:v>DE-CMP-01</x:v>
      </x:c>
      <x:c r="B478" s="2" t="str">
        <x:v>CFG-C01</x:v>
      </x:c>
      <x:c r="C478" s="2" t="n">
        <x:v>46227.70238086805</x:v>
      </x:c>
      <x:c r="D478" s="2" t="str">
        <x:v>adaptive</x:v>
      </x:c>
      <x:c r="E478" s="2" t="str">
        <x:v>weak_beside_strong</x:v>
      </x:c>
      <x:c r="F478" s="2" t="str">
        <x:v>239</x:v>
      </x:c>
      <x:c r="G478" s="2" t="str">
        <x:v>3124242</x:v>
      </x:c>
      <x:c r="H478" s="2" t="str">
        <x:v>2048000.0</x:v>
      </x:c>
      <x:c r="I478" s="2" t="str">
        <x:v>8192</x:v>
      </x:c>
      <x:c r="J478" s="2" t="str">
        <x:v>250.0</x:v>
      </x:c>
      <x:c r="K478" s="2" t="str">
        <x:v>2</x:v>
      </x:c>
      <x:c r="L478" s="2" t="str">
        <x:v>3</x:v>
      </x:c>
      <x:c r="M478" s="2" t="str">
        <x:v>2</x:v>
      </x:c>
      <x:c r="N478" s="2" t="str">
        <x:v>1</x:v>
      </x:c>
      <x:c r="O478" s="2" t="str">
        <x:v>0</x:v>
      </x:c>
      <x:c r="P478" s="2" t="str">
        <x:v>true</x:v>
      </x:c>
      <x:c r="Q478" s="2" t="str">
        <x:v>-40.065022652;-40.065022652</x:v>
      </x:c>
      <x:c r="R478" s="2" t="str">
        <x:v>0.38516600034199655</x:v>
      </x:c>
      <x:c r="S478" s="2" t="str">
        <x:v>46.41154490559072</x:v>
      </x:c>
    </x:row>
    <x:row r="479">
      <x:c r="A479" s="2" t="str">
        <x:v>DE-CMP-01</x:v>
      </x:c>
      <x:c r="B479" s="2" t="str">
        <x:v>CFG-C01</x:v>
      </x:c>
      <x:c r="C479" s="2" t="n">
        <x:v>46227.70238086805</x:v>
      </x:c>
      <x:c r="D479" s="2" t="str">
        <x:v>os_cfar</x:v>
      </x:c>
      <x:c r="E479" s="2" t="str">
        <x:v>weak_beside_strong</x:v>
      </x:c>
      <x:c r="F479" s="2" t="str">
        <x:v>239</x:v>
      </x:c>
      <x:c r="G479" s="2" t="str">
        <x:v>3124242</x:v>
      </x:c>
      <x:c r="H479" s="2" t="str">
        <x:v>2048000.0</x:v>
      </x:c>
      <x:c r="I479" s="2" t="str">
        <x:v>8192</x:v>
      </x:c>
      <x:c r="J479" s="2" t="str">
        <x:v>250.0</x:v>
      </x:c>
      <x:c r="K479" s="2" t="str">
        <x:v>2</x:v>
      </x:c>
      <x:c r="L479" s="2" t="str">
        <x:v>3</x:v>
      </x:c>
      <x:c r="M479" s="2" t="str">
        <x:v>2</x:v>
      </x:c>
      <x:c r="N479" s="2" t="str">
        <x:v>1</x:v>
      </x:c>
      <x:c r="O479" s="2" t="str">
        <x:v>0</x:v>
      </x:c>
      <x:c r="P479" s="2" t="str">
        <x:v>true</x:v>
      </x:c>
      <x:c r="Q479" s="2" t="str">
        <x:v>-40.065022652;-40.065022652</x:v>
      </x:c>
      <x:c r="R479" s="2" t="str">
        <x:v>14.035667001735419</x:v>
      </x:c>
      <x:c r="S479" s="2" t="str">
        <x:v>48.17983473305081</x:v>
      </x:c>
    </x:row>
    <x:row r="480">
      <x:c r="A480" s="2" t="str">
        <x:v>DE-CMP-01</x:v>
      </x:c>
      <x:c r="B480" s="2" t="str">
        <x:v>CFG-C01</x:v>
      </x:c>
      <x:c r="C480" s="2" t="n">
        <x:v>46227.70238086805</x:v>
      </x:c>
      <x:c r="D480" s="2" t="str">
        <x:v>os_cfar</x:v>
      </x:c>
      <x:c r="E480" s="2" t="str">
        <x:v>weak_beside_strong</x:v>
      </x:c>
      <x:c r="F480" s="2" t="str">
        <x:v>240</x:v>
      </x:c>
      <x:c r="G480" s="2" t="str">
        <x:v>3124243</x:v>
      </x:c>
      <x:c r="H480" s="2" t="str">
        <x:v>2048000.0</x:v>
      </x:c>
      <x:c r="I480" s="2" t="str">
        <x:v>8192</x:v>
      </x:c>
      <x:c r="J480" s="2" t="str">
        <x:v>250.0</x:v>
      </x:c>
      <x:c r="K480" s="2" t="str">
        <x:v>2</x:v>
      </x:c>
      <x:c r="L480" s="2" t="str">
        <x:v>3</x:v>
      </x:c>
      <x:c r="M480" s="2" t="str">
        <x:v>2</x:v>
      </x:c>
      <x:c r="N480" s="2" t="str">
        <x:v>1</x:v>
      </x:c>
      <x:c r="O480" s="2" t="str">
        <x:v>0</x:v>
      </x:c>
      <x:c r="P480" s="2" t="str">
        <x:v>true</x:v>
      </x:c>
      <x:c r="Q480" s="2" t="str">
        <x:v>-84.916687931;-84.916687931</x:v>
      </x:c>
      <x:c r="R480" s="2" t="str">
        <x:v>13.67712501087226</x:v>
      </x:c>
      <x:c r="S480" s="2" t="str">
        <x:v>48.184085744240114</x:v>
      </x:c>
    </x:row>
    <x:row r="481">
      <x:c r="A481" s="2" t="str">
        <x:v>DE-CMP-01</x:v>
      </x:c>
      <x:c r="B481" s="2" t="str">
        <x:v>CFG-C01</x:v>
      </x:c>
      <x:c r="C481" s="2" t="n">
        <x:v>46227.70238086805</x:v>
      </x:c>
      <x:c r="D481" s="2" t="str">
        <x:v>adaptive</x:v>
      </x:c>
      <x:c r="E481" s="2" t="str">
        <x:v>weak_beside_strong</x:v>
      </x:c>
      <x:c r="F481" s="2" t="str">
        <x:v>240</x:v>
      </x:c>
      <x:c r="G481" s="2" t="str">
        <x:v>3124243</x:v>
      </x:c>
      <x:c r="H481" s="2" t="str">
        <x:v>2048000.0</x:v>
      </x:c>
      <x:c r="I481" s="2" t="str">
        <x:v>8192</x:v>
      </x:c>
      <x:c r="J481" s="2" t="str">
        <x:v>250.0</x:v>
      </x:c>
      <x:c r="K481" s="2" t="str">
        <x:v>2</x:v>
      </x:c>
      <x:c r="L481" s="2" t="str">
        <x:v>3</x:v>
      </x:c>
      <x:c r="M481" s="2" t="str">
        <x:v>2</x:v>
      </x:c>
      <x:c r="N481" s="2" t="str">
        <x:v>1</x:v>
      </x:c>
      <x:c r="O481" s="2" t="str">
        <x:v>0</x:v>
      </x:c>
      <x:c r="P481" s="2" t="str">
        <x:v>true</x:v>
      </x:c>
      <x:c r="Q481" s="2" t="str">
        <x:v>-84.916687931;-84.916687931</x:v>
      </x:c>
      <x:c r="R481" s="2" t="str">
        <x:v>0.45116701221559197</x:v>
      </x:c>
      <x:c r="S481" s="2" t="str">
        <x:v>46.453755235292896</x:v>
      </x:c>
    </x:row>
    <x:row r="482">
      <x:c r="A482" s="2" t="str">
        <x:v>DE-CMP-01</x:v>
      </x:c>
      <x:c r="B482" s="2" t="str">
        <x:v>CFG-C01</x:v>
      </x:c>
      <x:c r="C482" s="2" t="n">
        <x:v>46227.70238086805</x:v>
      </x:c>
      <x:c r="D482" s="2" t="str">
        <x:v>adaptive</x:v>
      </x:c>
      <x:c r="E482" s="2" t="str">
        <x:v>weak_beside_strong</x:v>
      </x:c>
      <x:c r="F482" s="2" t="str">
        <x:v>241</x:v>
      </x:c>
      <x:c r="G482" s="2" t="str">
        <x:v>3124244</x:v>
      </x:c>
      <x:c r="H482" s="2" t="str">
        <x:v>2048000.0</x:v>
      </x:c>
      <x:c r="I482" s="2" t="str">
        <x:v>8192</x:v>
      </x:c>
      <x:c r="J482" s="2" t="str">
        <x:v>250.0</x:v>
      </x:c>
      <x:c r="K482" s="2" t="str">
        <x:v>2</x:v>
      </x:c>
      <x:c r="L482" s="2" t="str">
        <x:v>3</x:v>
      </x:c>
      <x:c r="M482" s="2" t="str">
        <x:v>2</x:v>
      </x:c>
      <x:c r="N482" s="2" t="str">
        <x:v>1</x:v>
      </x:c>
      <x:c r="O482" s="2" t="str">
        <x:v>0</x:v>
      </x:c>
      <x:c r="P482" s="2" t="str">
        <x:v>true</x:v>
      </x:c>
      <x:c r="Q482" s="2" t="str">
        <x:v>-66.163146038;-66.163146038</x:v>
      </x:c>
      <x:c r="R482" s="2" t="str">
        <x:v>0.41700000292621553</x:v>
      </x:c>
      <x:c r="S482" s="2" t="str">
        <x:v>46.37535602169021</x:v>
      </x:c>
    </x:row>
    <x:row r="483">
      <x:c r="A483" s="2" t="str">
        <x:v>DE-CMP-01</x:v>
      </x:c>
      <x:c r="B483" s="2" t="str">
        <x:v>CFG-C01</x:v>
      </x:c>
      <x:c r="C483" s="2" t="n">
        <x:v>46227.70238086805</x:v>
      </x:c>
      <x:c r="D483" s="2" t="str">
        <x:v>os_cfar</x:v>
      </x:c>
      <x:c r="E483" s="2" t="str">
        <x:v>weak_beside_strong</x:v>
      </x:c>
      <x:c r="F483" s="2" t="str">
        <x:v>241</x:v>
      </x:c>
      <x:c r="G483" s="2" t="str">
        <x:v>3124244</x:v>
      </x:c>
      <x:c r="H483" s="2" t="str">
        <x:v>2048000.0</x:v>
      </x:c>
      <x:c r="I483" s="2" t="str">
        <x:v>8192</x:v>
      </x:c>
      <x:c r="J483" s="2" t="str">
        <x:v>250.0</x:v>
      </x:c>
      <x:c r="K483" s="2" t="str">
        <x:v>2</x:v>
      </x:c>
      <x:c r="L483" s="2" t="str">
        <x:v>3</x:v>
      </x:c>
      <x:c r="M483" s="2" t="str">
        <x:v>2</x:v>
      </x:c>
      <x:c r="N483" s="2" t="str">
        <x:v>1</x:v>
      </x:c>
      <x:c r="O483" s="2" t="str">
        <x:v>0</x:v>
      </x:c>
      <x:c r="P483" s="2" t="str">
        <x:v>true</x:v>
      </x:c>
      <x:c r="Q483" s="2" t="str">
        <x:v>-66.163146038;-66.163146038</x:v>
      </x:c>
      <x:c r="R483" s="2" t="str">
        <x:v>14.145084001938812</x:v>
      </x:c>
      <x:c r="S483" s="2" t="str">
        <x:v>48.139475494716784</x:v>
      </x:c>
    </x:row>
    <x:row r="484">
      <x:c r="A484" s="2" t="str">
        <x:v>DE-CMP-01</x:v>
      </x:c>
      <x:c r="B484" s="2" t="str">
        <x:v>CFG-C01</x:v>
      </x:c>
      <x:c r="C484" s="2" t="n">
        <x:v>46227.70238086805</x:v>
      </x:c>
      <x:c r="D484" s="2" t="str">
        <x:v>os_cfar</x:v>
      </x:c>
      <x:c r="E484" s="2" t="str">
        <x:v>weak_beside_strong</x:v>
      </x:c>
      <x:c r="F484" s="2" t="str">
        <x:v>242</x:v>
      </x:c>
      <x:c r="G484" s="2" t="str">
        <x:v>3124245</x:v>
      </x:c>
      <x:c r="H484" s="2" t="str">
        <x:v>2048000.0</x:v>
      </x:c>
      <x:c r="I484" s="2" t="str">
        <x:v>8192</x:v>
      </x:c>
      <x:c r="J484" s="2" t="str">
        <x:v>250.0</x:v>
      </x:c>
      <x:c r="K484" s="2" t="str">
        <x:v>2</x:v>
      </x:c>
      <x:c r="L484" s="2" t="str">
        <x:v>3</x:v>
      </x:c>
      <x:c r="M484" s="2" t="str">
        <x:v>2</x:v>
      </x:c>
      <x:c r="N484" s="2" t="str">
        <x:v>1</x:v>
      </x:c>
      <x:c r="O484" s="2" t="str">
        <x:v>0</x:v>
      </x:c>
      <x:c r="P484" s="2" t="str">
        <x:v>true</x:v>
      </x:c>
      <x:c r="Q484" s="2" t="str">
        <x:v>117.188294817;-132.811705183</x:v>
      </x:c>
      <x:c r="R484" s="2" t="str">
        <x:v>14.244500009226613</x:v>
      </x:c>
      <x:c r="S484" s="2" t="str">
        <x:v>48.06215320460922</x:v>
      </x:c>
    </x:row>
    <x:row r="485">
      <x:c r="A485" s="2" t="str">
        <x:v>DE-CMP-01</x:v>
      </x:c>
      <x:c r="B485" s="2" t="str">
        <x:v>CFG-C01</x:v>
      </x:c>
      <x:c r="C485" s="2" t="n">
        <x:v>46227.70238086805</x:v>
      </x:c>
      <x:c r="D485" s="2" t="str">
        <x:v>adaptive</x:v>
      </x:c>
      <x:c r="E485" s="2" t="str">
        <x:v>weak_beside_strong</x:v>
      </x:c>
      <x:c r="F485" s="2" t="str">
        <x:v>242</x:v>
      </x:c>
      <x:c r="G485" s="2" t="str">
        <x:v>3124245</x:v>
      </x:c>
      <x:c r="H485" s="2" t="str">
        <x:v>2048000.0</x:v>
      </x:c>
      <x:c r="I485" s="2" t="str">
        <x:v>8192</x:v>
      </x:c>
      <x:c r="J485" s="2" t="str">
        <x:v>250.0</x:v>
      </x:c>
      <x:c r="K485" s="2" t="str">
        <x:v>2</x:v>
      </x:c>
      <x:c r="L485" s="2" t="str">
        <x:v>3</x:v>
      </x:c>
      <x:c r="M485" s="2" t="str">
        <x:v>2</x:v>
      </x:c>
      <x:c r="N485" s="2" t="str">
        <x:v>1</x:v>
      </x:c>
      <x:c r="O485" s="2" t="str">
        <x:v>0</x:v>
      </x:c>
      <x:c r="P485" s="2" t="str">
        <x:v>true</x:v>
      </x:c>
      <x:c r="Q485" s="2" t="str">
        <x:v>117.188294817;-132.811705183</x:v>
      </x:c>
      <x:c r="R485" s="2" t="str">
        <x:v>0.45720899652224034</x:v>
      </x:c>
      <x:c r="S485" s="2" t="str">
        <x:v>46.23616544640318</x:v>
      </x:c>
    </x:row>
    <x:row r="486">
      <x:c r="A486" s="2" t="str">
        <x:v>DE-CMP-01</x:v>
      </x:c>
      <x:c r="B486" s="2" t="str">
        <x:v>CFG-C01</x:v>
      </x:c>
      <x:c r="C486" s="2" t="n">
        <x:v>46227.70238086805</x:v>
      </x:c>
      <x:c r="D486" s="2" t="str">
        <x:v>adaptive</x:v>
      </x:c>
      <x:c r="E486" s="2" t="str">
        <x:v>weak_beside_strong</x:v>
      </x:c>
      <x:c r="F486" s="2" t="str">
        <x:v>243</x:v>
      </x:c>
      <x:c r="G486" s="2" t="str">
        <x:v>3124246</x:v>
      </x:c>
      <x:c r="H486" s="2" t="str">
        <x:v>2048000.0</x:v>
      </x:c>
      <x:c r="I486" s="2" t="str">
        <x:v>8192</x:v>
      </x:c>
      <x:c r="J486" s="2" t="str">
        <x:v>250.0</x:v>
      </x:c>
      <x:c r="K486" s="2" t="str">
        <x:v>2</x:v>
      </x:c>
      <x:c r="L486" s="2" t="str">
        <x:v>3</x:v>
      </x:c>
      <x:c r="M486" s="2" t="str">
        <x:v>2</x:v>
      </x:c>
      <x:c r="N486" s="2" t="str">
        <x:v>1</x:v>
      </x:c>
      <x:c r="O486" s="2" t="str">
        <x:v>0</x:v>
      </x:c>
      <x:c r="P486" s="2" t="str">
        <x:v>true</x:v>
      </x:c>
      <x:c r="Q486" s="2" t="str">
        <x:v>-26.296462522;-26.296462522</x:v>
      </x:c>
      <x:c r="R486" s="2" t="str">
        <x:v>0.42195800051558763</x:v>
      </x:c>
      <x:c r="S486" s="2" t="str">
        <x:v>46.375439288419464</x:v>
      </x:c>
    </x:row>
    <x:row r="487">
      <x:c r="A487" s="2" t="str">
        <x:v>DE-CMP-01</x:v>
      </x:c>
      <x:c r="B487" s="2" t="str">
        <x:v>CFG-C01</x:v>
      </x:c>
      <x:c r="C487" s="2" t="n">
        <x:v>46227.70238086805</x:v>
      </x:c>
      <x:c r="D487" s="2" t="str">
        <x:v>os_cfar</x:v>
      </x:c>
      <x:c r="E487" s="2" t="str">
        <x:v>weak_beside_strong</x:v>
      </x:c>
      <x:c r="F487" s="2" t="str">
        <x:v>243</x:v>
      </x:c>
      <x:c r="G487" s="2" t="str">
        <x:v>3124246</x:v>
      </x:c>
      <x:c r="H487" s="2" t="str">
        <x:v>2048000.0</x:v>
      </x:c>
      <x:c r="I487" s="2" t="str">
        <x:v>8192</x:v>
      </x:c>
      <x:c r="J487" s="2" t="str">
        <x:v>250.0</x:v>
      </x:c>
      <x:c r="K487" s="2" t="str">
        <x:v>2</x:v>
      </x:c>
      <x:c r="L487" s="2" t="str">
        <x:v>3</x:v>
      </x:c>
      <x:c r="M487" s="2" t="str">
        <x:v>2</x:v>
      </x:c>
      <x:c r="N487" s="2" t="str">
        <x:v>1</x:v>
      </x:c>
      <x:c r="O487" s="2" t="str">
        <x:v>0</x:v>
      </x:c>
      <x:c r="P487" s="2" t="str">
        <x:v>true</x:v>
      </x:c>
      <x:c r="Q487" s="2" t="str">
        <x:v>-26.296462522;-26.296462522</x:v>
      </x:c>
      <x:c r="R487" s="2" t="str">
        <x:v>14.355958002852276</x:v>
      </x:c>
      <x:c r="S487" s="2" t="str">
        <x:v>48.13438911923589</x:v>
      </x:c>
    </x:row>
    <x:row r="488">
      <x:c r="A488" s="2" t="str">
        <x:v>DE-CMP-01</x:v>
      </x:c>
      <x:c r="B488" s="2" t="str">
        <x:v>CFG-C01</x:v>
      </x:c>
      <x:c r="C488" s="2" t="n">
        <x:v>46227.70238086805</x:v>
      </x:c>
      <x:c r="D488" s="2" t="str">
        <x:v>os_cfar</x:v>
      </x:c>
      <x:c r="E488" s="2" t="str">
        <x:v>weak_beside_strong</x:v>
      </x:c>
      <x:c r="F488" s="2" t="str">
        <x:v>244</x:v>
      </x:c>
      <x:c r="G488" s="2" t="str">
        <x:v>3124247</x:v>
      </x:c>
      <x:c r="H488" s="2" t="str">
        <x:v>2048000.0</x:v>
      </x:c>
      <x:c r="I488" s="2" t="str">
        <x:v>8192</x:v>
      </x:c>
      <x:c r="J488" s="2" t="str">
        <x:v>250.0</x:v>
      </x:c>
      <x:c r="K488" s="2" t="str">
        <x:v>2</x:v>
      </x:c>
      <x:c r="L488" s="2" t="str">
        <x:v>3</x:v>
      </x:c>
      <x:c r="M488" s="2" t="str">
        <x:v>2</x:v>
      </x:c>
      <x:c r="N488" s="2" t="str">
        <x:v>1</x:v>
      </x:c>
      <x:c r="O488" s="2" t="str">
        <x:v>0</x:v>
      </x:c>
      <x:c r="P488" s="2" t="str">
        <x:v>true</x:v>
      </x:c>
      <x:c r="Q488" s="2" t="str">
        <x:v>-53.753867129;-53.753867129</x:v>
      </x:c>
      <x:c r="R488" s="2" t="str">
        <x:v>14.42162499006372</x:v>
      </x:c>
      <x:c r="S488" s="2" t="str">
        <x:v>48.05150835538545</x:v>
      </x:c>
    </x:row>
    <x:row r="489">
      <x:c r="A489" s="2" t="str">
        <x:v>DE-CMP-01</x:v>
      </x:c>
      <x:c r="B489" s="2" t="str">
        <x:v>CFG-C01</x:v>
      </x:c>
      <x:c r="C489" s="2" t="n">
        <x:v>46227.70238086805</x:v>
      </x:c>
      <x:c r="D489" s="2" t="str">
        <x:v>adaptive</x:v>
      </x:c>
      <x:c r="E489" s="2" t="str">
        <x:v>weak_beside_strong</x:v>
      </x:c>
      <x:c r="F489" s="2" t="str">
        <x:v>244</x:v>
      </x:c>
      <x:c r="G489" s="2" t="str">
        <x:v>3124247</x:v>
      </x:c>
      <x:c r="H489" s="2" t="str">
        <x:v>2048000.0</x:v>
      </x:c>
      <x:c r="I489" s="2" t="str">
        <x:v>8192</x:v>
      </x:c>
      <x:c r="J489" s="2" t="str">
        <x:v>250.0</x:v>
      </x:c>
      <x:c r="K489" s="2" t="str">
        <x:v>2</x:v>
      </x:c>
      <x:c r="L489" s="2" t="str">
        <x:v>3</x:v>
      </x:c>
      <x:c r="M489" s="2" t="str">
        <x:v>2</x:v>
      </x:c>
      <x:c r="N489" s="2" t="str">
        <x:v>1</x:v>
      </x:c>
      <x:c r="O489" s="2" t="str">
        <x:v>0</x:v>
      </x:c>
      <x:c r="P489" s="2" t="str">
        <x:v>true</x:v>
      </x:c>
      <x:c r="Q489" s="2" t="str">
        <x:v>-53.753867129;-53.753867129</x:v>
      </x:c>
      <x:c r="R489" s="2" t="str">
        <x:v>0.4445829981705174</x:v>
      </x:c>
      <x:c r="S489" s="2" t="str">
        <x:v>46.226960627340546</x:v>
      </x:c>
    </x:row>
    <x:row r="490">
      <x:c r="A490" s="2" t="str">
        <x:v>DE-CMP-01</x:v>
      </x:c>
      <x:c r="B490" s="2" t="str">
        <x:v>CFG-C01</x:v>
      </x:c>
      <x:c r="C490" s="2" t="n">
        <x:v>46227.70238086805</x:v>
      </x:c>
      <x:c r="D490" s="2" t="str">
        <x:v>adaptive</x:v>
      </x:c>
      <x:c r="E490" s="2" t="str">
        <x:v>weak_beside_strong</x:v>
      </x:c>
      <x:c r="F490" s="2" t="str">
        <x:v>245</x:v>
      </x:c>
      <x:c r="G490" s="2" t="str">
        <x:v>3124248</x:v>
      </x:c>
      <x:c r="H490" s="2" t="str">
        <x:v>2048000.0</x:v>
      </x:c>
      <x:c r="I490" s="2" t="str">
        <x:v>8192</x:v>
      </x:c>
      <x:c r="J490" s="2" t="str">
        <x:v>250.0</x:v>
      </x:c>
      <x:c r="K490" s="2" t="str">
        <x:v>2</x:v>
      </x:c>
      <x:c r="L490" s="2" t="str">
        <x:v>3</x:v>
      </x:c>
      <x:c r="M490" s="2" t="str">
        <x:v>2</x:v>
      </x:c>
      <x:c r="N490" s="2" t="str">
        <x:v>1</x:v>
      </x:c>
      <x:c r="O490" s="2" t="str">
        <x:v>0</x:v>
      </x:c>
      <x:c r="P490" s="2" t="str">
        <x:v>true</x:v>
      </x:c>
      <x:c r="Q490" s="2" t="str">
        <x:v>-84.403298915;-84.403298915</x:v>
      </x:c>
      <x:c r="R490" s="2" t="str">
        <x:v>0.414084002841264</x:v>
      </x:c>
      <x:c r="S490" s="2" t="str">
        <x:v>46.617818966366926</x:v>
      </x:c>
    </x:row>
    <x:row r="491">
      <x:c r="A491" s="2" t="str">
        <x:v>DE-CMP-01</x:v>
      </x:c>
      <x:c r="B491" s="2" t="str">
        <x:v>CFG-C01</x:v>
      </x:c>
      <x:c r="C491" s="2" t="n">
        <x:v>46227.70238086805</x:v>
      </x:c>
      <x:c r="D491" s="2" t="str">
        <x:v>os_cfar</x:v>
      </x:c>
      <x:c r="E491" s="2" t="str">
        <x:v>weak_beside_strong</x:v>
      </x:c>
      <x:c r="F491" s="2" t="str">
        <x:v>245</x:v>
      </x:c>
      <x:c r="G491" s="2" t="str">
        <x:v>3124248</x:v>
      </x:c>
      <x:c r="H491" s="2" t="str">
        <x:v>2048000.0</x:v>
      </x:c>
      <x:c r="I491" s="2" t="str">
        <x:v>8192</x:v>
      </x:c>
      <x:c r="J491" s="2" t="str">
        <x:v>250.0</x:v>
      </x:c>
      <x:c r="K491" s="2" t="str">
        <x:v>2</x:v>
      </x:c>
      <x:c r="L491" s="2" t="str">
        <x:v>3</x:v>
      </x:c>
      <x:c r="M491" s="2" t="str">
        <x:v>2</x:v>
      </x:c>
      <x:c r="N491" s="2" t="str">
        <x:v>1</x:v>
      </x:c>
      <x:c r="O491" s="2" t="str">
        <x:v>0</x:v>
      </x:c>
      <x:c r="P491" s="2" t="str">
        <x:v>true</x:v>
      </x:c>
      <x:c r="Q491" s="2" t="str">
        <x:v>-84.403298915;-84.403298915</x:v>
      </x:c>
      <x:c r="R491" s="2" t="str">
        <x:v>14.060000001336448</x:v>
      </x:c>
      <x:c r="S491" s="2" t="str">
        <x:v>48.320616831077714</x:v>
      </x:c>
    </x:row>
    <x:row r="492">
      <x:c r="A492" s="2" t="str">
        <x:v>DE-CMP-01</x:v>
      </x:c>
      <x:c r="B492" s="2" t="str">
        <x:v>CFG-C01</x:v>
      </x:c>
      <x:c r="C492" s="2" t="n">
        <x:v>46227.70238086805</x:v>
      </x:c>
      <x:c r="D492" s="2" t="str">
        <x:v>os_cfar</x:v>
      </x:c>
      <x:c r="E492" s="2" t="str">
        <x:v>weak_beside_strong</x:v>
      </x:c>
      <x:c r="F492" s="2" t="str">
        <x:v>246</x:v>
      </x:c>
      <x:c r="G492" s="2" t="str">
        <x:v>3124249</x:v>
      </x:c>
      <x:c r="H492" s="2" t="str">
        <x:v>2048000.0</x:v>
      </x:c>
      <x:c r="I492" s="2" t="str">
        <x:v>8192</x:v>
      </x:c>
      <x:c r="J492" s="2" t="str">
        <x:v>250.0</x:v>
      </x:c>
      <x:c r="K492" s="2" t="str">
        <x:v>2</x:v>
      </x:c>
      <x:c r="L492" s="2" t="str">
        <x:v>3</x:v>
      </x:c>
      <x:c r="M492" s="2" t="str">
        <x:v>2</x:v>
      </x:c>
      <x:c r="N492" s="2" t="str">
        <x:v>1</x:v>
      </x:c>
      <x:c r="O492" s="2" t="str">
        <x:v>0</x:v>
      </x:c>
      <x:c r="P492" s="2" t="str">
        <x:v>true</x:v>
      </x:c>
      <x:c r="Q492" s="2" t="str">
        <x:v>-89.657803977;-89.657803977</x:v>
      </x:c>
      <x:c r="R492" s="2" t="str">
        <x:v>13.805208000121638</x:v>
      </x:c>
      <x:c r="S492" s="2" t="str">
        <x:v>48.17907483322696</x:v>
      </x:c>
    </x:row>
    <x:row r="493">
      <x:c r="A493" s="2" t="str">
        <x:v>DE-CMP-01</x:v>
      </x:c>
      <x:c r="B493" s="2" t="str">
        <x:v>CFG-C01</x:v>
      </x:c>
      <x:c r="C493" s="2" t="n">
        <x:v>46227.70238086805</x:v>
      </x:c>
      <x:c r="D493" s="2" t="str">
        <x:v>adaptive</x:v>
      </x:c>
      <x:c r="E493" s="2" t="str">
        <x:v>weak_beside_strong</x:v>
      </x:c>
      <x:c r="F493" s="2" t="str">
        <x:v>246</x:v>
      </x:c>
      <x:c r="G493" s="2" t="str">
        <x:v>3124249</x:v>
      </x:c>
      <x:c r="H493" s="2" t="str">
        <x:v>2048000.0</x:v>
      </x:c>
      <x:c r="I493" s="2" t="str">
        <x:v>8192</x:v>
      </x:c>
      <x:c r="J493" s="2" t="str">
        <x:v>250.0</x:v>
      </x:c>
      <x:c r="K493" s="2" t="str">
        <x:v>2</x:v>
      </x:c>
      <x:c r="L493" s="2" t="str">
        <x:v>3</x:v>
      </x:c>
      <x:c r="M493" s="2" t="str">
        <x:v>2</x:v>
      </x:c>
      <x:c r="N493" s="2" t="str">
        <x:v>1</x:v>
      </x:c>
      <x:c r="O493" s="2" t="str">
        <x:v>0</x:v>
      </x:c>
      <x:c r="P493" s="2" t="str">
        <x:v>true</x:v>
      </x:c>
      <x:c r="Q493" s="2" t="str">
        <x:v>-89.657803977;-89.657803977</x:v>
      </x:c>
      <x:c r="R493" s="2" t="str">
        <x:v>0.42925000889226794</x:v>
      </x:c>
      <x:c r="S493" s="2" t="str">
        <x:v>46.54281573708971</x:v>
      </x:c>
    </x:row>
    <x:row r="494">
      <x:c r="A494" s="2" t="str">
        <x:v>DE-CMP-01</x:v>
      </x:c>
      <x:c r="B494" s="2" t="str">
        <x:v>CFG-C01</x:v>
      </x:c>
      <x:c r="C494" s="2" t="n">
        <x:v>46227.70238086805</x:v>
      </x:c>
      <x:c r="D494" s="2" t="str">
        <x:v>adaptive</x:v>
      </x:c>
      <x:c r="E494" s="2" t="str">
        <x:v>weak_beside_strong</x:v>
      </x:c>
      <x:c r="F494" s="2" t="str">
        <x:v>247</x:v>
      </x:c>
      <x:c r="G494" s="2" t="str">
        <x:v>3124250</x:v>
      </x:c>
      <x:c r="H494" s="2" t="str">
        <x:v>2048000.0</x:v>
      </x:c>
      <x:c r="I494" s="2" t="str">
        <x:v>8192</x:v>
      </x:c>
      <x:c r="J494" s="2" t="str">
        <x:v>250.0</x:v>
      </x:c>
      <x:c r="K494" s="2" t="str">
        <x:v>2</x:v>
      </x:c>
      <x:c r="L494" s="2" t="str">
        <x:v>3</x:v>
      </x:c>
      <x:c r="M494" s="2" t="str">
        <x:v>2</x:v>
      </x:c>
      <x:c r="N494" s="2" t="str">
        <x:v>1</x:v>
      </x:c>
      <x:c r="O494" s="2" t="str">
        <x:v>0</x:v>
      </x:c>
      <x:c r="P494" s="2" t="str">
        <x:v>true</x:v>
      </x:c>
      <x:c r="Q494" s="2" t="str">
        <x:v>-91.510264143;-91.510264143</x:v>
      </x:c>
      <x:c r="R494" s="2" t="str">
        <x:v>0.40354099473915994</x:v>
      </x:c>
      <x:c r="S494" s="2" t="str">
        <x:v>46.34398733034868</x:v>
      </x:c>
    </x:row>
    <x:row r="495">
      <x:c r="A495" s="2" t="str">
        <x:v>DE-CMP-01</x:v>
      </x:c>
      <x:c r="B495" s="2" t="str">
        <x:v>CFG-C01</x:v>
      </x:c>
      <x:c r="C495" s="2" t="n">
        <x:v>46227.70238086805</x:v>
      </x:c>
      <x:c r="D495" s="2" t="str">
        <x:v>os_cfar</x:v>
      </x:c>
      <x:c r="E495" s="2" t="str">
        <x:v>weak_beside_strong</x:v>
      </x:c>
      <x:c r="F495" s="2" t="str">
        <x:v>247</x:v>
      </x:c>
      <x:c r="G495" s="2" t="str">
        <x:v>3124250</x:v>
      </x:c>
      <x:c r="H495" s="2" t="str">
        <x:v>2048000.0</x:v>
      </x:c>
      <x:c r="I495" s="2" t="str">
        <x:v>8192</x:v>
      </x:c>
      <x:c r="J495" s="2" t="str">
        <x:v>250.0</x:v>
      </x:c>
      <x:c r="K495" s="2" t="str">
        <x:v>2</x:v>
      </x:c>
      <x:c r="L495" s="2" t="str">
        <x:v>3</x:v>
      </x:c>
      <x:c r="M495" s="2" t="str">
        <x:v>2</x:v>
      </x:c>
      <x:c r="N495" s="2" t="str">
        <x:v>1</x:v>
      </x:c>
      <x:c r="O495" s="2" t="str">
        <x:v>0</x:v>
      </x:c>
      <x:c r="P495" s="2" t="str">
        <x:v>true</x:v>
      </x:c>
      <x:c r="Q495" s="2" t="str">
        <x:v>-91.510264143;-91.510264143</x:v>
      </x:c>
      <x:c r="R495" s="2" t="str">
        <x:v>14.47320799343288</x:v>
      </x:c>
      <x:c r="S495" s="2" t="str">
        <x:v>48.31458440921463</x:v>
      </x:c>
    </x:row>
    <x:row r="496">
      <x:c r="A496" s="2" t="str">
        <x:v>DE-CMP-01</x:v>
      </x:c>
      <x:c r="B496" s="2" t="str">
        <x:v>CFG-C01</x:v>
      </x:c>
      <x:c r="C496" s="2" t="n">
        <x:v>46227.70238086805</x:v>
      </x:c>
      <x:c r="D496" s="2" t="str">
        <x:v>os_cfar</x:v>
      </x:c>
      <x:c r="E496" s="2" t="str">
        <x:v>weak_beside_strong</x:v>
      </x:c>
      <x:c r="F496" s="2" t="str">
        <x:v>248</x:v>
      </x:c>
      <x:c r="G496" s="2" t="str">
        <x:v>3124251</x:v>
      </x:c>
      <x:c r="H496" s="2" t="str">
        <x:v>2048000.0</x:v>
      </x:c>
      <x:c r="I496" s="2" t="str">
        <x:v>8192</x:v>
      </x:c>
      <x:c r="J496" s="2" t="str">
        <x:v>250.0</x:v>
      </x:c>
      <x:c r="K496" s="2" t="str">
        <x:v>2</x:v>
      </x:c>
      <x:c r="L496" s="2" t="str">
        <x:v>3</x:v>
      </x:c>
      <x:c r="M496" s="2" t="str">
        <x:v>2</x:v>
      </x:c>
      <x:c r="N496" s="2" t="str">
        <x:v>1</x:v>
      </x:c>
      <x:c r="O496" s="2" t="str">
        <x:v>0</x:v>
      </x:c>
      <x:c r="P496" s="2" t="str">
        <x:v>true</x:v>
      </x:c>
      <x:c r="Q496" s="2" t="str">
        <x:v>27.816740742;27.816740742</x:v>
      </x:c>
      <x:c r="R496" s="2" t="str">
        <x:v>13.5571249993518</x:v>
      </x:c>
      <x:c r="S496" s="2" t="str">
        <x:v>48.2195424675632</x:v>
      </x:c>
    </x:row>
    <x:row r="497">
      <x:c r="A497" s="2" t="str">
        <x:v>DE-CMP-01</x:v>
      </x:c>
      <x:c r="B497" s="2" t="str">
        <x:v>CFG-C01</x:v>
      </x:c>
      <x:c r="C497" s="2" t="n">
        <x:v>46227.70238086805</x:v>
      </x:c>
      <x:c r="D497" s="2" t="str">
        <x:v>adaptive</x:v>
      </x:c>
      <x:c r="E497" s="2" t="str">
        <x:v>weak_beside_strong</x:v>
      </x:c>
      <x:c r="F497" s="2" t="str">
        <x:v>248</x:v>
      </x:c>
      <x:c r="G497" s="2" t="str">
        <x:v>3124251</x:v>
      </x:c>
      <x:c r="H497" s="2" t="str">
        <x:v>2048000.0</x:v>
      </x:c>
      <x:c r="I497" s="2" t="str">
        <x:v>8192</x:v>
      </x:c>
      <x:c r="J497" s="2" t="str">
        <x:v>250.0</x:v>
      </x:c>
      <x:c r="K497" s="2" t="str">
        <x:v>2</x:v>
      </x:c>
      <x:c r="L497" s="2" t="str">
        <x:v>3</x:v>
      </x:c>
      <x:c r="M497" s="2" t="str">
        <x:v>2</x:v>
      </x:c>
      <x:c r="N497" s="2" t="str">
        <x:v>1</x:v>
      </x:c>
      <x:c r="O497" s="2" t="str">
        <x:v>0</x:v>
      </x:c>
      <x:c r="P497" s="2" t="str">
        <x:v>true</x:v>
      </x:c>
      <x:c r="Q497" s="2" t="str">
        <x:v>27.816740742;27.816740742</x:v>
      </x:c>
      <x:c r="R497" s="2" t="str">
        <x:v>0.5348330014385283</x:v>
      </x:c>
      <x:c r="S497" s="2" t="str">
        <x:v>46.61322087708402</x:v>
      </x:c>
    </x:row>
    <x:row r="498">
      <x:c r="A498" s="2" t="str">
        <x:v>DE-CMP-01</x:v>
      </x:c>
      <x:c r="B498" s="2" t="str">
        <x:v>CFG-C01</x:v>
      </x:c>
      <x:c r="C498" s="2" t="n">
        <x:v>46227.70238086805</x:v>
      </x:c>
      <x:c r="D498" s="2" t="str">
        <x:v>adaptive</x:v>
      </x:c>
      <x:c r="E498" s="2" t="str">
        <x:v>weak_beside_strong</x:v>
      </x:c>
      <x:c r="F498" s="2" t="str">
        <x:v>249</x:v>
      </x:c>
      <x:c r="G498" s="2" t="str">
        <x:v>3124252</x:v>
      </x:c>
      <x:c r="H498" s="2" t="str">
        <x:v>2048000.0</x:v>
      </x:c>
      <x:c r="I498" s="2" t="str">
        <x:v>8192</x:v>
      </x:c>
      <x:c r="J498" s="2" t="str">
        <x:v>250.0</x:v>
      </x:c>
      <x:c r="K498" s="2" t="str">
        <x:v>2</x:v>
      </x:c>
      <x:c r="L498" s="2" t="str">
        <x:v>3</x:v>
      </x:c>
      <x:c r="M498" s="2" t="str">
        <x:v>2</x:v>
      </x:c>
      <x:c r="N498" s="2" t="str">
        <x:v>1</x:v>
      </x:c>
      <x:c r="O498" s="2" t="str">
        <x:v>0</x:v>
      </x:c>
      <x:c r="P498" s="2" t="str">
        <x:v>true</x:v>
      </x:c>
      <x:c r="Q498" s="2" t="str">
        <x:v>-96.126549267;153.873450733</x:v>
      </x:c>
      <x:c r="R498" s="2" t="str">
        <x:v>0.5118340050103143</x:v>
      </x:c>
      <x:c r="S498" s="2" t="str">
        <x:v>46.403592534588725</x:v>
      </x:c>
    </x:row>
    <x:row r="499">
      <x:c r="A499" s="2" t="str">
        <x:v>DE-CMP-01</x:v>
      </x:c>
      <x:c r="B499" s="2" t="str">
        <x:v>CFG-C01</x:v>
      </x:c>
      <x:c r="C499" s="2" t="n">
        <x:v>46227.70238086805</x:v>
      </x:c>
      <x:c r="D499" s="2" t="str">
        <x:v>os_cfar</x:v>
      </x:c>
      <x:c r="E499" s="2" t="str">
        <x:v>weak_beside_strong</x:v>
      </x:c>
      <x:c r="F499" s="2" t="str">
        <x:v>249</x:v>
      </x:c>
      <x:c r="G499" s="2" t="str">
        <x:v>3124252</x:v>
      </x:c>
      <x:c r="H499" s="2" t="str">
        <x:v>2048000.0</x:v>
      </x:c>
      <x:c r="I499" s="2" t="str">
        <x:v>8192</x:v>
      </x:c>
      <x:c r="J499" s="2" t="str">
        <x:v>250.0</x:v>
      </x:c>
      <x:c r="K499" s="2" t="str">
        <x:v>2</x:v>
      </x:c>
      <x:c r="L499" s="2" t="str">
        <x:v>3</x:v>
      </x:c>
      <x:c r="M499" s="2" t="str">
        <x:v>2</x:v>
      </x:c>
      <x:c r="N499" s="2" t="str">
        <x:v>1</x:v>
      </x:c>
      <x:c r="O499" s="2" t="str">
        <x:v>0</x:v>
      </x:c>
      <x:c r="P499" s="2" t="str">
        <x:v>true</x:v>
      </x:c>
      <x:c r="Q499" s="2" t="str">
        <x:v>-96.126549267;153.873450733</x:v>
      </x:c>
      <x:c r="R499" s="2" t="str">
        <x:v>14.158083009533584</x:v>
      </x:c>
      <x:c r="S499" s="2" t="str">
        <x:v>48.27908276808284</x:v>
      </x:c>
    </x:row>
    <x:row r="500">
      <x:c r="A500" s="2" t="str">
        <x:v>DE-CMP-01</x:v>
      </x:c>
      <x:c r="B500" s="2" t="str">
        <x:v>CFG-C01</x:v>
      </x:c>
      <x:c r="C500" s="2" t="n">
        <x:v>46227.70238086805</x:v>
      </x:c>
      <x:c r="D500" s="2" t="str">
        <x:v>os_cfar</x:v>
      </x:c>
      <x:c r="E500" s="2" t="str">
        <x:v>weak_beside_strong</x:v>
      </x:c>
      <x:c r="F500" s="2" t="str">
        <x:v>250</x:v>
      </x:c>
      <x:c r="G500" s="2" t="str">
        <x:v>3124253</x:v>
      </x:c>
      <x:c r="H500" s="2" t="str">
        <x:v>2048000.0</x:v>
      </x:c>
      <x:c r="I500" s="2" t="str">
        <x:v>8192</x:v>
      </x:c>
      <x:c r="J500" s="2" t="str">
        <x:v>250.0</x:v>
      </x:c>
      <x:c r="K500" s="2" t="str">
        <x:v>2</x:v>
      </x:c>
      <x:c r="L500" s="2" t="str">
        <x:v>3</x:v>
      </x:c>
      <x:c r="M500" s="2" t="str">
        <x:v>2</x:v>
      </x:c>
      <x:c r="N500" s="2" t="str">
        <x:v>1</x:v>
      </x:c>
      <x:c r="O500" s="2" t="str">
        <x:v>0</x:v>
      </x:c>
      <x:c r="P500" s="2" t="str">
        <x:v>true</x:v>
      </x:c>
      <x:c r="Q500" s="2" t="str">
        <x:v>-64.784630207;-64.784630207</x:v>
      </x:c>
      <x:c r="R500" s="2" t="str">
        <x:v>14.156499993987381</x:v>
      </x:c>
      <x:c r="S500" s="2" t="str">
        <x:v>48.271552857076934</x:v>
      </x:c>
    </x:row>
    <x:row r="501">
      <x:c r="A501" s="2" t="str">
        <x:v>DE-CMP-01</x:v>
      </x:c>
      <x:c r="B501" s="2" t="str">
        <x:v>CFG-C01</x:v>
      </x:c>
      <x:c r="C501" s="2" t="n">
        <x:v>46227.70238086805</x:v>
      </x:c>
      <x:c r="D501" s="2" t="str">
        <x:v>adaptive</x:v>
      </x:c>
      <x:c r="E501" s="2" t="str">
        <x:v>weak_beside_strong</x:v>
      </x:c>
      <x:c r="F501" s="2" t="str">
        <x:v>250</x:v>
      </x:c>
      <x:c r="G501" s="2" t="str">
        <x:v>3124253</x:v>
      </x:c>
      <x:c r="H501" s="2" t="str">
        <x:v>2048000.0</x:v>
      </x:c>
      <x:c r="I501" s="2" t="str">
        <x:v>8192</x:v>
      </x:c>
      <x:c r="J501" s="2" t="str">
        <x:v>250.0</x:v>
      </x:c>
      <x:c r="K501" s="2" t="str">
        <x:v>2</x:v>
      </x:c>
      <x:c r="L501" s="2" t="str">
        <x:v>3</x:v>
      </x:c>
      <x:c r="M501" s="2" t="str">
        <x:v>2</x:v>
      </x:c>
      <x:c r="N501" s="2" t="str">
        <x:v>1</x:v>
      </x:c>
      <x:c r="O501" s="2" t="str">
        <x:v>0</x:v>
      </x:c>
      <x:c r="P501" s="2" t="str">
        <x:v>true</x:v>
      </x:c>
      <x:c r="Q501" s="2" t="str">
        <x:v>-64.784630207;-64.784630207</x:v>
      </x:c>
      <x:c r="R501" s="2" t="str">
        <x:v>0.45449999743141234</x:v>
      </x:c>
      <x:c r="S501" s="2" t="str">
        <x:v>46.35646268534744</x:v>
      </x:c>
    </x:row>
    <x:row r="502">
      <x:c r="A502" s="2" t="str">
        <x:v>DE-CMP-01</x:v>
      </x:c>
      <x:c r="B502" s="2" t="str">
        <x:v>CFG-C01</x:v>
      </x:c>
      <x:c r="C502" s="2" t="n">
        <x:v>46227.70238086805</x:v>
      </x:c>
      <x:c r="D502" s="2" t="str">
        <x:v>adaptive</x:v>
      </x:c>
      <x:c r="E502" s="2" t="str">
        <x:v>weak_beside_strong</x:v>
      </x:c>
      <x:c r="F502" s="2" t="str">
        <x:v>251</x:v>
      </x:c>
      <x:c r="G502" s="2" t="str">
        <x:v>3124254</x:v>
      </x:c>
      <x:c r="H502" s="2" t="str">
        <x:v>2048000.0</x:v>
      </x:c>
      <x:c r="I502" s="2" t="str">
        <x:v>8192</x:v>
      </x:c>
      <x:c r="J502" s="2" t="str">
        <x:v>250.0</x:v>
      </x:c>
      <x:c r="K502" s="2" t="str">
        <x:v>2</x:v>
      </x:c>
      <x:c r="L502" s="2" t="str">
        <x:v>3</x:v>
      </x:c>
      <x:c r="M502" s="2" t="str">
        <x:v>2</x:v>
      </x:c>
      <x:c r="N502" s="2" t="str">
        <x:v>1</x:v>
      </x:c>
      <x:c r="O502" s="2" t="str">
        <x:v>0</x:v>
      </x:c>
      <x:c r="P502" s="2" t="str">
        <x:v>true</x:v>
      </x:c>
      <x:c r="Q502" s="2" t="str">
        <x:v>-117.398053275;-117.398053275</x:v>
      </x:c>
      <x:c r="R502" s="2" t="str">
        <x:v>0.4312919918447733</x:v>
      </x:c>
      <x:c r="S502" s="2" t="str">
        <x:v>46.40314269644703</x:v>
      </x:c>
    </x:row>
    <x:row r="503">
      <x:c r="A503" s="2" t="str">
        <x:v>DE-CMP-01</x:v>
      </x:c>
      <x:c r="B503" s="2" t="str">
        <x:v>CFG-C01</x:v>
      </x:c>
      <x:c r="C503" s="2" t="n">
        <x:v>46227.70238086805</x:v>
      </x:c>
      <x:c r="D503" s="2" t="str">
        <x:v>os_cfar</x:v>
      </x:c>
      <x:c r="E503" s="2" t="str">
        <x:v>weak_beside_strong</x:v>
      </x:c>
      <x:c r="F503" s="2" t="str">
        <x:v>251</x:v>
      </x:c>
      <x:c r="G503" s="2" t="str">
        <x:v>3124254</x:v>
      </x:c>
      <x:c r="H503" s="2" t="str">
        <x:v>2048000.0</x:v>
      </x:c>
      <x:c r="I503" s="2" t="str">
        <x:v>8192</x:v>
      </x:c>
      <x:c r="J503" s="2" t="str">
        <x:v>250.0</x:v>
      </x:c>
      <x:c r="K503" s="2" t="str">
        <x:v>2</x:v>
      </x:c>
      <x:c r="L503" s="2" t="str">
        <x:v>3</x:v>
      </x:c>
      <x:c r="M503" s="2" t="str">
        <x:v>2</x:v>
      </x:c>
      <x:c r="N503" s="2" t="str">
        <x:v>1</x:v>
      </x:c>
      <x:c r="O503" s="2" t="str">
        <x:v>0</x:v>
      </x:c>
      <x:c r="P503" s="2" t="str">
        <x:v>true</x:v>
      </x:c>
      <x:c r="Q503" s="2" t="str">
        <x:v>-117.398053275;-117.398053275</x:v>
      </x:c>
      <x:c r="R503" s="2" t="str">
        <x:v>14.108040995779447</x:v>
      </x:c>
      <x:c r="S503" s="2" t="str">
        <x:v>48.281638549189395</x:v>
      </x:c>
    </x:row>
    <x:row r="504">
      <x:c r="A504" s="2" t="str">
        <x:v>DE-CMP-01</x:v>
      </x:c>
      <x:c r="B504" s="2" t="str">
        <x:v>CFG-C01</x:v>
      </x:c>
      <x:c r="C504" s="2" t="n">
        <x:v>46227.70238086805</x:v>
      </x:c>
      <x:c r="D504" s="2" t="str">
        <x:v>os_cfar</x:v>
      </x:c>
      <x:c r="E504" s="2" t="str">
        <x:v>weak_beside_strong</x:v>
      </x:c>
      <x:c r="F504" s="2" t="str">
        <x:v>252</x:v>
      </x:c>
      <x:c r="G504" s="2" t="str">
        <x:v>3124255</x:v>
      </x:c>
      <x:c r="H504" s="2" t="str">
        <x:v>2048000.0</x:v>
      </x:c>
      <x:c r="I504" s="2" t="str">
        <x:v>8192</x:v>
      </x:c>
      <x:c r="J504" s="2" t="str">
        <x:v>250.0</x:v>
      </x:c>
      <x:c r="K504" s="2" t="str">
        <x:v>2</x:v>
      </x:c>
      <x:c r="L504" s="2" t="str">
        <x:v>3</x:v>
      </x:c>
      <x:c r="M504" s="2" t="str">
        <x:v>2</x:v>
      </x:c>
      <x:c r="N504" s="2" t="str">
        <x:v>1</x:v>
      </x:c>
      <x:c r="O504" s="2" t="str">
        <x:v>0</x:v>
      </x:c>
      <x:c r="P504" s="2" t="str">
        <x:v>true</x:v>
      </x:c>
      <x:c r="Q504" s="2" t="str">
        <x:v>40.023813127;40.023813127</x:v>
      </x:c>
      <x:c r="R504" s="2" t="str">
        <x:v>13.792208002996631</x:v>
      </x:c>
      <x:c r="S504" s="2" t="str">
        <x:v>48.18740433795455</x:v>
      </x:c>
    </x:row>
    <x:row r="505">
      <x:c r="A505" s="2" t="str">
        <x:v>DE-CMP-01</x:v>
      </x:c>
      <x:c r="B505" s="2" t="str">
        <x:v>CFG-C01</x:v>
      </x:c>
      <x:c r="C505" s="2" t="n">
        <x:v>46227.70238086805</x:v>
      </x:c>
      <x:c r="D505" s="2" t="str">
        <x:v>adaptive</x:v>
      </x:c>
      <x:c r="E505" s="2" t="str">
        <x:v>weak_beside_strong</x:v>
      </x:c>
      <x:c r="F505" s="2" t="str">
        <x:v>252</x:v>
      </x:c>
      <x:c r="G505" s="2" t="str">
        <x:v>3124255</x:v>
      </x:c>
      <x:c r="H505" s="2" t="str">
        <x:v>2048000.0</x:v>
      </x:c>
      <x:c r="I505" s="2" t="str">
        <x:v>8192</x:v>
      </x:c>
      <x:c r="J505" s="2" t="str">
        <x:v>250.0</x:v>
      </x:c>
      <x:c r="K505" s="2" t="str">
        <x:v>2</x:v>
      </x:c>
      <x:c r="L505" s="2" t="str">
        <x:v>3</x:v>
      </x:c>
      <x:c r="M505" s="2" t="str">
        <x:v>2</x:v>
      </x:c>
      <x:c r="N505" s="2" t="str">
        <x:v>1</x:v>
      </x:c>
      <x:c r="O505" s="2" t="str">
        <x:v>0</x:v>
      </x:c>
      <x:c r="P505" s="2" t="str">
        <x:v>true</x:v>
      </x:c>
      <x:c r="Q505" s="2" t="str">
        <x:v>40.023813127;40.023813127</x:v>
      </x:c>
      <x:c r="R505" s="2" t="str">
        <x:v>0.4268329939804971</x:v>
      </x:c>
      <x:c r="S505" s="2" t="str">
        <x:v>46.34991209466523</x:v>
      </x:c>
    </x:row>
    <x:row r="506">
      <x:c r="A506" s="2" t="str">
        <x:v>DE-CMP-01</x:v>
      </x:c>
      <x:c r="B506" s="2" t="str">
        <x:v>CFG-C01</x:v>
      </x:c>
      <x:c r="C506" s="2" t="n">
        <x:v>46227.70238086805</x:v>
      </x:c>
      <x:c r="D506" s="2" t="str">
        <x:v>adaptive</x:v>
      </x:c>
      <x:c r="E506" s="2" t="str">
        <x:v>weak_beside_strong</x:v>
      </x:c>
      <x:c r="F506" s="2" t="str">
        <x:v>253</x:v>
      </x:c>
      <x:c r="G506" s="2" t="str">
        <x:v>3124256</x:v>
      </x:c>
      <x:c r="H506" s="2" t="str">
        <x:v>2048000.0</x:v>
      </x:c>
      <x:c r="I506" s="2" t="str">
        <x:v>8192</x:v>
      </x:c>
      <x:c r="J506" s="2" t="str">
        <x:v>250.0</x:v>
      </x:c>
      <x:c r="K506" s="2" t="str">
        <x:v>2</x:v>
      </x:c>
      <x:c r="L506" s="2" t="str">
        <x:v>3</x:v>
      </x:c>
      <x:c r="M506" s="2" t="str">
        <x:v>2</x:v>
      </x:c>
      <x:c r="N506" s="2" t="str">
        <x:v>1</x:v>
      </x:c>
      <x:c r="O506" s="2" t="str">
        <x:v>0</x:v>
      </x:c>
      <x:c r="P506" s="2" t="str">
        <x:v>true</x:v>
      </x:c>
      <x:c r="Q506" s="2" t="str">
        <x:v>-56.523341017;-56.523341017</x:v>
      </x:c>
      <x:c r="R506" s="2" t="str">
        <x:v>0.41812501149252057</x:v>
      </x:c>
      <x:c r="S506" s="2" t="str">
        <x:v>46.4893336148082</x:v>
      </x:c>
    </x:row>
    <x:row r="507">
      <x:c r="A507" s="2" t="str">
        <x:v>DE-CMP-01</x:v>
      </x:c>
      <x:c r="B507" s="2" t="str">
        <x:v>CFG-C01</x:v>
      </x:c>
      <x:c r="C507" s="2" t="n">
        <x:v>46227.70238086805</x:v>
      </x:c>
      <x:c r="D507" s="2" t="str">
        <x:v>os_cfar</x:v>
      </x:c>
      <x:c r="E507" s="2" t="str">
        <x:v>weak_beside_strong</x:v>
      </x:c>
      <x:c r="F507" s="2" t="str">
        <x:v>253</x:v>
      </x:c>
      <x:c r="G507" s="2" t="str">
        <x:v>3124256</x:v>
      </x:c>
      <x:c r="H507" s="2" t="str">
        <x:v>2048000.0</x:v>
      </x:c>
      <x:c r="I507" s="2" t="str">
        <x:v>8192</x:v>
      </x:c>
      <x:c r="J507" s="2" t="str">
        <x:v>250.0</x:v>
      </x:c>
      <x:c r="K507" s="2" t="str">
        <x:v>2</x:v>
      </x:c>
      <x:c r="L507" s="2" t="str">
        <x:v>3</x:v>
      </x:c>
      <x:c r="M507" s="2" t="str">
        <x:v>2</x:v>
      </x:c>
      <x:c r="N507" s="2" t="str">
        <x:v>1</x:v>
      </x:c>
      <x:c r="O507" s="2" t="str">
        <x:v>0</x:v>
      </x:c>
      <x:c r="P507" s="2" t="str">
        <x:v>true</x:v>
      </x:c>
      <x:c r="Q507" s="2" t="str">
        <x:v>-56.523341017;-56.523341017</x:v>
      </x:c>
      <x:c r="R507" s="2" t="str">
        <x:v>13.747791992500424</x:v>
      </x:c>
      <x:c r="S507" s="2" t="str">
        <x:v>48.16626508915632</x:v>
      </x:c>
    </x:row>
    <x:row r="508">
      <x:c r="A508" s="2" t="str">
        <x:v>DE-CMP-01</x:v>
      </x:c>
      <x:c r="B508" s="2" t="str">
        <x:v>CFG-C01</x:v>
      </x:c>
      <x:c r="C508" s="2" t="n">
        <x:v>46227.70238086805</x:v>
      </x:c>
      <x:c r="D508" s="2" t="str">
        <x:v>os_cfar</x:v>
      </x:c>
      <x:c r="E508" s="2" t="str">
        <x:v>weak_beside_strong</x:v>
      </x:c>
      <x:c r="F508" s="2" t="str">
        <x:v>254</x:v>
      </x:c>
      <x:c r="G508" s="2" t="str">
        <x:v>3124257</x:v>
      </x:c>
      <x:c r="H508" s="2" t="str">
        <x:v>2048000.0</x:v>
      </x:c>
      <x:c r="I508" s="2" t="str">
        <x:v>8192</x:v>
      </x:c>
      <x:c r="J508" s="2" t="str">
        <x:v>250.0</x:v>
      </x:c>
      <x:c r="K508" s="2" t="str">
        <x:v>2</x:v>
      </x:c>
      <x:c r="L508" s="2" t="str">
        <x:v>3</x:v>
      </x:c>
      <x:c r="M508" s="2" t="str">
        <x:v>2</x:v>
      </x:c>
      <x:c r="N508" s="2" t="str">
        <x:v>1</x:v>
      </x:c>
      <x:c r="O508" s="2" t="str">
        <x:v>0</x:v>
      </x:c>
      <x:c r="P508" s="2" t="str">
        <x:v>true</x:v>
      </x:c>
      <x:c r="Q508" s="2" t="str">
        <x:v>-48.844067108;-48.844067108</x:v>
      </x:c>
      <x:c r="R508" s="2" t="str">
        <x:v>13.712625004700385</x:v>
      </x:c>
      <x:c r="S508" s="2" t="str">
        <x:v>48.30522514356904</x:v>
      </x:c>
    </x:row>
    <x:row r="509">
      <x:c r="A509" s="2" t="str">
        <x:v>DE-CMP-01</x:v>
      </x:c>
      <x:c r="B509" s="2" t="str">
        <x:v>CFG-C01</x:v>
      </x:c>
      <x:c r="C509" s="2" t="n">
        <x:v>46227.70238086805</x:v>
      </x:c>
      <x:c r="D509" s="2" t="str">
        <x:v>adaptive</x:v>
      </x:c>
      <x:c r="E509" s="2" t="str">
        <x:v>weak_beside_strong</x:v>
      </x:c>
      <x:c r="F509" s="2" t="str">
        <x:v>254</x:v>
      </x:c>
      <x:c r="G509" s="2" t="str">
        <x:v>3124257</x:v>
      </x:c>
      <x:c r="H509" s="2" t="str">
        <x:v>2048000.0</x:v>
      </x:c>
      <x:c r="I509" s="2" t="str">
        <x:v>8192</x:v>
      </x:c>
      <x:c r="J509" s="2" t="str">
        <x:v>250.0</x:v>
      </x:c>
      <x:c r="K509" s="2" t="str">
        <x:v>2</x:v>
      </x:c>
      <x:c r="L509" s="2" t="str">
        <x:v>3</x:v>
      </x:c>
      <x:c r="M509" s="2" t="str">
        <x:v>2</x:v>
      </x:c>
      <x:c r="N509" s="2" t="str">
        <x:v>1</x:v>
      </x:c>
      <x:c r="O509" s="2" t="str">
        <x:v>0</x:v>
      </x:c>
      <x:c r="P509" s="2" t="str">
        <x:v>true</x:v>
      </x:c>
      <x:c r="Q509" s="2" t="str">
        <x:v>-48.844067108;-48.844067108</x:v>
      </x:c>
      <x:c r="R509" s="2" t="str">
        <x:v>0.4266250034561381</x:v>
      </x:c>
      <x:c r="S509" s="2" t="str">
        <x:v>46.5036670630866</x:v>
      </x:c>
    </x:row>
    <x:row r="510">
      <x:c r="A510" s="2" t="str">
        <x:v>DE-CMP-01</x:v>
      </x:c>
      <x:c r="B510" s="2" t="str">
        <x:v>CFG-C01</x:v>
      </x:c>
      <x:c r="C510" s="2" t="n">
        <x:v>46227.70238086805</x:v>
      </x:c>
      <x:c r="D510" s="2" t="str">
        <x:v>adaptive</x:v>
      </x:c>
      <x:c r="E510" s="2" t="str">
        <x:v>weak_beside_strong</x:v>
      </x:c>
      <x:c r="F510" s="2" t="str">
        <x:v>255</x:v>
      </x:c>
      <x:c r="G510" s="2" t="str">
        <x:v>3124258</x:v>
      </x:c>
      <x:c r="H510" s="2" t="str">
        <x:v>2048000.0</x:v>
      </x:c>
      <x:c r="I510" s="2" t="str">
        <x:v>8192</x:v>
      </x:c>
      <x:c r="J510" s="2" t="str">
        <x:v>250.0</x:v>
      </x:c>
      <x:c r="K510" s="2" t="str">
        <x:v>2</x:v>
      </x:c>
      <x:c r="L510" s="2" t="str">
        <x:v>3</x:v>
      </x:c>
      <x:c r="M510" s="2" t="str">
        <x:v>2</x:v>
      </x:c>
      <x:c r="N510" s="2" t="str">
        <x:v>1</x:v>
      </x:c>
      <x:c r="O510" s="2" t="str">
        <x:v>0</x:v>
      </x:c>
      <x:c r="P510" s="2" t="str">
        <x:v>true</x:v>
      </x:c>
      <x:c r="Q510" s="2" t="str">
        <x:v>-108.535092362;-108.535092362</x:v>
      </x:c>
      <x:c r="R510" s="2" t="str">
        <x:v>0.3796660021180287</x:v>
      </x:c>
      <x:c r="S510" s="2" t="str">
        <x:v>46.5173274469054</x:v>
      </x:c>
    </x:row>
    <x:row r="511">
      <x:c r="A511" s="2" t="str">
        <x:v>DE-CMP-01</x:v>
      </x:c>
      <x:c r="B511" s="2" t="str">
        <x:v>CFG-C01</x:v>
      </x:c>
      <x:c r="C511" s="2" t="n">
        <x:v>46227.70238086805</x:v>
      </x:c>
      <x:c r="D511" s="2" t="str">
        <x:v>os_cfar</x:v>
      </x:c>
      <x:c r="E511" s="2" t="str">
        <x:v>weak_beside_strong</x:v>
      </x:c>
      <x:c r="F511" s="2" t="str">
        <x:v>255</x:v>
      </x:c>
      <x:c r="G511" s="2" t="str">
        <x:v>3124258</x:v>
      </x:c>
      <x:c r="H511" s="2" t="str">
        <x:v>2048000.0</x:v>
      </x:c>
      <x:c r="I511" s="2" t="str">
        <x:v>8192</x:v>
      </x:c>
      <x:c r="J511" s="2" t="str">
        <x:v>250.0</x:v>
      </x:c>
      <x:c r="K511" s="2" t="str">
        <x:v>2</x:v>
      </x:c>
      <x:c r="L511" s="2" t="str">
        <x:v>3</x:v>
      </x:c>
      <x:c r="M511" s="2" t="str">
        <x:v>2</x:v>
      </x:c>
      <x:c r="N511" s="2" t="str">
        <x:v>1</x:v>
      </x:c>
      <x:c r="O511" s="2" t="str">
        <x:v>0</x:v>
      </x:c>
      <x:c r="P511" s="2" t="str">
        <x:v>true</x:v>
      </x:c>
      <x:c r="Q511" s="2" t="str">
        <x:v>-108.535092362;-108.535092362</x:v>
      </x:c>
      <x:c r="R511" s="2" t="str">
        <x:v>13.85429200308863</x:v>
      </x:c>
      <x:c r="S511" s="2" t="str">
        <x:v>48.19774125111411</x:v>
      </x:c>
    </x:row>
    <x:row r="512">
      <x:c r="A512" s="2" t="str">
        <x:v>DE-CMP-01</x:v>
      </x:c>
      <x:c r="B512" s="2" t="str">
        <x:v>CFG-C01</x:v>
      </x:c>
      <x:c r="C512" s="2" t="n">
        <x:v>46227.70238086805</x:v>
      </x:c>
      <x:c r="D512" s="2" t="str">
        <x:v>os_cfar</x:v>
      </x:c>
      <x:c r="E512" s="2" t="str">
        <x:v>weak_beside_strong</x:v>
      </x:c>
      <x:c r="F512" s="2" t="str">
        <x:v>256</x:v>
      </x:c>
      <x:c r="G512" s="2" t="str">
        <x:v>3124259</x:v>
      </x:c>
      <x:c r="H512" s="2" t="str">
        <x:v>2048000.0</x:v>
      </x:c>
      <x:c r="I512" s="2" t="str">
        <x:v>8192</x:v>
      </x:c>
      <x:c r="J512" s="2" t="str">
        <x:v>250.0</x:v>
      </x:c>
      <x:c r="K512" s="2" t="str">
        <x:v>2</x:v>
      </x:c>
      <x:c r="L512" s="2" t="str">
        <x:v>3</x:v>
      </x:c>
      <x:c r="M512" s="2" t="str">
        <x:v>1</x:v>
      </x:c>
      <x:c r="N512" s="2" t="str">
        <x:v>2</x:v>
      </x:c>
      <x:c r="O512" s="2" t="str">
        <x:v>1</x:v>
      </x:c>
      <x:c r="P512" s="2" t="str">
        <x:v>true</x:v>
      </x:c>
      <x:c r="Q512" s="2" t="str">
        <x:v>68.648973075</x:v>
      </x:c>
      <x:c r="R512" s="2" t="str">
        <x:v>13.941958008217625</x:v>
      </x:c>
      <x:c r="S512" s="2" t="str">
        <x:v>48.18973826720444</x:v>
      </x:c>
    </x:row>
    <x:row r="513">
      <x:c r="A513" s="2" t="str">
        <x:v>DE-CMP-01</x:v>
      </x:c>
      <x:c r="B513" s="2" t="str">
        <x:v>CFG-C01</x:v>
      </x:c>
      <x:c r="C513" s="2" t="n">
        <x:v>46227.70238086805</x:v>
      </x:c>
      <x:c r="D513" s="2" t="str">
        <x:v>adaptive</x:v>
      </x:c>
      <x:c r="E513" s="2" t="str">
        <x:v>weak_beside_strong</x:v>
      </x:c>
      <x:c r="F513" s="2" t="str">
        <x:v>256</x:v>
      </x:c>
      <x:c r="G513" s="2" t="str">
        <x:v>3124259</x:v>
      </x:c>
      <x:c r="H513" s="2" t="str">
        <x:v>2048000.0</x:v>
      </x:c>
      <x:c r="I513" s="2" t="str">
        <x:v>8192</x:v>
      </x:c>
      <x:c r="J513" s="2" t="str">
        <x:v>250.0</x:v>
      </x:c>
      <x:c r="K513" s="2" t="str">
        <x:v>2</x:v>
      </x:c>
      <x:c r="L513" s="2" t="str">
        <x:v>3</x:v>
      </x:c>
      <x:c r="M513" s="2" t="str">
        <x:v>1</x:v>
      </x:c>
      <x:c r="N513" s="2" t="str">
        <x:v>2</x:v>
      </x:c>
      <x:c r="O513" s="2" t="str">
        <x:v>1</x:v>
      </x:c>
      <x:c r="P513" s="2" t="str">
        <x:v>true</x:v>
      </x:c>
      <x:c r="Q513" s="2" t="str">
        <x:v>68.648973075</x:v>
      </x:c>
      <x:c r="R513" s="2" t="str">
        <x:v>0.41974999476224184</x:v>
      </x:c>
      <x:c r="S513" s="2" t="str">
        <x:v>46.44656062404347</x:v>
      </x:c>
    </x:row>
    <x:row r="514">
      <x:c r="A514" s="2" t="str">
        <x:v>DE-CMP-01</x:v>
      </x:c>
      <x:c r="B514" s="2" t="str">
        <x:v>CFG-C01</x:v>
      </x:c>
      <x:c r="C514" s="2" t="n">
        <x:v>46227.70238086805</x:v>
      </x:c>
      <x:c r="D514" s="2" t="str">
        <x:v>adaptive</x:v>
      </x:c>
      <x:c r="E514" s="2" t="str">
        <x:v>weak_beside_strong</x:v>
      </x:c>
      <x:c r="F514" s="2" t="str">
        <x:v>257</x:v>
      </x:c>
      <x:c r="G514" s="2" t="str">
        <x:v>3124260</x:v>
      </x:c>
      <x:c r="H514" s="2" t="str">
        <x:v>2048000.0</x:v>
      </x:c>
      <x:c r="I514" s="2" t="str">
        <x:v>8192</x:v>
      </x:c>
      <x:c r="J514" s="2" t="str">
        <x:v>250.0</x:v>
      </x:c>
      <x:c r="K514" s="2" t="str">
        <x:v>2</x:v>
      </x:c>
      <x:c r="L514" s="2" t="str">
        <x:v>3</x:v>
      </x:c>
      <x:c r="M514" s="2" t="str">
        <x:v>2</x:v>
      </x:c>
      <x:c r="N514" s="2" t="str">
        <x:v>1</x:v>
      </x:c>
      <x:c r="O514" s="2" t="str">
        <x:v>0</x:v>
      </x:c>
      <x:c r="P514" s="2" t="str">
        <x:v>true</x:v>
      </x:c>
      <x:c r="Q514" s="2" t="str">
        <x:v>-86.810236414;-86.810236414</x:v>
      </x:c>
      <x:c r="R514" s="2" t="str">
        <x:v>0.4182090051472187</x:v>
      </x:c>
      <x:c r="S514" s="2" t="str">
        <x:v>46.38924519106955</x:v>
      </x:c>
    </x:row>
    <x:row r="515">
      <x:c r="A515" s="2" t="str">
        <x:v>DE-CMP-01</x:v>
      </x:c>
      <x:c r="B515" s="2" t="str">
        <x:v>CFG-C01</x:v>
      </x:c>
      <x:c r="C515" s="2" t="n">
        <x:v>46227.70238086805</x:v>
      </x:c>
      <x:c r="D515" s="2" t="str">
        <x:v>os_cfar</x:v>
      </x:c>
      <x:c r="E515" s="2" t="str">
        <x:v>weak_beside_strong</x:v>
      </x:c>
      <x:c r="F515" s="2" t="str">
        <x:v>257</x:v>
      </x:c>
      <x:c r="G515" s="2" t="str">
        <x:v>3124260</x:v>
      </x:c>
      <x:c r="H515" s="2" t="str">
        <x:v>2048000.0</x:v>
      </x:c>
      <x:c r="I515" s="2" t="str">
        <x:v>8192</x:v>
      </x:c>
      <x:c r="J515" s="2" t="str">
        <x:v>250.0</x:v>
      </x:c>
      <x:c r="K515" s="2" t="str">
        <x:v>2</x:v>
      </x:c>
      <x:c r="L515" s="2" t="str">
        <x:v>3</x:v>
      </x:c>
      <x:c r="M515" s="2" t="str">
        <x:v>2</x:v>
      </x:c>
      <x:c r="N515" s="2" t="str">
        <x:v>1</x:v>
      </x:c>
      <x:c r="O515" s="2" t="str">
        <x:v>0</x:v>
      </x:c>
      <x:c r="P515" s="2" t="str">
        <x:v>true</x:v>
      </x:c>
      <x:c r="Q515" s="2" t="str">
        <x:v>-86.810236414;-86.810236414</x:v>
      </x:c>
      <x:c r="R515" s="2" t="str">
        <x:v>13.851540992618538</x:v>
      </x:c>
      <x:c r="S515" s="2" t="str">
        <x:v>48.199264375472204</x:v>
      </x:c>
    </x:row>
    <x:row r="516">
      <x:c r="A516" s="2" t="str">
        <x:v>DE-CMP-01</x:v>
      </x:c>
      <x:c r="B516" s="2" t="str">
        <x:v>CFG-C01</x:v>
      </x:c>
      <x:c r="C516" s="2" t="n">
        <x:v>46227.70238086805</x:v>
      </x:c>
      <x:c r="D516" s="2" t="str">
        <x:v>os_cfar</x:v>
      </x:c>
      <x:c r="E516" s="2" t="str">
        <x:v>weak_beside_strong</x:v>
      </x:c>
      <x:c r="F516" s="2" t="str">
        <x:v>258</x:v>
      </x:c>
      <x:c r="G516" s="2" t="str">
        <x:v>3124261</x:v>
      </x:c>
      <x:c r="H516" s="2" t="str">
        <x:v>2048000.0</x:v>
      </x:c>
      <x:c r="I516" s="2" t="str">
        <x:v>8192</x:v>
      </x:c>
      <x:c r="J516" s="2" t="str">
        <x:v>250.0</x:v>
      </x:c>
      <x:c r="K516" s="2" t="str">
        <x:v>2</x:v>
      </x:c>
      <x:c r="L516" s="2" t="str">
        <x:v>3</x:v>
      </x:c>
      <x:c r="M516" s="2" t="str">
        <x:v>2</x:v>
      </x:c>
      <x:c r="N516" s="2" t="str">
        <x:v>1</x:v>
      </x:c>
      <x:c r="O516" s="2" t="str">
        <x:v>0</x:v>
      </x:c>
      <x:c r="P516" s="2" t="str">
        <x:v>true</x:v>
      </x:c>
      <x:c r="Q516" s="2" t="str">
        <x:v>-3.193823051;-3.193823051</x:v>
      </x:c>
      <x:c r="R516" s="2" t="str">
        <x:v>13.914790994022042</x:v>
      </x:c>
      <x:c r="S516" s="2" t="str">
        <x:v>48.286764837920686</x:v>
      </x:c>
    </x:row>
    <x:row r="517">
      <x:c r="A517" s="2" t="str">
        <x:v>DE-CMP-01</x:v>
      </x:c>
      <x:c r="B517" s="2" t="str">
        <x:v>CFG-C01</x:v>
      </x:c>
      <x:c r="C517" s="2" t="n">
        <x:v>46227.70238086805</x:v>
      </x:c>
      <x:c r="D517" s="2" t="str">
        <x:v>adaptive</x:v>
      </x:c>
      <x:c r="E517" s="2" t="str">
        <x:v>weak_beside_strong</x:v>
      </x:c>
      <x:c r="F517" s="2" t="str">
        <x:v>258</x:v>
      </x:c>
      <x:c r="G517" s="2" t="str">
        <x:v>3124261</x:v>
      </x:c>
      <x:c r="H517" s="2" t="str">
        <x:v>2048000.0</x:v>
      </x:c>
      <x:c r="I517" s="2" t="str">
        <x:v>8192</x:v>
      </x:c>
      <x:c r="J517" s="2" t="str">
        <x:v>250.0</x:v>
      </x:c>
      <x:c r="K517" s="2" t="str">
        <x:v>2</x:v>
      </x:c>
      <x:c r="L517" s="2" t="str">
        <x:v>3</x:v>
      </x:c>
      <x:c r="M517" s="2" t="str">
        <x:v>2</x:v>
      </x:c>
      <x:c r="N517" s="2" t="str">
        <x:v>1</x:v>
      </x:c>
      <x:c r="O517" s="2" t="str">
        <x:v>0</x:v>
      </x:c>
      <x:c r="P517" s="2" t="str">
        <x:v>true</x:v>
      </x:c>
      <x:c r="Q517" s="2" t="str">
        <x:v>-3.193823051;-3.193823051</x:v>
      </x:c>
      <x:c r="R517" s="2" t="str">
        <x:v>0.43179100612178445</x:v>
      </x:c>
      <x:c r="S517" s="2" t="str">
        <x:v>46.58641784966849</x:v>
      </x:c>
    </x:row>
    <x:row r="518">
      <x:c r="A518" s="2" t="str">
        <x:v>DE-CMP-01</x:v>
      </x:c>
      <x:c r="B518" s="2" t="str">
        <x:v>CFG-C01</x:v>
      </x:c>
      <x:c r="C518" s="2" t="n">
        <x:v>46227.70238086805</x:v>
      </x:c>
      <x:c r="D518" s="2" t="str">
        <x:v>adaptive</x:v>
      </x:c>
      <x:c r="E518" s="2" t="str">
        <x:v>weak_beside_strong</x:v>
      </x:c>
      <x:c r="F518" s="2" t="str">
        <x:v>259</x:v>
      </x:c>
      <x:c r="G518" s="2" t="str">
        <x:v>3124262</x:v>
      </x:c>
      <x:c r="H518" s="2" t="str">
        <x:v>2048000.0</x:v>
      </x:c>
      <x:c r="I518" s="2" t="str">
        <x:v>8192</x:v>
      </x:c>
      <x:c r="J518" s="2" t="str">
        <x:v>250.0</x:v>
      </x:c>
      <x:c r="K518" s="2" t="str">
        <x:v>2</x:v>
      </x:c>
      <x:c r="L518" s="2" t="str">
        <x:v>3</x:v>
      </x:c>
      <x:c r="M518" s="2" t="str">
        <x:v>2</x:v>
      </x:c>
      <x:c r="N518" s="2" t="str">
        <x:v>1</x:v>
      </x:c>
      <x:c r="O518" s="2" t="str">
        <x:v>0</x:v>
      </x:c>
      <x:c r="P518" s="2" t="str">
        <x:v>true</x:v>
      </x:c>
      <x:c r="Q518" s="2" t="str">
        <x:v>-67.982065729;-67.982065729</x:v>
      </x:c>
      <x:c r="R518" s="2" t="str">
        <x:v>0.41575000796001405</x:v>
      </x:c>
      <x:c r="S518" s="2" t="str">
        <x:v>46.422082294288</x:v>
      </x:c>
    </x:row>
    <x:row r="519">
      <x:c r="A519" s="2" t="str">
        <x:v>DE-CMP-01</x:v>
      </x:c>
      <x:c r="B519" s="2" t="str">
        <x:v>CFG-C01</x:v>
      </x:c>
      <x:c r="C519" s="2" t="n">
        <x:v>46227.70238086805</x:v>
      </x:c>
      <x:c r="D519" s="2" t="str">
        <x:v>os_cfar</x:v>
      </x:c>
      <x:c r="E519" s="2" t="str">
        <x:v>weak_beside_strong</x:v>
      </x:c>
      <x:c r="F519" s="2" t="str">
        <x:v>259</x:v>
      </x:c>
      <x:c r="G519" s="2" t="str">
        <x:v>3124262</x:v>
      </x:c>
      <x:c r="H519" s="2" t="str">
        <x:v>2048000.0</x:v>
      </x:c>
      <x:c r="I519" s="2" t="str">
        <x:v>8192</x:v>
      </x:c>
      <x:c r="J519" s="2" t="str">
        <x:v>250.0</x:v>
      </x:c>
      <x:c r="K519" s="2" t="str">
        <x:v>2</x:v>
      </x:c>
      <x:c r="L519" s="2" t="str">
        <x:v>3</x:v>
      </x:c>
      <x:c r="M519" s="2" t="str">
        <x:v>2</x:v>
      </x:c>
      <x:c r="N519" s="2" t="str">
        <x:v>1</x:v>
      </x:c>
      <x:c r="O519" s="2" t="str">
        <x:v>0</x:v>
      </x:c>
      <x:c r="P519" s="2" t="str">
        <x:v>true</x:v>
      </x:c>
      <x:c r="Q519" s="2" t="str">
        <x:v>-67.982065729;-67.982065729</x:v>
      </x:c>
      <x:c r="R519" s="2" t="str">
        <x:v>13.863791988114826</x:v>
      </x:c>
      <x:c r="S519" s="2" t="str">
        <x:v>48.064974982578505</x:v>
      </x:c>
    </x:row>
    <x:row r="520">
      <x:c r="A520" s="2" t="str">
        <x:v>DE-CMP-01</x:v>
      </x:c>
      <x:c r="B520" s="2" t="str">
        <x:v>CFG-C01</x:v>
      </x:c>
      <x:c r="C520" s="2" t="n">
        <x:v>46227.70238086805</x:v>
      </x:c>
      <x:c r="D520" s="2" t="str">
        <x:v>os_cfar</x:v>
      </x:c>
      <x:c r="E520" s="2" t="str">
        <x:v>weak_beside_strong</x:v>
      </x:c>
      <x:c r="F520" s="2" t="str">
        <x:v>260</x:v>
      </x:c>
      <x:c r="G520" s="2" t="str">
        <x:v>3124263</x:v>
      </x:c>
      <x:c r="H520" s="2" t="str">
        <x:v>2048000.0</x:v>
      </x:c>
      <x:c r="I520" s="2" t="str">
        <x:v>8192</x:v>
      </x:c>
      <x:c r="J520" s="2" t="str">
        <x:v>250.0</x:v>
      </x:c>
      <x:c r="K520" s="2" t="str">
        <x:v>2</x:v>
      </x:c>
      <x:c r="L520" s="2" t="str">
        <x:v>3</x:v>
      </x:c>
      <x:c r="M520" s="2" t="str">
        <x:v>2</x:v>
      </x:c>
      <x:c r="N520" s="2" t="str">
        <x:v>1</x:v>
      </x:c>
      <x:c r="O520" s="2" t="str">
        <x:v>0</x:v>
      </x:c>
      <x:c r="P520" s="2" t="str">
        <x:v>true</x:v>
      </x:c>
      <x:c r="Q520" s="2" t="str">
        <x:v>120.666113553;120.666113553</x:v>
      </x:c>
      <x:c r="R520" s="2" t="str">
        <x:v>13.815083002555184</x:v>
      </x:c>
      <x:c r="S520" s="2" t="str">
        <x:v>48.2690424203166</x:v>
      </x:c>
    </x:row>
    <x:row r="521">
      <x:c r="A521" s="2" t="str">
        <x:v>DE-CMP-01</x:v>
      </x:c>
      <x:c r="B521" s="2" t="str">
        <x:v>CFG-C01</x:v>
      </x:c>
      <x:c r="C521" s="2" t="n">
        <x:v>46227.70238086805</x:v>
      </x:c>
      <x:c r="D521" s="2" t="str">
        <x:v>adaptive</x:v>
      </x:c>
      <x:c r="E521" s="2" t="str">
        <x:v>weak_beside_strong</x:v>
      </x:c>
      <x:c r="F521" s="2" t="str">
        <x:v>260</x:v>
      </x:c>
      <x:c r="G521" s="2" t="str">
        <x:v>3124263</x:v>
      </x:c>
      <x:c r="H521" s="2" t="str">
        <x:v>2048000.0</x:v>
      </x:c>
      <x:c r="I521" s="2" t="str">
        <x:v>8192</x:v>
      </x:c>
      <x:c r="J521" s="2" t="str">
        <x:v>250.0</x:v>
      </x:c>
      <x:c r="K521" s="2" t="str">
        <x:v>2</x:v>
      </x:c>
      <x:c r="L521" s="2" t="str">
        <x:v>3</x:v>
      </x:c>
      <x:c r="M521" s="2" t="str">
        <x:v>2</x:v>
      </x:c>
      <x:c r="N521" s="2" t="str">
        <x:v>1</x:v>
      </x:c>
      <x:c r="O521" s="2" t="str">
        <x:v>0</x:v>
      </x:c>
      <x:c r="P521" s="2" t="str">
        <x:v>true</x:v>
      </x:c>
      <x:c r="Q521" s="2" t="str">
        <x:v>120.666113553;120.666113553</x:v>
      </x:c>
      <x:c r="R521" s="2" t="str">
        <x:v>0.40412500675302</x:v>
      </x:c>
      <x:c r="S521" s="2" t="str">
        <x:v>46.27208076409457</x:v>
      </x:c>
    </x:row>
    <x:row r="522">
      <x:c r="A522" s="2" t="str">
        <x:v>DE-CMP-01</x:v>
      </x:c>
      <x:c r="B522" s="2" t="str">
        <x:v>CFG-C01</x:v>
      </x:c>
      <x:c r="C522" s="2" t="n">
        <x:v>46227.70238086805</x:v>
      </x:c>
      <x:c r="D522" s="2" t="str">
        <x:v>adaptive</x:v>
      </x:c>
      <x:c r="E522" s="2" t="str">
        <x:v>weak_beside_strong</x:v>
      </x:c>
      <x:c r="F522" s="2" t="str">
        <x:v>261</x:v>
      </x:c>
      <x:c r="G522" s="2" t="str">
        <x:v>3124264</x:v>
      </x:c>
      <x:c r="H522" s="2" t="str">
        <x:v>2048000.0</x:v>
      </x:c>
      <x:c r="I522" s="2" t="str">
        <x:v>8192</x:v>
      </x:c>
      <x:c r="J522" s="2" t="str">
        <x:v>250.0</x:v>
      </x:c>
      <x:c r="K522" s="2" t="str">
        <x:v>2</x:v>
      </x:c>
      <x:c r="L522" s="2" t="str">
        <x:v>3</x:v>
      </x:c>
      <x:c r="M522" s="2" t="str">
        <x:v>2</x:v>
      </x:c>
      <x:c r="N522" s="2" t="str">
        <x:v>1</x:v>
      </x:c>
      <x:c r="O522" s="2" t="str">
        <x:v>0</x:v>
      </x:c>
      <x:c r="P522" s="2" t="str">
        <x:v>true</x:v>
      </x:c>
      <x:c r="Q522" s="2" t="str">
        <x:v>-125.246156189;-125.246156189</x:v>
      </x:c>
      <x:c r="R522" s="2" t="str">
        <x:v>0.4257910040905699</x:v>
      </x:c>
      <x:c r="S522" s="2" t="str">
        <x:v>46.537509533143</x:v>
      </x:c>
    </x:row>
    <x:row r="523">
      <x:c r="A523" s="2" t="str">
        <x:v>DE-CMP-01</x:v>
      </x:c>
      <x:c r="B523" s="2" t="str">
        <x:v>CFG-C01</x:v>
      </x:c>
      <x:c r="C523" s="2" t="n">
        <x:v>46227.70238086805</x:v>
      </x:c>
      <x:c r="D523" s="2" t="str">
        <x:v>os_cfar</x:v>
      </x:c>
      <x:c r="E523" s="2" t="str">
        <x:v>weak_beside_strong</x:v>
      </x:c>
      <x:c r="F523" s="2" t="str">
        <x:v>261</x:v>
      </x:c>
      <x:c r="G523" s="2" t="str">
        <x:v>3124264</x:v>
      </x:c>
      <x:c r="H523" s="2" t="str">
        <x:v>2048000.0</x:v>
      </x:c>
      <x:c r="I523" s="2" t="str">
        <x:v>8192</x:v>
      </x:c>
      <x:c r="J523" s="2" t="str">
        <x:v>250.0</x:v>
      </x:c>
      <x:c r="K523" s="2" t="str">
        <x:v>2</x:v>
      </x:c>
      <x:c r="L523" s="2" t="str">
        <x:v>3</x:v>
      </x:c>
      <x:c r="M523" s="2" t="str">
        <x:v>2</x:v>
      </x:c>
      <x:c r="N523" s="2" t="str">
        <x:v>1</x:v>
      </x:c>
      <x:c r="O523" s="2" t="str">
        <x:v>0</x:v>
      </x:c>
      <x:c r="P523" s="2" t="str">
        <x:v>true</x:v>
      </x:c>
      <x:c r="Q523" s="2" t="str">
        <x:v>-125.246156189;-125.246156189</x:v>
      </x:c>
      <x:c r="R523" s="2" t="str">
        <x:v>14.160542006720789</x:v>
      </x:c>
      <x:c r="S523" s="2" t="str">
        <x:v>48.2564318955465</x:v>
      </x:c>
    </x:row>
    <x:row r="524">
      <x:c r="A524" s="2" t="str">
        <x:v>DE-CMP-01</x:v>
      </x:c>
      <x:c r="B524" s="2" t="str">
        <x:v>CFG-C01</x:v>
      </x:c>
      <x:c r="C524" s="2" t="n">
        <x:v>46227.70238086805</x:v>
      </x:c>
      <x:c r="D524" s="2" t="str">
        <x:v>os_cfar</x:v>
      </x:c>
      <x:c r="E524" s="2" t="str">
        <x:v>weak_beside_strong</x:v>
      </x:c>
      <x:c r="F524" s="2" t="str">
        <x:v>262</x:v>
      </x:c>
      <x:c r="G524" s="2" t="str">
        <x:v>3124265</x:v>
      </x:c>
      <x:c r="H524" s="2" t="str">
        <x:v>2048000.0</x:v>
      </x:c>
      <x:c r="I524" s="2" t="str">
        <x:v>8192</x:v>
      </x:c>
      <x:c r="J524" s="2" t="str">
        <x:v>250.0</x:v>
      </x:c>
      <x:c r="K524" s="2" t="str">
        <x:v>2</x:v>
      </x:c>
      <x:c r="L524" s="2" t="str">
        <x:v>3</x:v>
      </x:c>
      <x:c r="M524" s="2" t="str">
        <x:v>2</x:v>
      </x:c>
      <x:c r="N524" s="2" t="str">
        <x:v>1</x:v>
      </x:c>
      <x:c r="O524" s="2" t="str">
        <x:v>0</x:v>
      </x:c>
      <x:c r="P524" s="2" t="str">
        <x:v>true</x:v>
      </x:c>
      <x:c r="Q524" s="2" t="str">
        <x:v>17.676890848;17.676890848</x:v>
      </x:c>
      <x:c r="R524" s="2" t="str">
        <x:v>13.87229199463036</x:v>
      </x:c>
      <x:c r="S524" s="2" t="str">
        <x:v>48.21963164617725</x:v>
      </x:c>
    </x:row>
    <x:row r="525">
      <x:c r="A525" s="2" t="str">
        <x:v>DE-CMP-01</x:v>
      </x:c>
      <x:c r="B525" s="2" t="str">
        <x:v>CFG-C01</x:v>
      </x:c>
      <x:c r="C525" s="2" t="n">
        <x:v>46227.70238086805</x:v>
      </x:c>
      <x:c r="D525" s="2" t="str">
        <x:v>adaptive</x:v>
      </x:c>
      <x:c r="E525" s="2" t="str">
        <x:v>weak_beside_strong</x:v>
      </x:c>
      <x:c r="F525" s="2" t="str">
        <x:v>262</x:v>
      </x:c>
      <x:c r="G525" s="2" t="str">
        <x:v>3124265</x:v>
      </x:c>
      <x:c r="H525" s="2" t="str">
        <x:v>2048000.0</x:v>
      </x:c>
      <x:c r="I525" s="2" t="str">
        <x:v>8192</x:v>
      </x:c>
      <x:c r="J525" s="2" t="str">
        <x:v>250.0</x:v>
      </x:c>
      <x:c r="K525" s="2" t="str">
        <x:v>2</x:v>
      </x:c>
      <x:c r="L525" s="2" t="str">
        <x:v>3</x:v>
      </x:c>
      <x:c r="M525" s="2" t="str">
        <x:v>2</x:v>
      </x:c>
      <x:c r="N525" s="2" t="str">
        <x:v>1</x:v>
      </x:c>
      <x:c r="O525" s="2" t="str">
        <x:v>0</x:v>
      </x:c>
      <x:c r="P525" s="2" t="str">
        <x:v>true</x:v>
      </x:c>
      <x:c r="Q525" s="2" t="str">
        <x:v>17.676890848;17.676890848</x:v>
      </x:c>
      <x:c r="R525" s="2" t="str">
        <x:v>0.39783300599083304</x:v>
      </x:c>
      <x:c r="S525" s="2" t="str">
        <x:v>46.405029912203275</x:v>
      </x:c>
    </x:row>
    <x:row r="526">
      <x:c r="A526" s="2" t="str">
        <x:v>DE-CMP-01</x:v>
      </x:c>
      <x:c r="B526" s="2" t="str">
        <x:v>CFG-C01</x:v>
      </x:c>
      <x:c r="C526" s="2" t="n">
        <x:v>46227.70238086805</x:v>
      </x:c>
      <x:c r="D526" s="2" t="str">
        <x:v>adaptive</x:v>
      </x:c>
      <x:c r="E526" s="2" t="str">
        <x:v>weak_beside_strong</x:v>
      </x:c>
      <x:c r="F526" s="2" t="str">
        <x:v>263</x:v>
      </x:c>
      <x:c r="G526" s="2" t="str">
        <x:v>3124266</x:v>
      </x:c>
      <x:c r="H526" s="2" t="str">
        <x:v>2048000.0</x:v>
      </x:c>
      <x:c r="I526" s="2" t="str">
        <x:v>8192</x:v>
      </x:c>
      <x:c r="J526" s="2" t="str">
        <x:v>250.0</x:v>
      </x:c>
      <x:c r="K526" s="2" t="str">
        <x:v>2</x:v>
      </x:c>
      <x:c r="L526" s="2" t="str">
        <x:v>3</x:v>
      </x:c>
      <x:c r="M526" s="2" t="str">
        <x:v>2</x:v>
      </x:c>
      <x:c r="N526" s="2" t="str">
        <x:v>1</x:v>
      </x:c>
      <x:c r="O526" s="2" t="str">
        <x:v>0</x:v>
      </x:c>
      <x:c r="P526" s="2" t="str">
        <x:v>true</x:v>
      </x:c>
      <x:c r="Q526" s="2" t="str">
        <x:v>-32.184499722;-32.184499722</x:v>
      </x:c>
      <x:c r="R526" s="2" t="str">
        <x:v>0.3868329949909821</x:v>
      </x:c>
      <x:c r="S526" s="2" t="str">
        <x:v>46.400846097670694</x:v>
      </x:c>
    </x:row>
    <x:row r="527">
      <x:c r="A527" s="2" t="str">
        <x:v>DE-CMP-01</x:v>
      </x:c>
      <x:c r="B527" s="2" t="str">
        <x:v>CFG-C01</x:v>
      </x:c>
      <x:c r="C527" s="2" t="n">
        <x:v>46227.70238086805</x:v>
      </x:c>
      <x:c r="D527" s="2" t="str">
        <x:v>os_cfar</x:v>
      </x:c>
      <x:c r="E527" s="2" t="str">
        <x:v>weak_beside_strong</x:v>
      </x:c>
      <x:c r="F527" s="2" t="str">
        <x:v>263</x:v>
      </x:c>
      <x:c r="G527" s="2" t="str">
        <x:v>3124266</x:v>
      </x:c>
      <x:c r="H527" s="2" t="str">
        <x:v>2048000.0</x:v>
      </x:c>
      <x:c r="I527" s="2" t="str">
        <x:v>8192</x:v>
      </x:c>
      <x:c r="J527" s="2" t="str">
        <x:v>250.0</x:v>
      </x:c>
      <x:c r="K527" s="2" t="str">
        <x:v>2</x:v>
      </x:c>
      <x:c r="L527" s="2" t="str">
        <x:v>3</x:v>
      </x:c>
      <x:c r="M527" s="2" t="str">
        <x:v>2</x:v>
      </x:c>
      <x:c r="N527" s="2" t="str">
        <x:v>1</x:v>
      </x:c>
      <x:c r="O527" s="2" t="str">
        <x:v>0</x:v>
      </x:c>
      <x:c r="P527" s="2" t="str">
        <x:v>true</x:v>
      </x:c>
      <x:c r="Q527" s="2" t="str">
        <x:v>-32.184499722;-32.184499722</x:v>
      </x:c>
      <x:c r="R527" s="2" t="str">
        <x:v>14.019541995367035</x:v>
      </x:c>
      <x:c r="S527" s="2" t="str">
        <x:v>48.245377093516545</x:v>
      </x:c>
    </x:row>
    <x:row r="528">
      <x:c r="A528" s="2" t="str">
        <x:v>DE-CMP-01</x:v>
      </x:c>
      <x:c r="B528" s="2" t="str">
        <x:v>CFG-C01</x:v>
      </x:c>
      <x:c r="C528" s="2" t="n">
        <x:v>46227.70238086805</x:v>
      </x:c>
      <x:c r="D528" s="2" t="str">
        <x:v>os_cfar</x:v>
      </x:c>
      <x:c r="E528" s="2" t="str">
        <x:v>weak_beside_strong</x:v>
      </x:c>
      <x:c r="F528" s="2" t="str">
        <x:v>264</x:v>
      </x:c>
      <x:c r="G528" s="2" t="str">
        <x:v>3124267</x:v>
      </x:c>
      <x:c r="H528" s="2" t="str">
        <x:v>2048000.0</x:v>
      </x:c>
      <x:c r="I528" s="2" t="str">
        <x:v>8192</x:v>
      </x:c>
      <x:c r="J528" s="2" t="str">
        <x:v>250.0</x:v>
      </x:c>
      <x:c r="K528" s="2" t="str">
        <x:v>2</x:v>
      </x:c>
      <x:c r="L528" s="2" t="str">
        <x:v>3</x:v>
      </x:c>
      <x:c r="M528" s="2" t="str">
        <x:v>2</x:v>
      </x:c>
      <x:c r="N528" s="2" t="str">
        <x:v>1</x:v>
      </x:c>
      <x:c r="O528" s="2" t="str">
        <x:v>0</x:v>
      </x:c>
      <x:c r="P528" s="2" t="str">
        <x:v>true</x:v>
      </x:c>
      <x:c r="Q528" s="2" t="str">
        <x:v>14.566961354;14.566961354</x:v>
      </x:c>
      <x:c r="R528" s="2" t="str">
        <x:v>13.449167003273033</x:v>
      </x:c>
      <x:c r="S528" s="2" t="str">
        <x:v>48.351883841785664</x:v>
      </x:c>
    </x:row>
    <x:row r="529">
      <x:c r="A529" s="2" t="str">
        <x:v>DE-CMP-01</x:v>
      </x:c>
      <x:c r="B529" s="2" t="str">
        <x:v>CFG-C01</x:v>
      </x:c>
      <x:c r="C529" s="2" t="n">
        <x:v>46227.70238086805</x:v>
      </x:c>
      <x:c r="D529" s="2" t="str">
        <x:v>adaptive</x:v>
      </x:c>
      <x:c r="E529" s="2" t="str">
        <x:v>weak_beside_strong</x:v>
      </x:c>
      <x:c r="F529" s="2" t="str">
        <x:v>264</x:v>
      </x:c>
      <x:c r="G529" s="2" t="str">
        <x:v>3124267</x:v>
      </x:c>
      <x:c r="H529" s="2" t="str">
        <x:v>2048000.0</x:v>
      </x:c>
      <x:c r="I529" s="2" t="str">
        <x:v>8192</x:v>
      </x:c>
      <x:c r="J529" s="2" t="str">
        <x:v>250.0</x:v>
      </x:c>
      <x:c r="K529" s="2" t="str">
        <x:v>2</x:v>
      </x:c>
      <x:c r="L529" s="2" t="str">
        <x:v>3</x:v>
      </x:c>
      <x:c r="M529" s="2" t="str">
        <x:v>2</x:v>
      </x:c>
      <x:c r="N529" s="2" t="str">
        <x:v>1</x:v>
      </x:c>
      <x:c r="O529" s="2" t="str">
        <x:v>0</x:v>
      </x:c>
      <x:c r="P529" s="2" t="str">
        <x:v>true</x:v>
      </x:c>
      <x:c r="Q529" s="2" t="str">
        <x:v>14.566961354;14.566961354</x:v>
      </x:c>
      <x:c r="R529" s="2" t="str">
        <x:v>0.4355000128271058</x:v>
      </x:c>
      <x:c r="S529" s="2" t="str">
        <x:v>46.43773718077555</x:v>
      </x:c>
    </x:row>
    <x:row r="530">
      <x:c r="A530" s="2" t="str">
        <x:v>DE-CMP-01</x:v>
      </x:c>
      <x:c r="B530" s="2" t="str">
        <x:v>CFG-C01</x:v>
      </x:c>
      <x:c r="C530" s="2" t="n">
        <x:v>46227.70238086805</x:v>
      </x:c>
      <x:c r="D530" s="2" t="str">
        <x:v>adaptive</x:v>
      </x:c>
      <x:c r="E530" s="2" t="str">
        <x:v>weak_beside_strong</x:v>
      </x:c>
      <x:c r="F530" s="2" t="str">
        <x:v>265</x:v>
      </x:c>
      <x:c r="G530" s="2" t="str">
        <x:v>3124268</x:v>
      </x:c>
      <x:c r="H530" s="2" t="str">
        <x:v>2048000.0</x:v>
      </x:c>
      <x:c r="I530" s="2" t="str">
        <x:v>8192</x:v>
      </x:c>
      <x:c r="J530" s="2" t="str">
        <x:v>250.0</x:v>
      </x:c>
      <x:c r="K530" s="2" t="str">
        <x:v>2</x:v>
      </x:c>
      <x:c r="L530" s="2" t="str">
        <x:v>3</x:v>
      </x:c>
      <x:c r="M530" s="2" t="str">
        <x:v>2</x:v>
      </x:c>
      <x:c r="N530" s="2" t="str">
        <x:v>1</x:v>
      </x:c>
      <x:c r="O530" s="2" t="str">
        <x:v>0</x:v>
      </x:c>
      <x:c r="P530" s="2" t="str">
        <x:v>true</x:v>
      </x:c>
      <x:c r="Q530" s="2" t="str">
        <x:v>-77.736355439;-77.736355439</x:v>
      </x:c>
      <x:c r="R530" s="2" t="str">
        <x:v>0.40800000715535134</x:v>
      </x:c>
      <x:c r="S530" s="2" t="str">
        <x:v>46.52270357657009</x:v>
      </x:c>
    </x:row>
    <x:row r="531">
      <x:c r="A531" s="2" t="str">
        <x:v>DE-CMP-01</x:v>
      </x:c>
      <x:c r="B531" s="2" t="str">
        <x:v>CFG-C01</x:v>
      </x:c>
      <x:c r="C531" s="2" t="n">
        <x:v>46227.70238086805</x:v>
      </x:c>
      <x:c r="D531" s="2" t="str">
        <x:v>os_cfar</x:v>
      </x:c>
      <x:c r="E531" s="2" t="str">
        <x:v>weak_beside_strong</x:v>
      </x:c>
      <x:c r="F531" s="2" t="str">
        <x:v>265</x:v>
      </x:c>
      <x:c r="G531" s="2" t="str">
        <x:v>3124268</x:v>
      </x:c>
      <x:c r="H531" s="2" t="str">
        <x:v>2048000.0</x:v>
      </x:c>
      <x:c r="I531" s="2" t="str">
        <x:v>8192</x:v>
      </x:c>
      <x:c r="J531" s="2" t="str">
        <x:v>250.0</x:v>
      </x:c>
      <x:c r="K531" s="2" t="str">
        <x:v>2</x:v>
      </x:c>
      <x:c r="L531" s="2" t="str">
        <x:v>3</x:v>
      </x:c>
      <x:c r="M531" s="2" t="str">
        <x:v>2</x:v>
      </x:c>
      <x:c r="N531" s="2" t="str">
        <x:v>1</x:v>
      </x:c>
      <x:c r="O531" s="2" t="str">
        <x:v>0</x:v>
      </x:c>
      <x:c r="P531" s="2" t="str">
        <x:v>true</x:v>
      </x:c>
      <x:c r="Q531" s="2" t="str">
        <x:v>-77.736355439;-77.736355439</x:v>
      </x:c>
      <x:c r="R531" s="2" t="str">
        <x:v>13.748666999163106</x:v>
      </x:c>
      <x:c r="S531" s="2" t="str">
        <x:v>48.110699492779</x:v>
      </x:c>
    </x:row>
    <x:row r="532">
      <x:c r="A532" s="2" t="str">
        <x:v>DE-CMP-01</x:v>
      </x:c>
      <x:c r="B532" s="2" t="str">
        <x:v>CFG-C01</x:v>
      </x:c>
      <x:c r="C532" s="2" t="n">
        <x:v>46227.70238086805</x:v>
      </x:c>
      <x:c r="D532" s="2" t="str">
        <x:v>os_cfar</x:v>
      </x:c>
      <x:c r="E532" s="2" t="str">
        <x:v>weak_beside_strong</x:v>
      </x:c>
      <x:c r="F532" s="2" t="str">
        <x:v>266</x:v>
      </x:c>
      <x:c r="G532" s="2" t="str">
        <x:v>3124269</x:v>
      </x:c>
      <x:c r="H532" s="2" t="str">
        <x:v>2048000.0</x:v>
      </x:c>
      <x:c r="I532" s="2" t="str">
        <x:v>8192</x:v>
      </x:c>
      <x:c r="J532" s="2" t="str">
        <x:v>250.0</x:v>
      </x:c>
      <x:c r="K532" s="2" t="str">
        <x:v>2</x:v>
      </x:c>
      <x:c r="L532" s="2" t="str">
        <x:v>3</x:v>
      </x:c>
      <x:c r="M532" s="2" t="str">
        <x:v>2</x:v>
      </x:c>
      <x:c r="N532" s="2" t="str">
        <x:v>1</x:v>
      </x:c>
      <x:c r="O532" s="2" t="str">
        <x:v>0</x:v>
      </x:c>
      <x:c r="P532" s="2" t="str">
        <x:v>true</x:v>
      </x:c>
      <x:c r="Q532" s="2" t="str">
        <x:v>-104.360289346;145.639710654</x:v>
      </x:c>
      <x:c r="R532" s="2" t="str">
        <x:v>14.01804099441506</x:v>
      </x:c>
      <x:c r="S532" s="2" t="str">
        <x:v>48.07824176695295</x:v>
      </x:c>
    </x:row>
    <x:row r="533">
      <x:c r="A533" s="2" t="str">
        <x:v>DE-CMP-01</x:v>
      </x:c>
      <x:c r="B533" s="2" t="str">
        <x:v>CFG-C01</x:v>
      </x:c>
      <x:c r="C533" s="2" t="n">
        <x:v>46227.70238086805</x:v>
      </x:c>
      <x:c r="D533" s="2" t="str">
        <x:v>adaptive</x:v>
      </x:c>
      <x:c r="E533" s="2" t="str">
        <x:v>weak_beside_strong</x:v>
      </x:c>
      <x:c r="F533" s="2" t="str">
        <x:v>266</x:v>
      </x:c>
      <x:c r="G533" s="2" t="str">
        <x:v>3124269</x:v>
      </x:c>
      <x:c r="H533" s="2" t="str">
        <x:v>2048000.0</x:v>
      </x:c>
      <x:c r="I533" s="2" t="str">
        <x:v>8192</x:v>
      </x:c>
      <x:c r="J533" s="2" t="str">
        <x:v>250.0</x:v>
      </x:c>
      <x:c r="K533" s="2" t="str">
        <x:v>2</x:v>
      </x:c>
      <x:c r="L533" s="2" t="str">
        <x:v>3</x:v>
      </x:c>
      <x:c r="M533" s="2" t="str">
        <x:v>2</x:v>
      </x:c>
      <x:c r="N533" s="2" t="str">
        <x:v>1</x:v>
      </x:c>
      <x:c r="O533" s="2" t="str">
        <x:v>0</x:v>
      </x:c>
      <x:c r="P533" s="2" t="str">
        <x:v>true</x:v>
      </x:c>
      <x:c r="Q533" s="2" t="str">
        <x:v>-104.360289346;145.639710654</x:v>
      </x:c>
      <x:c r="R533" s="2" t="str">
        <x:v>0.44229099876247346</x:v>
      </x:c>
      <x:c r="S533" s="2" t="str">
        <x:v>46.27738699358853</x:v>
      </x:c>
    </x:row>
    <x:row r="534">
      <x:c r="A534" s="2" t="str">
        <x:v>DE-CMP-01</x:v>
      </x:c>
      <x:c r="B534" s="2" t="str">
        <x:v>CFG-C01</x:v>
      </x:c>
      <x:c r="C534" s="2" t="n">
        <x:v>46227.70238086805</x:v>
      </x:c>
      <x:c r="D534" s="2" t="str">
        <x:v>adaptive</x:v>
      </x:c>
      <x:c r="E534" s="2" t="str">
        <x:v>weak_beside_strong</x:v>
      </x:c>
      <x:c r="F534" s="2" t="str">
        <x:v>267</x:v>
      </x:c>
      <x:c r="G534" s="2" t="str">
        <x:v>3124270</x:v>
      </x:c>
      <x:c r="H534" s="2" t="str">
        <x:v>2048000.0</x:v>
      </x:c>
      <x:c r="I534" s="2" t="str">
        <x:v>8192</x:v>
      </x:c>
      <x:c r="J534" s="2" t="str">
        <x:v>250.0</x:v>
      </x:c>
      <x:c r="K534" s="2" t="str">
        <x:v>2</x:v>
      </x:c>
      <x:c r="L534" s="2" t="str">
        <x:v>3</x:v>
      </x:c>
      <x:c r="M534" s="2" t="str">
        <x:v>2</x:v>
      </x:c>
      <x:c r="N534" s="2" t="str">
        <x:v>1</x:v>
      </x:c>
      <x:c r="O534" s="2" t="str">
        <x:v>0</x:v>
      </x:c>
      <x:c r="P534" s="2" t="str">
        <x:v>true</x:v>
      </x:c>
      <x:c r="Q534" s="2" t="str">
        <x:v>109.854143867;109.854143867</x:v>
      </x:c>
      <x:c r="R534" s="2" t="str">
        <x:v>0.43087500671390444</x:v>
      </x:c>
      <x:c r="S534" s="2" t="str">
        <x:v>46.27428024265124</x:v>
      </x:c>
    </x:row>
    <x:row r="535">
      <x:c r="A535" s="2" t="str">
        <x:v>DE-CMP-01</x:v>
      </x:c>
      <x:c r="B535" s="2" t="str">
        <x:v>CFG-C01</x:v>
      </x:c>
      <x:c r="C535" s="2" t="n">
        <x:v>46227.70238086805</x:v>
      </x:c>
      <x:c r="D535" s="2" t="str">
        <x:v>os_cfar</x:v>
      </x:c>
      <x:c r="E535" s="2" t="str">
        <x:v>weak_beside_strong</x:v>
      </x:c>
      <x:c r="F535" s="2" t="str">
        <x:v>267</x:v>
      </x:c>
      <x:c r="G535" s="2" t="str">
        <x:v>3124270</x:v>
      </x:c>
      <x:c r="H535" s="2" t="str">
        <x:v>2048000.0</x:v>
      </x:c>
      <x:c r="I535" s="2" t="str">
        <x:v>8192</x:v>
      </x:c>
      <x:c r="J535" s="2" t="str">
        <x:v>250.0</x:v>
      </x:c>
      <x:c r="K535" s="2" t="str">
        <x:v>2</x:v>
      </x:c>
      <x:c r="L535" s="2" t="str">
        <x:v>3</x:v>
      </x:c>
      <x:c r="M535" s="2" t="str">
        <x:v>2</x:v>
      </x:c>
      <x:c r="N535" s="2" t="str">
        <x:v>1</x:v>
      </x:c>
      <x:c r="O535" s="2" t="str">
        <x:v>0</x:v>
      </x:c>
      <x:c r="P535" s="2" t="str">
        <x:v>true</x:v>
      </x:c>
      <x:c r="Q535" s="2" t="str">
        <x:v>109.854143867;109.854143867</x:v>
      </x:c>
      <x:c r="R535" s="2" t="str">
        <x:v>13.957957999082282</x:v>
      </x:c>
      <x:c r="S535" s="2" t="str">
        <x:v>48.14126013988673</x:v>
      </x:c>
    </x:row>
    <x:row r="536">
      <x:c r="A536" s="2" t="str">
        <x:v>DE-CMP-01</x:v>
      </x:c>
      <x:c r="B536" s="2" t="str">
        <x:v>CFG-C01</x:v>
      </x:c>
      <x:c r="C536" s="2" t="n">
        <x:v>46227.70238086805</x:v>
      </x:c>
      <x:c r="D536" s="2" t="str">
        <x:v>os_cfar</x:v>
      </x:c>
      <x:c r="E536" s="2" t="str">
        <x:v>weak_beside_strong</x:v>
      </x:c>
      <x:c r="F536" s="2" t="str">
        <x:v>268</x:v>
      </x:c>
      <x:c r="G536" s="2" t="str">
        <x:v>3124271</x:v>
      </x:c>
      <x:c r="H536" s="2" t="str">
        <x:v>2048000.0</x:v>
      </x:c>
      <x:c r="I536" s="2" t="str">
        <x:v>8192</x:v>
      </x:c>
      <x:c r="J536" s="2" t="str">
        <x:v>250.0</x:v>
      </x:c>
      <x:c r="K536" s="2" t="str">
        <x:v>2</x:v>
      </x:c>
      <x:c r="L536" s="2" t="str">
        <x:v>3</x:v>
      </x:c>
      <x:c r="M536" s="2" t="str">
        <x:v>2</x:v>
      </x:c>
      <x:c r="N536" s="2" t="str">
        <x:v>1</x:v>
      </x:c>
      <x:c r="O536" s="2" t="str">
        <x:v>0</x:v>
      </x:c>
      <x:c r="P536" s="2" t="str">
        <x:v>true</x:v>
      </x:c>
      <x:c r="Q536" s="2" t="str">
        <x:v>-107.799556356;-107.799556356</x:v>
      </x:c>
      <x:c r="R536" s="2" t="str">
        <x:v>13.707958001759835</x:v>
      </x:c>
      <x:c r="S536" s="2" t="str">
        <x:v>48.029436056497076</x:v>
      </x:c>
    </x:row>
    <x:row r="537">
      <x:c r="A537" s="2" t="str">
        <x:v>DE-CMP-01</x:v>
      </x:c>
      <x:c r="B537" s="2" t="str">
        <x:v>CFG-C01</x:v>
      </x:c>
      <x:c r="C537" s="2" t="n">
        <x:v>46227.70238086805</x:v>
      </x:c>
      <x:c r="D537" s="2" t="str">
        <x:v>adaptive</x:v>
      </x:c>
      <x:c r="E537" s="2" t="str">
        <x:v>weak_beside_strong</x:v>
      </x:c>
      <x:c r="F537" s="2" t="str">
        <x:v>268</x:v>
      </x:c>
      <x:c r="G537" s="2" t="str">
        <x:v>3124271</x:v>
      </x:c>
      <x:c r="H537" s="2" t="str">
        <x:v>2048000.0</x:v>
      </x:c>
      <x:c r="I537" s="2" t="str">
        <x:v>8192</x:v>
      </x:c>
      <x:c r="J537" s="2" t="str">
        <x:v>250.0</x:v>
      </x:c>
      <x:c r="K537" s="2" t="str">
        <x:v>2</x:v>
      </x:c>
      <x:c r="L537" s="2" t="str">
        <x:v>3</x:v>
      </x:c>
      <x:c r="M537" s="2" t="str">
        <x:v>2</x:v>
      </x:c>
      <x:c r="N537" s="2" t="str">
        <x:v>1</x:v>
      </x:c>
      <x:c r="O537" s="2" t="str">
        <x:v>0</x:v>
      </x:c>
      <x:c r="P537" s="2" t="str">
        <x:v>true</x:v>
      </x:c>
      <x:c r="Q537" s="2" t="str">
        <x:v>-107.799556356;-107.799556356</x:v>
      </x:c>
      <x:c r="R537" s="2" t="str">
        <x:v>0.4420000041136518</x:v>
      </x:c>
      <x:c r="S537" s="2" t="str">
        <x:v>46.27138107335358</x:v>
      </x:c>
    </x:row>
    <x:row r="538">
      <x:c r="A538" s="2" t="str">
        <x:v>DE-CMP-01</x:v>
      </x:c>
      <x:c r="B538" s="2" t="str">
        <x:v>CFG-C01</x:v>
      </x:c>
      <x:c r="C538" s="2" t="n">
        <x:v>46227.70238086805</x:v>
      </x:c>
      <x:c r="D538" s="2" t="str">
        <x:v>adaptive</x:v>
      </x:c>
      <x:c r="E538" s="2" t="str">
        <x:v>weak_beside_strong</x:v>
      </x:c>
      <x:c r="F538" s="2" t="str">
        <x:v>269</x:v>
      </x:c>
      <x:c r="G538" s="2" t="str">
        <x:v>3124272</x:v>
      </x:c>
      <x:c r="H538" s="2" t="str">
        <x:v>2048000.0</x:v>
      </x:c>
      <x:c r="I538" s="2" t="str">
        <x:v>8192</x:v>
      </x:c>
      <x:c r="J538" s="2" t="str">
        <x:v>250.0</x:v>
      </x:c>
      <x:c r="K538" s="2" t="str">
        <x:v>2</x:v>
      </x:c>
      <x:c r="L538" s="2" t="str">
        <x:v>3</x:v>
      </x:c>
      <x:c r="M538" s="2" t="str">
        <x:v>2</x:v>
      </x:c>
      <x:c r="N538" s="2" t="str">
        <x:v>1</x:v>
      </x:c>
      <x:c r="O538" s="2" t="str">
        <x:v>0</x:v>
      </x:c>
      <x:c r="P538" s="2" t="str">
        <x:v>true</x:v>
      </x:c>
      <x:c r="Q538" s="2" t="str">
        <x:v>-47.638539883;-47.638539883</x:v>
      </x:c>
      <x:c r="R538" s="2" t="str">
        <x:v>0.39933298830874264</x:v>
      </x:c>
      <x:c r="S538" s="2" t="str">
        <x:v>46.14954179502016</x:v>
      </x:c>
    </x:row>
    <x:row r="539">
      <x:c r="A539" s="2" t="str">
        <x:v>DE-CMP-01</x:v>
      </x:c>
      <x:c r="B539" s="2" t="str">
        <x:v>CFG-C01</x:v>
      </x:c>
      <x:c r="C539" s="2" t="n">
        <x:v>46227.70238086805</x:v>
      </x:c>
      <x:c r="D539" s="2" t="str">
        <x:v>os_cfar</x:v>
      </x:c>
      <x:c r="E539" s="2" t="str">
        <x:v>weak_beside_strong</x:v>
      </x:c>
      <x:c r="F539" s="2" t="str">
        <x:v>269</x:v>
      </x:c>
      <x:c r="G539" s="2" t="str">
        <x:v>3124272</x:v>
      </x:c>
      <x:c r="H539" s="2" t="str">
        <x:v>2048000.0</x:v>
      </x:c>
      <x:c r="I539" s="2" t="str">
        <x:v>8192</x:v>
      </x:c>
      <x:c r="J539" s="2" t="str">
        <x:v>250.0</x:v>
      </x:c>
      <x:c r="K539" s="2" t="str">
        <x:v>2</x:v>
      </x:c>
      <x:c r="L539" s="2" t="str">
        <x:v>3</x:v>
      </x:c>
      <x:c r="M539" s="2" t="str">
        <x:v>2</x:v>
      </x:c>
      <x:c r="N539" s="2" t="str">
        <x:v>1</x:v>
      </x:c>
      <x:c r="O539" s="2" t="str">
        <x:v>0</x:v>
      </x:c>
      <x:c r="P539" s="2" t="str">
        <x:v>true</x:v>
      </x:c>
      <x:c r="Q539" s="2" t="str">
        <x:v>-47.638539883;-47.638539883</x:v>
      </x:c>
      <x:c r="R539" s="2" t="str">
        <x:v>13.9681250002468</x:v>
      </x:c>
      <x:c r="S539" s="2" t="str">
        <x:v>48.19942350889277</x:v>
      </x:c>
    </x:row>
    <x:row r="540">
      <x:c r="A540" s="2" t="str">
        <x:v>DE-CMP-01</x:v>
      </x:c>
      <x:c r="B540" s="2" t="str">
        <x:v>CFG-C01</x:v>
      </x:c>
      <x:c r="C540" s="2" t="n">
        <x:v>46227.70238086805</x:v>
      </x:c>
      <x:c r="D540" s="2" t="str">
        <x:v>os_cfar</x:v>
      </x:c>
      <x:c r="E540" s="2" t="str">
        <x:v>weak_beside_strong</x:v>
      </x:c>
      <x:c r="F540" s="2" t="str">
        <x:v>270</x:v>
      </x:c>
      <x:c r="G540" s="2" t="str">
        <x:v>3124273</x:v>
      </x:c>
      <x:c r="H540" s="2" t="str">
        <x:v>2048000.0</x:v>
      </x:c>
      <x:c r="I540" s="2" t="str">
        <x:v>8192</x:v>
      </x:c>
      <x:c r="J540" s="2" t="str">
        <x:v>250.0</x:v>
      </x:c>
      <x:c r="K540" s="2" t="str">
        <x:v>2</x:v>
      </x:c>
      <x:c r="L540" s="2" t="str">
        <x:v>3</x:v>
      </x:c>
      <x:c r="M540" s="2" t="str">
        <x:v>2</x:v>
      </x:c>
      <x:c r="N540" s="2" t="str">
        <x:v>1</x:v>
      </x:c>
      <x:c r="O540" s="2" t="str">
        <x:v>0</x:v>
      </x:c>
      <x:c r="P540" s="2" t="str">
        <x:v>true</x:v>
      </x:c>
      <x:c r="Q540" s="2" t="str">
        <x:v>77.265209693;77.265209693</x:v>
      </x:c>
      <x:c r="R540" s="2" t="str">
        <x:v>14.081875007832423</x:v>
      </x:c>
      <x:c r="S540" s="2" t="str">
        <x:v>48.367014364021415</x:v>
      </x:c>
    </x:row>
    <x:row r="541">
      <x:c r="A541" s="2" t="str">
        <x:v>DE-CMP-01</x:v>
      </x:c>
      <x:c r="B541" s="2" t="str">
        <x:v>CFG-C01</x:v>
      </x:c>
      <x:c r="C541" s="2" t="n">
        <x:v>46227.70238086805</x:v>
      </x:c>
      <x:c r="D541" s="2" t="str">
        <x:v>adaptive</x:v>
      </x:c>
      <x:c r="E541" s="2" t="str">
        <x:v>weak_beside_strong</x:v>
      </x:c>
      <x:c r="F541" s="2" t="str">
        <x:v>270</x:v>
      </x:c>
      <x:c r="G541" s="2" t="str">
        <x:v>3124273</x:v>
      </x:c>
      <x:c r="H541" s="2" t="str">
        <x:v>2048000.0</x:v>
      </x:c>
      <x:c r="I541" s="2" t="str">
        <x:v>8192</x:v>
      </x:c>
      <x:c r="J541" s="2" t="str">
        <x:v>250.0</x:v>
      </x:c>
      <x:c r="K541" s="2" t="str">
        <x:v>2</x:v>
      </x:c>
      <x:c r="L541" s="2" t="str">
        <x:v>3</x:v>
      </x:c>
      <x:c r="M541" s="2" t="str">
        <x:v>2</x:v>
      </x:c>
      <x:c r="N541" s="2" t="str">
        <x:v>1</x:v>
      </x:c>
      <x:c r="O541" s="2" t="str">
        <x:v>0</x:v>
      </x:c>
      <x:c r="P541" s="2" t="str">
        <x:v>true</x:v>
      </x:c>
      <x:c r="Q541" s="2" t="str">
        <x:v>77.265209693;77.265209693</x:v>
      </x:c>
      <x:c r="R541" s="2" t="str">
        <x:v>0.45566700282506645</x:v>
      </x:c>
      <x:c r="S541" s="2" t="str">
        <x:v>46.49874637529124</x:v>
      </x:c>
    </x:row>
    <x:row r="542">
      <x:c r="A542" s="2" t="str">
        <x:v>DE-CMP-01</x:v>
      </x:c>
      <x:c r="B542" s="2" t="str">
        <x:v>CFG-C01</x:v>
      </x:c>
      <x:c r="C542" s="2" t="n">
        <x:v>46227.70238086805</x:v>
      </x:c>
      <x:c r="D542" s="2" t="str">
        <x:v>adaptive</x:v>
      </x:c>
      <x:c r="E542" s="2" t="str">
        <x:v>weak_beside_strong</x:v>
      </x:c>
      <x:c r="F542" s="2" t="str">
        <x:v>271</x:v>
      </x:c>
      <x:c r="G542" s="2" t="str">
        <x:v>3124274</x:v>
      </x:c>
      <x:c r="H542" s="2" t="str">
        <x:v>2048000.0</x:v>
      </x:c>
      <x:c r="I542" s="2" t="str">
        <x:v>8192</x:v>
      </x:c>
      <x:c r="J542" s="2" t="str">
        <x:v>250.0</x:v>
      </x:c>
      <x:c r="K542" s="2" t="str">
        <x:v>2</x:v>
      </x:c>
      <x:c r="L542" s="2" t="str">
        <x:v>3</x:v>
      </x:c>
      <x:c r="M542" s="2" t="str">
        <x:v>2</x:v>
      </x:c>
      <x:c r="N542" s="2" t="str">
        <x:v>1</x:v>
      </x:c>
      <x:c r="O542" s="2" t="str">
        <x:v>0</x:v>
      </x:c>
      <x:c r="P542" s="2" t="str">
        <x:v>true</x:v>
      </x:c>
      <x:c r="Q542" s="2" t="str">
        <x:v>0.801007837;0.801007837</x:v>
      </x:c>
      <x:c r="R542" s="2" t="str">
        <x:v>0.4090830043423921</x:v>
      </x:c>
      <x:c r="S542" s="2" t="str">
        <x:v>46.38098020688178</x:v>
      </x:c>
    </x:row>
    <x:row r="543">
      <x:c r="A543" s="2" t="str">
        <x:v>DE-CMP-01</x:v>
      </x:c>
      <x:c r="B543" s="2" t="str">
        <x:v>CFG-C01</x:v>
      </x:c>
      <x:c r="C543" s="2" t="n">
        <x:v>46227.70238086805</x:v>
      </x:c>
      <x:c r="D543" s="2" t="str">
        <x:v>os_cfar</x:v>
      </x:c>
      <x:c r="E543" s="2" t="str">
        <x:v>weak_beside_strong</x:v>
      </x:c>
      <x:c r="F543" s="2" t="str">
        <x:v>271</x:v>
      </x:c>
      <x:c r="G543" s="2" t="str">
        <x:v>3124274</x:v>
      </x:c>
      <x:c r="H543" s="2" t="str">
        <x:v>2048000.0</x:v>
      </x:c>
      <x:c r="I543" s="2" t="str">
        <x:v>8192</x:v>
      </x:c>
      <x:c r="J543" s="2" t="str">
        <x:v>250.0</x:v>
      </x:c>
      <x:c r="K543" s="2" t="str">
        <x:v>2</x:v>
      </x:c>
      <x:c r="L543" s="2" t="str">
        <x:v>3</x:v>
      </x:c>
      <x:c r="M543" s="2" t="str">
        <x:v>2</x:v>
      </x:c>
      <x:c r="N543" s="2" t="str">
        <x:v>1</x:v>
      </x:c>
      <x:c r="O543" s="2" t="str">
        <x:v>0</x:v>
      </x:c>
      <x:c r="P543" s="2" t="str">
        <x:v>true</x:v>
      </x:c>
      <x:c r="Q543" s="2" t="str">
        <x:v>0.801007837;0.801007837</x:v>
      </x:c>
      <x:c r="R543" s="2" t="str">
        <x:v>13.576208002632484</x:v>
      </x:c>
      <x:c r="S543" s="2" t="str">
        <x:v>48.17541272450646</x:v>
      </x:c>
    </x:row>
    <x:row r="544">
      <x:c r="A544" s="2" t="str">
        <x:v>DE-CMP-01</x:v>
      </x:c>
      <x:c r="B544" s="2" t="str">
        <x:v>CFG-C01</x:v>
      </x:c>
      <x:c r="C544" s="2" t="n">
        <x:v>46227.70238086805</x:v>
      </x:c>
      <x:c r="D544" s="2" t="str">
        <x:v>os_cfar</x:v>
      </x:c>
      <x:c r="E544" s="2" t="str">
        <x:v>weak_beside_strong</x:v>
      </x:c>
      <x:c r="F544" s="2" t="str">
        <x:v>272</x:v>
      </x:c>
      <x:c r="G544" s="2" t="str">
        <x:v>3124275</x:v>
      </x:c>
      <x:c r="H544" s="2" t="str">
        <x:v>2048000.0</x:v>
      </x:c>
      <x:c r="I544" s="2" t="str">
        <x:v>8192</x:v>
      </x:c>
      <x:c r="J544" s="2" t="str">
        <x:v>250.0</x:v>
      </x:c>
      <x:c r="K544" s="2" t="str">
        <x:v>2</x:v>
      </x:c>
      <x:c r="L544" s="2" t="str">
        <x:v>3</x:v>
      </x:c>
      <x:c r="M544" s="2" t="str">
        <x:v>2</x:v>
      </x:c>
      <x:c r="N544" s="2" t="str">
        <x:v>1</x:v>
      </x:c>
      <x:c r="O544" s="2" t="str">
        <x:v>0</x:v>
      </x:c>
      <x:c r="P544" s="2" t="str">
        <x:v>true</x:v>
      </x:c>
      <x:c r="Q544" s="2" t="str">
        <x:v>-113.411459612;136.588540388</x:v>
      </x:c>
      <x:c r="R544" s="2" t="str">
        <x:v>14.126541005680338</x:v>
      </x:c>
      <x:c r="S544" s="2" t="str">
        <x:v>48.150979002010665</x:v>
      </x:c>
    </x:row>
    <x:row r="545">
      <x:c r="A545" s="2" t="str">
        <x:v>DE-CMP-01</x:v>
      </x:c>
      <x:c r="B545" s="2" t="str">
        <x:v>CFG-C01</x:v>
      </x:c>
      <x:c r="C545" s="2" t="n">
        <x:v>46227.70238086805</x:v>
      </x:c>
      <x:c r="D545" s="2" t="str">
        <x:v>adaptive</x:v>
      </x:c>
      <x:c r="E545" s="2" t="str">
        <x:v>weak_beside_strong</x:v>
      </x:c>
      <x:c r="F545" s="2" t="str">
        <x:v>272</x:v>
      </x:c>
      <x:c r="G545" s="2" t="str">
        <x:v>3124275</x:v>
      </x:c>
      <x:c r="H545" s="2" t="str">
        <x:v>2048000.0</x:v>
      </x:c>
      <x:c r="I545" s="2" t="str">
        <x:v>8192</x:v>
      </x:c>
      <x:c r="J545" s="2" t="str">
        <x:v>250.0</x:v>
      </x:c>
      <x:c r="K545" s="2" t="str">
        <x:v>2</x:v>
      </x:c>
      <x:c r="L545" s="2" t="str">
        <x:v>3</x:v>
      </x:c>
      <x:c r="M545" s="2" t="str">
        <x:v>2</x:v>
      </x:c>
      <x:c r="N545" s="2" t="str">
        <x:v>1</x:v>
      </x:c>
      <x:c r="O545" s="2" t="str">
        <x:v>0</x:v>
      </x:c>
      <x:c r="P545" s="2" t="str">
        <x:v>true</x:v>
      </x:c>
      <x:c r="Q545" s="2" t="str">
        <x:v>-113.411459612;136.588540388</x:v>
      </x:c>
      <x:c r="R545" s="2" t="str">
        <x:v>0.4594589991029352</x:v>
      </x:c>
      <x:c r="S545" s="2" t="str">
        <x:v>46.41762359690938</x:v>
      </x:c>
    </x:row>
    <x:row r="546">
      <x:c r="A546" s="2" t="str">
        <x:v>DE-CMP-01</x:v>
      </x:c>
      <x:c r="B546" s="2" t="str">
        <x:v>CFG-C01</x:v>
      </x:c>
      <x:c r="C546" s="2" t="n">
        <x:v>46227.70238086805</x:v>
      </x:c>
      <x:c r="D546" s="2" t="str">
        <x:v>adaptive</x:v>
      </x:c>
      <x:c r="E546" s="2" t="str">
        <x:v>weak_beside_strong</x:v>
      </x:c>
      <x:c r="F546" s="2" t="str">
        <x:v>273</x:v>
      </x:c>
      <x:c r="G546" s="2" t="str">
        <x:v>3124276</x:v>
      </x:c>
      <x:c r="H546" s="2" t="str">
        <x:v>2048000.0</x:v>
      </x:c>
      <x:c r="I546" s="2" t="str">
        <x:v>8192</x:v>
      </x:c>
      <x:c r="J546" s="2" t="str">
        <x:v>250.0</x:v>
      </x:c>
      <x:c r="K546" s="2" t="str">
        <x:v>2</x:v>
      </x:c>
      <x:c r="L546" s="2" t="str">
        <x:v>3</x:v>
      </x:c>
      <x:c r="M546" s="2" t="str">
        <x:v>2</x:v>
      </x:c>
      <x:c r="N546" s="2" t="str">
        <x:v>1</x:v>
      </x:c>
      <x:c r="O546" s="2" t="str">
        <x:v>0</x:v>
      </x:c>
      <x:c r="P546" s="2" t="str">
        <x:v>true</x:v>
      </x:c>
      <x:c r="Q546" s="2" t="str">
        <x:v>-40.494894207;-40.494894207</x:v>
      </x:c>
      <x:c r="R546" s="2" t="str">
        <x:v>0.4642500134650618</x:v>
      </x:c>
      <x:c r="S546" s="2" t="str">
        <x:v>46.38825025206111</x:v>
      </x:c>
    </x:row>
    <x:row r="547">
      <x:c r="A547" s="2" t="str">
        <x:v>DE-CMP-01</x:v>
      </x:c>
      <x:c r="B547" s="2" t="str">
        <x:v>CFG-C01</x:v>
      </x:c>
      <x:c r="C547" s="2" t="n">
        <x:v>46227.70238086805</x:v>
      </x:c>
      <x:c r="D547" s="2" t="str">
        <x:v>os_cfar</x:v>
      </x:c>
      <x:c r="E547" s="2" t="str">
        <x:v>weak_beside_strong</x:v>
      </x:c>
      <x:c r="F547" s="2" t="str">
        <x:v>273</x:v>
      </x:c>
      <x:c r="G547" s="2" t="str">
        <x:v>3124276</x:v>
      </x:c>
      <x:c r="H547" s="2" t="str">
        <x:v>2048000.0</x:v>
      </x:c>
      <x:c r="I547" s="2" t="str">
        <x:v>8192</x:v>
      </x:c>
      <x:c r="J547" s="2" t="str">
        <x:v>250.0</x:v>
      </x:c>
      <x:c r="K547" s="2" t="str">
        <x:v>2</x:v>
      </x:c>
      <x:c r="L547" s="2" t="str">
        <x:v>3</x:v>
      </x:c>
      <x:c r="M547" s="2" t="str">
        <x:v>2</x:v>
      </x:c>
      <x:c r="N547" s="2" t="str">
        <x:v>1</x:v>
      </x:c>
      <x:c r="O547" s="2" t="str">
        <x:v>0</x:v>
      </x:c>
      <x:c r="P547" s="2" t="str">
        <x:v>true</x:v>
      </x:c>
      <x:c r="Q547" s="2" t="str">
        <x:v>-40.494894207;-40.494894207</x:v>
      </x:c>
      <x:c r="R547" s="2" t="str">
        <x:v>14.956125000026077</x:v>
      </x:c>
      <x:c r="S547" s="2" t="str">
        <x:v>48.15842474312774</x:v>
      </x:c>
    </x:row>
    <x:row r="548">
      <x:c r="A548" s="2" t="str">
        <x:v>DE-CMP-01</x:v>
      </x:c>
      <x:c r="B548" s="2" t="str">
        <x:v>CFG-C01</x:v>
      </x:c>
      <x:c r="C548" s="2" t="n">
        <x:v>46227.70238086805</x:v>
      </x:c>
      <x:c r="D548" s="2" t="str">
        <x:v>os_cfar</x:v>
      </x:c>
      <x:c r="E548" s="2" t="str">
        <x:v>weak_beside_strong</x:v>
      </x:c>
      <x:c r="F548" s="2" t="str">
        <x:v>274</x:v>
      </x:c>
      <x:c r="G548" s="2" t="str">
        <x:v>3124277</x:v>
      </x:c>
      <x:c r="H548" s="2" t="str">
        <x:v>2048000.0</x:v>
      </x:c>
      <x:c r="I548" s="2" t="str">
        <x:v>8192</x:v>
      </x:c>
      <x:c r="J548" s="2" t="str">
        <x:v>250.0</x:v>
      </x:c>
      <x:c r="K548" s="2" t="str">
        <x:v>2</x:v>
      </x:c>
      <x:c r="L548" s="2" t="str">
        <x:v>3</x:v>
      </x:c>
      <x:c r="M548" s="2" t="str">
        <x:v>2</x:v>
      </x:c>
      <x:c r="N548" s="2" t="str">
        <x:v>1</x:v>
      </x:c>
      <x:c r="O548" s="2" t="str">
        <x:v>0</x:v>
      </x:c>
      <x:c r="P548" s="2" t="str">
        <x:v>true</x:v>
      </x:c>
      <x:c r="Q548" s="2" t="str">
        <x:v>2.841850432;2.841850432</x:v>
      </x:c>
      <x:c r="R548" s="2" t="str">
        <x:v>14.784458006033674</x:v>
      </x:c>
      <x:c r="S548" s="2" t="str">
        <x:v>48.31503907553201</x:v>
      </x:c>
    </x:row>
    <x:row r="549">
      <x:c r="A549" s="2" t="str">
        <x:v>DE-CMP-01</x:v>
      </x:c>
      <x:c r="B549" s="2" t="str">
        <x:v>CFG-C01</x:v>
      </x:c>
      <x:c r="C549" s="2" t="n">
        <x:v>46227.70238086805</x:v>
      </x:c>
      <x:c r="D549" s="2" t="str">
        <x:v>adaptive</x:v>
      </x:c>
      <x:c r="E549" s="2" t="str">
        <x:v>weak_beside_strong</x:v>
      </x:c>
      <x:c r="F549" s="2" t="str">
        <x:v>274</x:v>
      </x:c>
      <x:c r="G549" s="2" t="str">
        <x:v>3124277</x:v>
      </x:c>
      <x:c r="H549" s="2" t="str">
        <x:v>2048000.0</x:v>
      </x:c>
      <x:c r="I549" s="2" t="str">
        <x:v>8192</x:v>
      </x:c>
      <x:c r="J549" s="2" t="str">
        <x:v>250.0</x:v>
      </x:c>
      <x:c r="K549" s="2" t="str">
        <x:v>2</x:v>
      </x:c>
      <x:c r="L549" s="2" t="str">
        <x:v>3</x:v>
      </x:c>
      <x:c r="M549" s="2" t="str">
        <x:v>2</x:v>
      </x:c>
      <x:c r="N549" s="2" t="str">
        <x:v>1</x:v>
      </x:c>
      <x:c r="O549" s="2" t="str">
        <x:v>0</x:v>
      </x:c>
      <x:c r="P549" s="2" t="str">
        <x:v>true</x:v>
      </x:c>
      <x:c r="Q549" s="2" t="str">
        <x:v>2.841850432;2.841850432</x:v>
      </x:c>
      <x:c r="R549" s="2" t="str">
        <x:v>0.42679099715314806</x:v>
      </x:c>
      <x:c r="S549" s="2" t="str">
        <x:v>46.59484898252184</x:v>
      </x:c>
    </x:row>
    <x:row r="550">
      <x:c r="A550" s="2" t="str">
        <x:v>DE-CMP-01</x:v>
      </x:c>
      <x:c r="B550" s="2" t="str">
        <x:v>CFG-C01</x:v>
      </x:c>
      <x:c r="C550" s="2" t="n">
        <x:v>46227.70238086805</x:v>
      </x:c>
      <x:c r="D550" s="2" t="str">
        <x:v>adaptive</x:v>
      </x:c>
      <x:c r="E550" s="2" t="str">
        <x:v>weak_beside_strong</x:v>
      </x:c>
      <x:c r="F550" s="2" t="str">
        <x:v>275</x:v>
      </x:c>
      <x:c r="G550" s="2" t="str">
        <x:v>3124278</x:v>
      </x:c>
      <x:c r="H550" s="2" t="str">
        <x:v>2048000.0</x:v>
      </x:c>
      <x:c r="I550" s="2" t="str">
        <x:v>8192</x:v>
      </x:c>
      <x:c r="J550" s="2" t="str">
        <x:v>250.0</x:v>
      </x:c>
      <x:c r="K550" s="2" t="str">
        <x:v>2</x:v>
      </x:c>
      <x:c r="L550" s="2" t="str">
        <x:v>3</x:v>
      </x:c>
      <x:c r="M550" s="2" t="str">
        <x:v>2</x:v>
      </x:c>
      <x:c r="N550" s="2" t="str">
        <x:v>1</x:v>
      </x:c>
      <x:c r="O550" s="2" t="str">
        <x:v>0</x:v>
      </x:c>
      <x:c r="P550" s="2" t="str">
        <x:v>true</x:v>
      </x:c>
      <x:c r="Q550" s="2" t="str">
        <x:v>26.540831632;26.540831632</x:v>
      </x:c>
      <x:c r="R550" s="2" t="str">
        <x:v>0.40666700806468725</x:v>
      </x:c>
      <x:c r="S550" s="2" t="str">
        <x:v>46.42996708192579</x:v>
      </x:c>
    </x:row>
    <x:row r="551">
      <x:c r="A551" s="2" t="str">
        <x:v>DE-CMP-01</x:v>
      </x:c>
      <x:c r="B551" s="2" t="str">
        <x:v>CFG-C01</x:v>
      </x:c>
      <x:c r="C551" s="2" t="n">
        <x:v>46227.70238086805</x:v>
      </x:c>
      <x:c r="D551" s="2" t="str">
        <x:v>os_cfar</x:v>
      </x:c>
      <x:c r="E551" s="2" t="str">
        <x:v>weak_beside_strong</x:v>
      </x:c>
      <x:c r="F551" s="2" t="str">
        <x:v>275</x:v>
      </x:c>
      <x:c r="G551" s="2" t="str">
        <x:v>3124278</x:v>
      </x:c>
      <x:c r="H551" s="2" t="str">
        <x:v>2048000.0</x:v>
      </x:c>
      <x:c r="I551" s="2" t="str">
        <x:v>8192</x:v>
      </x:c>
      <x:c r="J551" s="2" t="str">
        <x:v>250.0</x:v>
      </x:c>
      <x:c r="K551" s="2" t="str">
        <x:v>2</x:v>
      </x:c>
      <x:c r="L551" s="2" t="str">
        <x:v>3</x:v>
      </x:c>
      <x:c r="M551" s="2" t="str">
        <x:v>2</x:v>
      </x:c>
      <x:c r="N551" s="2" t="str">
        <x:v>1</x:v>
      </x:c>
      <x:c r="O551" s="2" t="str">
        <x:v>0</x:v>
      </x:c>
      <x:c r="P551" s="2" t="str">
        <x:v>true</x:v>
      </x:c>
      <x:c r="Q551" s="2" t="str">
        <x:v>26.540831632;26.540831632</x:v>
      </x:c>
      <x:c r="R551" s="2" t="str">
        <x:v>14.056750005693175</x:v>
      </x:c>
      <x:c r="S551" s="2" t="str">
        <x:v>48.10613157056116</x:v>
      </x:c>
    </x:row>
    <x:row r="552">
      <x:c r="A552" s="2" t="str">
        <x:v>DE-CMP-01</x:v>
      </x:c>
      <x:c r="B552" s="2" t="str">
        <x:v>CFG-C01</x:v>
      </x:c>
      <x:c r="C552" s="2" t="n">
        <x:v>46227.70238086805</x:v>
      </x:c>
      <x:c r="D552" s="2" t="str">
        <x:v>os_cfar</x:v>
      </x:c>
      <x:c r="E552" s="2" t="str">
        <x:v>weak_beside_strong</x:v>
      </x:c>
      <x:c r="F552" s="2" t="str">
        <x:v>276</x:v>
      </x:c>
      <x:c r="G552" s="2" t="str">
        <x:v>3124279</x:v>
      </x:c>
      <x:c r="H552" s="2" t="str">
        <x:v>2048000.0</x:v>
      </x:c>
      <x:c r="I552" s="2" t="str">
        <x:v>8192</x:v>
      </x:c>
      <x:c r="J552" s="2" t="str">
        <x:v>250.0</x:v>
      </x:c>
      <x:c r="K552" s="2" t="str">
        <x:v>2</x:v>
      </x:c>
      <x:c r="L552" s="2" t="str">
        <x:v>3</x:v>
      </x:c>
      <x:c r="M552" s="2" t="str">
        <x:v>2</x:v>
      </x:c>
      <x:c r="N552" s="2" t="str">
        <x:v>1</x:v>
      </x:c>
      <x:c r="O552" s="2" t="str">
        <x:v>0</x:v>
      </x:c>
      <x:c r="P552" s="2" t="str">
        <x:v>true</x:v>
      </x:c>
      <x:c r="Q552" s="2" t="str">
        <x:v>-124.366322788;-124.366322788</x:v>
      </x:c>
      <x:c r="R552" s="2" t="str">
        <x:v>14.347457996336743</x:v>
      </x:c>
      <x:c r="S552" s="2" t="str">
        <x:v>48.33401679833252</x:v>
      </x:c>
    </x:row>
    <x:row r="553">
      <x:c r="A553" s="2" t="str">
        <x:v>DE-CMP-01</x:v>
      </x:c>
      <x:c r="B553" s="2" t="str">
        <x:v>CFG-C01</x:v>
      </x:c>
      <x:c r="C553" s="2" t="n">
        <x:v>46227.70238086805</x:v>
      </x:c>
      <x:c r="D553" s="2" t="str">
        <x:v>adaptive</x:v>
      </x:c>
      <x:c r="E553" s="2" t="str">
        <x:v>weak_beside_strong</x:v>
      </x:c>
      <x:c r="F553" s="2" t="str">
        <x:v>276</x:v>
      </x:c>
      <x:c r="G553" s="2" t="str">
        <x:v>3124279</x:v>
      </x:c>
      <x:c r="H553" s="2" t="str">
        <x:v>2048000.0</x:v>
      </x:c>
      <x:c r="I553" s="2" t="str">
        <x:v>8192</x:v>
      </x:c>
      <x:c r="J553" s="2" t="str">
        <x:v>250.0</x:v>
      </x:c>
      <x:c r="K553" s="2" t="str">
        <x:v>2</x:v>
      </x:c>
      <x:c r="L553" s="2" t="str">
        <x:v>3</x:v>
      </x:c>
      <x:c r="M553" s="2" t="str">
        <x:v>2</x:v>
      </x:c>
      <x:c r="N553" s="2" t="str">
        <x:v>1</x:v>
      </x:c>
      <x:c r="O553" s="2" t="str">
        <x:v>0</x:v>
      </x:c>
      <x:c r="P553" s="2" t="str">
        <x:v>true</x:v>
      </x:c>
      <x:c r="Q553" s="2" t="str">
        <x:v>-124.366322788;-124.366322788</x:v>
      </x:c>
      <x:c r="R553" s="2" t="str">
        <x:v>0.44025000534020364</x:v>
      </x:c>
      <x:c r="S553" s="2" t="str">
        <x:v>46.660664281938715</x:v>
      </x:c>
    </x:row>
    <x:row r="554">
      <x:c r="A554" s="2" t="str">
        <x:v>DE-CMP-01</x:v>
      </x:c>
      <x:c r="B554" s="2" t="str">
        <x:v>CFG-C01</x:v>
      </x:c>
      <x:c r="C554" s="2" t="n">
        <x:v>46227.70238086805</x:v>
      </x:c>
      <x:c r="D554" s="2" t="str">
        <x:v>adaptive</x:v>
      </x:c>
      <x:c r="E554" s="2" t="str">
        <x:v>weak_beside_strong</x:v>
      </x:c>
      <x:c r="F554" s="2" t="str">
        <x:v>277</x:v>
      </x:c>
      <x:c r="G554" s="2" t="str">
        <x:v>3124280</x:v>
      </x:c>
      <x:c r="H554" s="2" t="str">
        <x:v>2048000.0</x:v>
      </x:c>
      <x:c r="I554" s="2" t="str">
        <x:v>8192</x:v>
      </x:c>
      <x:c r="J554" s="2" t="str">
        <x:v>250.0</x:v>
      </x:c>
      <x:c r="K554" s="2" t="str">
        <x:v>2</x:v>
      </x:c>
      <x:c r="L554" s="2" t="str">
        <x:v>3</x:v>
      </x:c>
      <x:c r="M554" s="2" t="str">
        <x:v>2</x:v>
      </x:c>
      <x:c r="N554" s="2" t="str">
        <x:v>1</x:v>
      </x:c>
      <x:c r="O554" s="2" t="str">
        <x:v>0</x:v>
      </x:c>
      <x:c r="P554" s="2" t="str">
        <x:v>true</x:v>
      </x:c>
      <x:c r="Q554" s="2" t="str">
        <x:v>105.842629188;105.842629188</x:v>
      </x:c>
      <x:c r="R554" s="2" t="str">
        <x:v>0.43170800199732184</x:v>
      </x:c>
      <x:c r="S554" s="2" t="str">
        <x:v>46.47956311810096</x:v>
      </x:c>
    </x:row>
    <x:row r="555">
      <x:c r="A555" s="2" t="str">
        <x:v>DE-CMP-01</x:v>
      </x:c>
      <x:c r="B555" s="2" t="str">
        <x:v>CFG-C01</x:v>
      </x:c>
      <x:c r="C555" s="2" t="n">
        <x:v>46227.70238086805</x:v>
      </x:c>
      <x:c r="D555" s="2" t="str">
        <x:v>os_cfar</x:v>
      </x:c>
      <x:c r="E555" s="2" t="str">
        <x:v>weak_beside_strong</x:v>
      </x:c>
      <x:c r="F555" s="2" t="str">
        <x:v>277</x:v>
      </x:c>
      <x:c r="G555" s="2" t="str">
        <x:v>3124280</x:v>
      </x:c>
      <x:c r="H555" s="2" t="str">
        <x:v>2048000.0</x:v>
      </x:c>
      <x:c r="I555" s="2" t="str">
        <x:v>8192</x:v>
      </x:c>
      <x:c r="J555" s="2" t="str">
        <x:v>250.0</x:v>
      </x:c>
      <x:c r="K555" s="2" t="str">
        <x:v>2</x:v>
      </x:c>
      <x:c r="L555" s="2" t="str">
        <x:v>3</x:v>
      </x:c>
      <x:c r="M555" s="2" t="str">
        <x:v>2</x:v>
      </x:c>
      <x:c r="N555" s="2" t="str">
        <x:v>1</x:v>
      </x:c>
      <x:c r="O555" s="2" t="str">
        <x:v>0</x:v>
      </x:c>
      <x:c r="P555" s="2" t="str">
        <x:v>true</x:v>
      </x:c>
      <x:c r="Q555" s="2" t="str">
        <x:v>105.842629188;105.842629188</x:v>
      </x:c>
      <x:c r="R555" s="2" t="str">
        <x:v>14.158417005091906</x:v>
      </x:c>
      <x:c r="S555" s="2" t="str">
        <x:v>48.19304782407258</x:v>
      </x:c>
    </x:row>
    <x:row r="556">
      <x:c r="A556" s="2" t="str">
        <x:v>DE-CMP-01</x:v>
      </x:c>
      <x:c r="B556" s="2" t="str">
        <x:v>CFG-C01</x:v>
      </x:c>
      <x:c r="C556" s="2" t="n">
        <x:v>46227.70238086805</x:v>
      </x:c>
      <x:c r="D556" s="2" t="str">
        <x:v>os_cfar</x:v>
      </x:c>
      <x:c r="E556" s="2" t="str">
        <x:v>weak_beside_strong</x:v>
      </x:c>
      <x:c r="F556" s="2" t="str">
        <x:v>278</x:v>
      </x:c>
      <x:c r="G556" s="2" t="str">
        <x:v>3124281</x:v>
      </x:c>
      <x:c r="H556" s="2" t="str">
        <x:v>2048000.0</x:v>
      </x:c>
      <x:c r="I556" s="2" t="str">
        <x:v>8192</x:v>
      </x:c>
      <x:c r="J556" s="2" t="str">
        <x:v>250.0</x:v>
      </x:c>
      <x:c r="K556" s="2" t="str">
        <x:v>2</x:v>
      </x:c>
      <x:c r="L556" s="2" t="str">
        <x:v>3</x:v>
      </x:c>
      <x:c r="M556" s="2" t="str">
        <x:v>2</x:v>
      </x:c>
      <x:c r="N556" s="2" t="str">
        <x:v>1</x:v>
      </x:c>
      <x:c r="O556" s="2" t="str">
        <x:v>0</x:v>
      </x:c>
      <x:c r="P556" s="2" t="str">
        <x:v>true</x:v>
      </x:c>
      <x:c r="Q556" s="2" t="str">
        <x:v>-22.912619149;-22.912619149</x:v>
      </x:c>
      <x:c r="R556" s="2" t="str">
        <x:v>13.918917000410147</x:v>
      </x:c>
      <x:c r="S556" s="2" t="str">
        <x:v>48.086475340913</x:v>
      </x:c>
    </x:row>
    <x:row r="557">
      <x:c r="A557" s="2" t="str">
        <x:v>DE-CMP-01</x:v>
      </x:c>
      <x:c r="B557" s="2" t="str">
        <x:v>CFG-C01</x:v>
      </x:c>
      <x:c r="C557" s="2" t="n">
        <x:v>46227.70238086805</x:v>
      </x:c>
      <x:c r="D557" s="2" t="str">
        <x:v>adaptive</x:v>
      </x:c>
      <x:c r="E557" s="2" t="str">
        <x:v>weak_beside_strong</x:v>
      </x:c>
      <x:c r="F557" s="2" t="str">
        <x:v>278</x:v>
      </x:c>
      <x:c r="G557" s="2" t="str">
        <x:v>3124281</x:v>
      </x:c>
      <x:c r="H557" s="2" t="str">
        <x:v>2048000.0</x:v>
      </x:c>
      <x:c r="I557" s="2" t="str">
        <x:v>8192</x:v>
      </x:c>
      <x:c r="J557" s="2" t="str">
        <x:v>250.0</x:v>
      </x:c>
      <x:c r="K557" s="2" t="str">
        <x:v>2</x:v>
      </x:c>
      <x:c r="L557" s="2" t="str">
        <x:v>3</x:v>
      </x:c>
      <x:c r="M557" s="2" t="str">
        <x:v>2</x:v>
      </x:c>
      <x:c r="N557" s="2" t="str">
        <x:v>1</x:v>
      </x:c>
      <x:c r="O557" s="2" t="str">
        <x:v>0</x:v>
      </x:c>
      <x:c r="P557" s="2" t="str">
        <x:v>true</x:v>
      </x:c>
      <x:c r="Q557" s="2" t="str">
        <x:v>-22.912619149;-22.912619149</x:v>
      </x:c>
      <x:c r="R557" s="2" t="str">
        <x:v>0.42595800186973065</x:v>
      </x:c>
      <x:c r="S557" s="2" t="str">
        <x:v>46.473342540427126</x:v>
      </x:c>
    </x:row>
    <x:row r="558">
      <x:c r="A558" s="2" t="str">
        <x:v>DE-CMP-01</x:v>
      </x:c>
      <x:c r="B558" s="2" t="str">
        <x:v>CFG-C01</x:v>
      </x:c>
      <x:c r="C558" s="2" t="n">
        <x:v>46227.70238086805</x:v>
      </x:c>
      <x:c r="D558" s="2" t="str">
        <x:v>adaptive</x:v>
      </x:c>
      <x:c r="E558" s="2" t="str">
        <x:v>weak_beside_strong</x:v>
      </x:c>
      <x:c r="F558" s="2" t="str">
        <x:v>279</x:v>
      </x:c>
      <x:c r="G558" s="2" t="str">
        <x:v>3124282</x:v>
      </x:c>
      <x:c r="H558" s="2" t="str">
        <x:v>2048000.0</x:v>
      </x:c>
      <x:c r="I558" s="2" t="str">
        <x:v>8192</x:v>
      </x:c>
      <x:c r="J558" s="2" t="str">
        <x:v>250.0</x:v>
      </x:c>
      <x:c r="K558" s="2" t="str">
        <x:v>2</x:v>
      </x:c>
      <x:c r="L558" s="2" t="str">
        <x:v>3</x:v>
      </x:c>
      <x:c r="M558" s="2" t="str">
        <x:v>1</x:v>
      </x:c>
      <x:c r="N558" s="2" t="str">
        <x:v>2</x:v>
      </x:c>
      <x:c r="O558" s="2" t="str">
        <x:v>1</x:v>
      </x:c>
      <x:c r="P558" s="2" t="str">
        <x:v>true</x:v>
      </x:c>
      <x:c r="Q558" s="2" t="str">
        <x:v>-103.251961767</x:v>
      </x:c>
      <x:c r="R558" s="2" t="str">
        <x:v>0.403750003897585</x:v>
      </x:c>
      <x:c r="S558" s="2" t="str">
        <x:v>46.47006963710213</x:v>
      </x:c>
    </x:row>
    <x:row r="559">
      <x:c r="A559" s="2" t="str">
        <x:v>DE-CMP-01</x:v>
      </x:c>
      <x:c r="B559" s="2" t="str">
        <x:v>CFG-C01</x:v>
      </x:c>
      <x:c r="C559" s="2" t="n">
        <x:v>46227.70238086805</x:v>
      </x:c>
      <x:c r="D559" s="2" t="str">
        <x:v>os_cfar</x:v>
      </x:c>
      <x:c r="E559" s="2" t="str">
        <x:v>weak_beside_strong</x:v>
      </x:c>
      <x:c r="F559" s="2" t="str">
        <x:v>279</x:v>
      </x:c>
      <x:c r="G559" s="2" t="str">
        <x:v>3124282</x:v>
      </x:c>
      <x:c r="H559" s="2" t="str">
        <x:v>2048000.0</x:v>
      </x:c>
      <x:c r="I559" s="2" t="str">
        <x:v>8192</x:v>
      </x:c>
      <x:c r="J559" s="2" t="str">
        <x:v>250.0</x:v>
      </x:c>
      <x:c r="K559" s="2" t="str">
        <x:v>2</x:v>
      </x:c>
      <x:c r="L559" s="2" t="str">
        <x:v>3</x:v>
      </x:c>
      <x:c r="M559" s="2" t="str">
        <x:v>1</x:v>
      </x:c>
      <x:c r="N559" s="2" t="str">
        <x:v>2</x:v>
      </x:c>
      <x:c r="O559" s="2" t="str">
        <x:v>1</x:v>
      </x:c>
      <x:c r="P559" s="2" t="str">
        <x:v>true</x:v>
      </x:c>
      <x:c r="Q559" s="2" t="str">
        <x:v>-103.251961767</x:v>
      </x:c>
      <x:c r="R559" s="2" t="str">
        <x:v>14.284666991443373</x:v>
      </x:c>
      <x:c r="S559" s="2" t="str">
        <x:v>48.322700771296</x:v>
      </x:c>
    </x:row>
    <x:row r="560">
      <x:c r="A560" s="2" t="str">
        <x:v>DE-CMP-01</x:v>
      </x:c>
      <x:c r="B560" s="2" t="str">
        <x:v>CFG-C01</x:v>
      </x:c>
      <x:c r="C560" s="2" t="n">
        <x:v>46227.70238086805</x:v>
      </x:c>
      <x:c r="D560" s="2" t="str">
        <x:v>os_cfar</x:v>
      </x:c>
      <x:c r="E560" s="2" t="str">
        <x:v>weak_beside_strong</x:v>
      </x:c>
      <x:c r="F560" s="2" t="str">
        <x:v>280</x:v>
      </x:c>
      <x:c r="G560" s="2" t="str">
        <x:v>3124283</x:v>
      </x:c>
      <x:c r="H560" s="2" t="str">
        <x:v>2048000.0</x:v>
      </x:c>
      <x:c r="I560" s="2" t="str">
        <x:v>8192</x:v>
      </x:c>
      <x:c r="J560" s="2" t="str">
        <x:v>250.0</x:v>
      </x:c>
      <x:c r="K560" s="2" t="str">
        <x:v>2</x:v>
      </x:c>
      <x:c r="L560" s="2" t="str">
        <x:v>3</x:v>
      </x:c>
      <x:c r="M560" s="2" t="str">
        <x:v>2</x:v>
      </x:c>
      <x:c r="N560" s="2" t="str">
        <x:v>1</x:v>
      </x:c>
      <x:c r="O560" s="2" t="str">
        <x:v>0</x:v>
      </x:c>
      <x:c r="P560" s="2" t="str">
        <x:v>true</x:v>
      </x:c>
      <x:c r="Q560" s="2" t="str">
        <x:v>-79.065427623;170.934572377</x:v>
      </x:c>
      <x:c r="R560" s="2" t="str">
        <x:v>14.225791994249448</x:v>
      </x:c>
      <x:c r="S560" s="2" t="str">
        <x:v>48.33227140522152</x:v>
      </x:c>
    </x:row>
    <x:row r="561">
      <x:c r="A561" s="2" t="str">
        <x:v>DE-CMP-01</x:v>
      </x:c>
      <x:c r="B561" s="2" t="str">
        <x:v>CFG-C01</x:v>
      </x:c>
      <x:c r="C561" s="2" t="n">
        <x:v>46227.70238086805</x:v>
      </x:c>
      <x:c r="D561" s="2" t="str">
        <x:v>adaptive</x:v>
      </x:c>
      <x:c r="E561" s="2" t="str">
        <x:v>weak_beside_strong</x:v>
      </x:c>
      <x:c r="F561" s="2" t="str">
        <x:v>280</x:v>
      </x:c>
      <x:c r="G561" s="2" t="str">
        <x:v>3124283</x:v>
      </x:c>
      <x:c r="H561" s="2" t="str">
        <x:v>2048000.0</x:v>
      </x:c>
      <x:c r="I561" s="2" t="str">
        <x:v>8192</x:v>
      </x:c>
      <x:c r="J561" s="2" t="str">
        <x:v>250.0</x:v>
      </x:c>
      <x:c r="K561" s="2" t="str">
        <x:v>2</x:v>
      </x:c>
      <x:c r="L561" s="2" t="str">
        <x:v>3</x:v>
      </x:c>
      <x:c r="M561" s="2" t="str">
        <x:v>2</x:v>
      </x:c>
      <x:c r="N561" s="2" t="str">
        <x:v>1</x:v>
      </x:c>
      <x:c r="O561" s="2" t="str">
        <x:v>0</x:v>
      </x:c>
      <x:c r="P561" s="2" t="str">
        <x:v>true</x:v>
      </x:c>
      <x:c r="Q561" s="2" t="str">
        <x:v>-79.065427623;170.934572377</x:v>
      </x:c>
      <x:c r="R561" s="2" t="str">
        <x:v>0.40958299359772354</x:v>
      </x:c>
      <x:c r="S561" s="2" t="str">
        <x:v>46.18708878524573</x:v>
      </x:c>
    </x:row>
    <x:row r="562">
      <x:c r="A562" s="2" t="str">
        <x:v>DE-CMP-01</x:v>
      </x:c>
      <x:c r="B562" s="2" t="str">
        <x:v>CFG-C01</x:v>
      </x:c>
      <x:c r="C562" s="2" t="n">
        <x:v>46227.70238086805</x:v>
      </x:c>
      <x:c r="D562" s="2" t="str">
        <x:v>adaptive</x:v>
      </x:c>
      <x:c r="E562" s="2" t="str">
        <x:v>weak_beside_strong</x:v>
      </x:c>
      <x:c r="F562" s="2" t="str">
        <x:v>281</x:v>
      </x:c>
      <x:c r="G562" s="2" t="str">
        <x:v>3124284</x:v>
      </x:c>
      <x:c r="H562" s="2" t="str">
        <x:v>2048000.0</x:v>
      </x:c>
      <x:c r="I562" s="2" t="str">
        <x:v>8192</x:v>
      </x:c>
      <x:c r="J562" s="2" t="str">
        <x:v>250.0</x:v>
      </x:c>
      <x:c r="K562" s="2" t="str">
        <x:v>2</x:v>
      </x:c>
      <x:c r="L562" s="2" t="str">
        <x:v>3</x:v>
      </x:c>
      <x:c r="M562" s="2" t="str">
        <x:v>2</x:v>
      </x:c>
      <x:c r="N562" s="2" t="str">
        <x:v>1</x:v>
      </x:c>
      <x:c r="O562" s="2" t="str">
        <x:v>0</x:v>
      </x:c>
      <x:c r="P562" s="2" t="str">
        <x:v>true</x:v>
      </x:c>
      <x:c r="Q562" s="2" t="str">
        <x:v>-99.264775390;-99.264775390</x:v>
      </x:c>
      <x:c r="R562" s="2" t="str">
        <x:v>0.4148330044699833</x:v>
      </x:c>
      <x:c r="S562" s="2" t="str">
        <x:v>46.47854734189978</x:v>
      </x:c>
    </x:row>
    <x:row r="563">
      <x:c r="A563" s="2" t="str">
        <x:v>DE-CMP-01</x:v>
      </x:c>
      <x:c r="B563" s="2" t="str">
        <x:v>CFG-C01</x:v>
      </x:c>
      <x:c r="C563" s="2" t="n">
        <x:v>46227.70238086805</x:v>
      </x:c>
      <x:c r="D563" s="2" t="str">
        <x:v>os_cfar</x:v>
      </x:c>
      <x:c r="E563" s="2" t="str">
        <x:v>weak_beside_strong</x:v>
      </x:c>
      <x:c r="F563" s="2" t="str">
        <x:v>281</x:v>
      </x:c>
      <x:c r="G563" s="2" t="str">
        <x:v>3124284</x:v>
      </x:c>
      <x:c r="H563" s="2" t="str">
        <x:v>2048000.0</x:v>
      </x:c>
      <x:c r="I563" s="2" t="str">
        <x:v>8192</x:v>
      </x:c>
      <x:c r="J563" s="2" t="str">
        <x:v>250.0</x:v>
      </x:c>
      <x:c r="K563" s="2" t="str">
        <x:v>2</x:v>
      </x:c>
      <x:c r="L563" s="2" t="str">
        <x:v>3</x:v>
      </x:c>
      <x:c r="M563" s="2" t="str">
        <x:v>2</x:v>
      </x:c>
      <x:c r="N563" s="2" t="str">
        <x:v>1</x:v>
      </x:c>
      <x:c r="O563" s="2" t="str">
        <x:v>0</x:v>
      </x:c>
      <x:c r="P563" s="2" t="str">
        <x:v>true</x:v>
      </x:c>
      <x:c r="Q563" s="2" t="str">
        <x:v>-99.264775390;-99.264775390</x:v>
      </x:c>
      <x:c r="R563" s="2" t="str">
        <x:v>14.274333996581845</x:v>
      </x:c>
      <x:c r="S563" s="2" t="str">
        <x:v>48.16256706000034</x:v>
      </x:c>
    </x:row>
    <x:row r="564">
      <x:c r="A564" s="2" t="str">
        <x:v>DE-CMP-01</x:v>
      </x:c>
      <x:c r="B564" s="2" t="str">
        <x:v>CFG-C01</x:v>
      </x:c>
      <x:c r="C564" s="2" t="n">
        <x:v>46227.70238086805</x:v>
      </x:c>
      <x:c r="D564" s="2" t="str">
        <x:v>os_cfar</x:v>
      </x:c>
      <x:c r="E564" s="2" t="str">
        <x:v>weak_beside_strong</x:v>
      </x:c>
      <x:c r="F564" s="2" t="str">
        <x:v>282</x:v>
      </x:c>
      <x:c r="G564" s="2" t="str">
        <x:v>3124285</x:v>
      </x:c>
      <x:c r="H564" s="2" t="str">
        <x:v>2048000.0</x:v>
      </x:c>
      <x:c r="I564" s="2" t="str">
        <x:v>8192</x:v>
      </x:c>
      <x:c r="J564" s="2" t="str">
        <x:v>250.0</x:v>
      </x:c>
      <x:c r="K564" s="2" t="str">
        <x:v>2</x:v>
      </x:c>
      <x:c r="L564" s="2" t="str">
        <x:v>3</x:v>
      </x:c>
      <x:c r="M564" s="2" t="str">
        <x:v>2</x:v>
      </x:c>
      <x:c r="N564" s="2" t="str">
        <x:v>1</x:v>
      </x:c>
      <x:c r="O564" s="2" t="str">
        <x:v>0</x:v>
      </x:c>
      <x:c r="P564" s="2" t="str">
        <x:v>true</x:v>
      </x:c>
      <x:c r="Q564" s="2" t="str">
        <x:v>-21.716516964;-21.716516964</x:v>
      </x:c>
      <x:c r="R564" s="2" t="str">
        <x:v>13.785000002826564</x:v>
      </x:c>
      <x:c r="S564" s="2" t="str">
        <x:v>48.24661573804224</x:v>
      </x:c>
    </x:row>
    <x:row r="565">
      <x:c r="A565" s="2" t="str">
        <x:v>DE-CMP-01</x:v>
      </x:c>
      <x:c r="B565" s="2" t="str">
        <x:v>CFG-C01</x:v>
      </x:c>
      <x:c r="C565" s="2" t="n">
        <x:v>46227.70238086805</x:v>
      </x:c>
      <x:c r="D565" s="2" t="str">
        <x:v>adaptive</x:v>
      </x:c>
      <x:c r="E565" s="2" t="str">
        <x:v>weak_beside_strong</x:v>
      </x:c>
      <x:c r="F565" s="2" t="str">
        <x:v>282</x:v>
      </x:c>
      <x:c r="G565" s="2" t="str">
        <x:v>3124285</x:v>
      </x:c>
      <x:c r="H565" s="2" t="str">
        <x:v>2048000.0</x:v>
      </x:c>
      <x:c r="I565" s="2" t="str">
        <x:v>8192</x:v>
      </x:c>
      <x:c r="J565" s="2" t="str">
        <x:v>250.0</x:v>
      </x:c>
      <x:c r="K565" s="2" t="str">
        <x:v>2</x:v>
      </x:c>
      <x:c r="L565" s="2" t="str">
        <x:v>3</x:v>
      </x:c>
      <x:c r="M565" s="2" t="str">
        <x:v>2</x:v>
      </x:c>
      <x:c r="N565" s="2" t="str">
        <x:v>1</x:v>
      </x:c>
      <x:c r="O565" s="2" t="str">
        <x:v>0</x:v>
      </x:c>
      <x:c r="P565" s="2" t="str">
        <x:v>true</x:v>
      </x:c>
      <x:c r="Q565" s="2" t="str">
        <x:v>-21.716516964;-21.716516964</x:v>
      </x:c>
      <x:c r="R565" s="2" t="str">
        <x:v>0.3791250055655837</x:v>
      </x:c>
      <x:c r="S565" s="2" t="str">
        <x:v>46.46669263004434</x:v>
      </x:c>
    </x:row>
    <x:row r="566">
      <x:c r="A566" s="2" t="str">
        <x:v>DE-CMP-01</x:v>
      </x:c>
      <x:c r="B566" s="2" t="str">
        <x:v>CFG-C01</x:v>
      </x:c>
      <x:c r="C566" s="2" t="n">
        <x:v>46227.70238086805</x:v>
      </x:c>
      <x:c r="D566" s="2" t="str">
        <x:v>adaptive</x:v>
      </x:c>
      <x:c r="E566" s="2" t="str">
        <x:v>weak_beside_strong</x:v>
      </x:c>
      <x:c r="F566" s="2" t="str">
        <x:v>283</x:v>
      </x:c>
      <x:c r="G566" s="2" t="str">
        <x:v>3124286</x:v>
      </x:c>
      <x:c r="H566" s="2" t="str">
        <x:v>2048000.0</x:v>
      </x:c>
      <x:c r="I566" s="2" t="str">
        <x:v>8192</x:v>
      </x:c>
      <x:c r="J566" s="2" t="str">
        <x:v>250.0</x:v>
      </x:c>
      <x:c r="K566" s="2" t="str">
        <x:v>2</x:v>
      </x:c>
      <x:c r="L566" s="2" t="str">
        <x:v>3</x:v>
      </x:c>
      <x:c r="M566" s="2" t="str">
        <x:v>2</x:v>
      </x:c>
      <x:c r="N566" s="2" t="str">
        <x:v>1</x:v>
      </x:c>
      <x:c r="O566" s="2" t="str">
        <x:v>0</x:v>
      </x:c>
      <x:c r="P566" s="2" t="str">
        <x:v>true</x:v>
      </x:c>
      <x:c r="Q566" s="2" t="str">
        <x:v>36.792639299;36.792639299</x:v>
      </x:c>
      <x:c r="R566" s="2" t="str">
        <x:v>0.375000003259629</x:v>
      </x:c>
      <x:c r="S566" s="2" t="str">
        <x:v>46.427827153709785</x:v>
      </x:c>
    </x:row>
    <x:row r="567">
      <x:c r="A567" s="2" t="str">
        <x:v>DE-CMP-01</x:v>
      </x:c>
      <x:c r="B567" s="2" t="str">
        <x:v>CFG-C01</x:v>
      </x:c>
      <x:c r="C567" s="2" t="n">
        <x:v>46227.70238086805</x:v>
      </x:c>
      <x:c r="D567" s="2" t="str">
        <x:v>os_cfar</x:v>
      </x:c>
      <x:c r="E567" s="2" t="str">
        <x:v>weak_beside_strong</x:v>
      </x:c>
      <x:c r="F567" s="2" t="str">
        <x:v>283</x:v>
      </x:c>
      <x:c r="G567" s="2" t="str">
        <x:v>3124286</x:v>
      </x:c>
      <x:c r="H567" s="2" t="str">
        <x:v>2048000.0</x:v>
      </x:c>
      <x:c r="I567" s="2" t="str">
        <x:v>8192</x:v>
      </x:c>
      <x:c r="J567" s="2" t="str">
        <x:v>250.0</x:v>
      </x:c>
      <x:c r="K567" s="2" t="str">
        <x:v>2</x:v>
      </x:c>
      <x:c r="L567" s="2" t="str">
        <x:v>3</x:v>
      </x:c>
      <x:c r="M567" s="2" t="str">
        <x:v>2</x:v>
      </x:c>
      <x:c r="N567" s="2" t="str">
        <x:v>1</x:v>
      </x:c>
      <x:c r="O567" s="2" t="str">
        <x:v>0</x:v>
      </x:c>
      <x:c r="P567" s="2" t="str">
        <x:v>true</x:v>
      </x:c>
      <x:c r="Q567" s="2" t="str">
        <x:v>36.792639299;36.792639299</x:v>
      </x:c>
      <x:c r="R567" s="2" t="str">
        <x:v>13.973124994663522</x:v>
      </x:c>
      <x:c r="S567" s="2" t="str">
        <x:v>48.14442221637062</x:v>
      </x:c>
    </x:row>
    <x:row r="568">
      <x:c r="A568" s="2" t="str">
        <x:v>DE-CMP-01</x:v>
      </x:c>
      <x:c r="B568" s="2" t="str">
        <x:v>CFG-C01</x:v>
      </x:c>
      <x:c r="C568" s="2" t="n">
        <x:v>46227.70238086805</x:v>
      </x:c>
      <x:c r="D568" s="2" t="str">
        <x:v>os_cfar</x:v>
      </x:c>
      <x:c r="E568" s="2" t="str">
        <x:v>weak_beside_strong</x:v>
      </x:c>
      <x:c r="F568" s="2" t="str">
        <x:v>284</x:v>
      </x:c>
      <x:c r="G568" s="2" t="str">
        <x:v>3124287</x:v>
      </x:c>
      <x:c r="H568" s="2" t="str">
        <x:v>2048000.0</x:v>
      </x:c>
      <x:c r="I568" s="2" t="str">
        <x:v>8192</x:v>
      </x:c>
      <x:c r="J568" s="2" t="str">
        <x:v>250.0</x:v>
      </x:c>
      <x:c r="K568" s="2" t="str">
        <x:v>2</x:v>
      </x:c>
      <x:c r="L568" s="2" t="str">
        <x:v>3</x:v>
      </x:c>
      <x:c r="M568" s="2" t="str">
        <x:v>2</x:v>
      </x:c>
      <x:c r="N568" s="2" t="str">
        <x:v>1</x:v>
      </x:c>
      <x:c r="O568" s="2" t="str">
        <x:v>0</x:v>
      </x:c>
      <x:c r="P568" s="2" t="str">
        <x:v>true</x:v>
      </x:c>
      <x:c r="Q568" s="2" t="str">
        <x:v>32.647416750;32.647416750</x:v>
      </x:c>
      <x:c r="R568" s="2" t="str">
        <x:v>14.03241699154023</x:v>
      </x:c>
      <x:c r="S568" s="2" t="str">
        <x:v>48.0592133320942</x:v>
      </x:c>
    </x:row>
    <x:row r="569">
      <x:c r="A569" s="2" t="str">
        <x:v>DE-CMP-01</x:v>
      </x:c>
      <x:c r="B569" s="2" t="str">
        <x:v>CFG-C01</x:v>
      </x:c>
      <x:c r="C569" s="2" t="n">
        <x:v>46227.70238086805</x:v>
      </x:c>
      <x:c r="D569" s="2" t="str">
        <x:v>adaptive</x:v>
      </x:c>
      <x:c r="E569" s="2" t="str">
        <x:v>weak_beside_strong</x:v>
      </x:c>
      <x:c r="F569" s="2" t="str">
        <x:v>284</x:v>
      </x:c>
      <x:c r="G569" s="2" t="str">
        <x:v>3124287</x:v>
      </x:c>
      <x:c r="H569" s="2" t="str">
        <x:v>2048000.0</x:v>
      </x:c>
      <x:c r="I569" s="2" t="str">
        <x:v>8192</x:v>
      </x:c>
      <x:c r="J569" s="2" t="str">
        <x:v>250.0</x:v>
      </x:c>
      <x:c r="K569" s="2" t="str">
        <x:v>2</x:v>
      </x:c>
      <x:c r="L569" s="2" t="str">
        <x:v>3</x:v>
      </x:c>
      <x:c r="M569" s="2" t="str">
        <x:v>2</x:v>
      </x:c>
      <x:c r="N569" s="2" t="str">
        <x:v>1</x:v>
      </x:c>
      <x:c r="O569" s="2" t="str">
        <x:v>0</x:v>
      </x:c>
      <x:c r="P569" s="2" t="str">
        <x:v>true</x:v>
      </x:c>
      <x:c r="Q569" s="2" t="str">
        <x:v>32.647416750;32.647416750</x:v>
      </x:c>
      <x:c r="R569" s="2" t="str">
        <x:v>0.428374987677671</x:v>
      </x:c>
      <x:c r="S569" s="2" t="str">
        <x:v>46.3578607898874</x:v>
      </x:c>
    </x:row>
    <x:row r="570">
      <x:c r="A570" s="2" t="str">
        <x:v>DE-CMP-01</x:v>
      </x:c>
      <x:c r="B570" s="2" t="str">
        <x:v>CFG-C01</x:v>
      </x:c>
      <x:c r="C570" s="2" t="n">
        <x:v>46227.70238086805</x:v>
      </x:c>
      <x:c r="D570" s="2" t="str">
        <x:v>adaptive</x:v>
      </x:c>
      <x:c r="E570" s="2" t="str">
        <x:v>weak_beside_strong</x:v>
      </x:c>
      <x:c r="F570" s="2" t="str">
        <x:v>285</x:v>
      </x:c>
      <x:c r="G570" s="2" t="str">
        <x:v>3124288</x:v>
      </x:c>
      <x:c r="H570" s="2" t="str">
        <x:v>2048000.0</x:v>
      </x:c>
      <x:c r="I570" s="2" t="str">
        <x:v>8192</x:v>
      </x:c>
      <x:c r="J570" s="2" t="str">
        <x:v>250.0</x:v>
      </x:c>
      <x:c r="K570" s="2" t="str">
        <x:v>2</x:v>
      </x:c>
      <x:c r="L570" s="2" t="str">
        <x:v>3</x:v>
      </x:c>
      <x:c r="M570" s="2" t="str">
        <x:v>2</x:v>
      </x:c>
      <x:c r="N570" s="2" t="str">
        <x:v>1</x:v>
      </x:c>
      <x:c r="O570" s="2" t="str">
        <x:v>0</x:v>
      </x:c>
      <x:c r="P570" s="2" t="str">
        <x:v>true</x:v>
      </x:c>
      <x:c r="Q570" s="2" t="str">
        <x:v>-3.256650398;-3.256650398</x:v>
      </x:c>
      <x:c r="R570" s="2" t="str">
        <x:v>0.4199170070933178</x:v>
      </x:c>
      <x:c r="S570" s="2" t="str">
        <x:v>46.44199314637192</x:v>
      </x:c>
    </x:row>
    <x:row r="571">
      <x:c r="A571" s="2" t="str">
        <x:v>DE-CMP-01</x:v>
      </x:c>
      <x:c r="B571" s="2" t="str">
        <x:v>CFG-C01</x:v>
      </x:c>
      <x:c r="C571" s="2" t="n">
        <x:v>46227.70238086805</x:v>
      </x:c>
      <x:c r="D571" s="2" t="str">
        <x:v>os_cfar</x:v>
      </x:c>
      <x:c r="E571" s="2" t="str">
        <x:v>weak_beside_strong</x:v>
      </x:c>
      <x:c r="F571" s="2" t="str">
        <x:v>285</x:v>
      </x:c>
      <x:c r="G571" s="2" t="str">
        <x:v>3124288</x:v>
      </x:c>
      <x:c r="H571" s="2" t="str">
        <x:v>2048000.0</x:v>
      </x:c>
      <x:c r="I571" s="2" t="str">
        <x:v>8192</x:v>
      </x:c>
      <x:c r="J571" s="2" t="str">
        <x:v>250.0</x:v>
      </x:c>
      <x:c r="K571" s="2" t="str">
        <x:v>2</x:v>
      </x:c>
      <x:c r="L571" s="2" t="str">
        <x:v>3</x:v>
      </x:c>
      <x:c r="M571" s="2" t="str">
        <x:v>2</x:v>
      </x:c>
      <x:c r="N571" s="2" t="str">
        <x:v>1</x:v>
      </x:c>
      <x:c r="O571" s="2" t="str">
        <x:v>0</x:v>
      </x:c>
      <x:c r="P571" s="2" t="str">
        <x:v>true</x:v>
      </x:c>
      <x:c r="Q571" s="2" t="str">
        <x:v>-3.256650398;-3.256650398</x:v>
      </x:c>
      <x:c r="R571" s="2" t="str">
        <x:v>14.111750002484769</x:v>
      </x:c>
      <x:c r="S571" s="2" t="str">
        <x:v>48.2138979748141</x:v>
      </x:c>
    </x:row>
    <x:row r="572">
      <x:c r="A572" s="2" t="str">
        <x:v>DE-CMP-01</x:v>
      </x:c>
      <x:c r="B572" s="2" t="str">
        <x:v>CFG-C01</x:v>
      </x:c>
      <x:c r="C572" s="2" t="n">
        <x:v>46227.70238086805</x:v>
      </x:c>
      <x:c r="D572" s="2" t="str">
        <x:v>os_cfar</x:v>
      </x:c>
      <x:c r="E572" s="2" t="str">
        <x:v>weak_beside_strong</x:v>
      </x:c>
      <x:c r="F572" s="2" t="str">
        <x:v>286</x:v>
      </x:c>
      <x:c r="G572" s="2" t="str">
        <x:v>3124289</x:v>
      </x:c>
      <x:c r="H572" s="2" t="str">
        <x:v>2048000.0</x:v>
      </x:c>
      <x:c r="I572" s="2" t="str">
        <x:v>8192</x:v>
      </x:c>
      <x:c r="J572" s="2" t="str">
        <x:v>250.0</x:v>
      </x:c>
      <x:c r="K572" s="2" t="str">
        <x:v>2</x:v>
      </x:c>
      <x:c r="L572" s="2" t="str">
        <x:v>3</x:v>
      </x:c>
      <x:c r="M572" s="2" t="str">
        <x:v>2</x:v>
      </x:c>
      <x:c r="N572" s="2" t="str">
        <x:v>1</x:v>
      </x:c>
      <x:c r="O572" s="2" t="str">
        <x:v>0</x:v>
      </x:c>
      <x:c r="P572" s="2" t="str">
        <x:v>true</x:v>
      </x:c>
      <x:c r="Q572" s="2" t="str">
        <x:v>-42.761985213;-42.761985213</x:v>
      </x:c>
      <x:c r="R572" s="2" t="str">
        <x:v>14.07995900081005</x:v>
      </x:c>
      <x:c r="S572" s="2" t="str">
        <x:v>48.24344477179305</x:v>
      </x:c>
    </x:row>
    <x:row r="573">
      <x:c r="A573" s="2" t="str">
        <x:v>DE-CMP-01</x:v>
      </x:c>
      <x:c r="B573" s="2" t="str">
        <x:v>CFG-C01</x:v>
      </x:c>
      <x:c r="C573" s="2" t="n">
        <x:v>46227.70238086805</x:v>
      </x:c>
      <x:c r="D573" s="2" t="str">
        <x:v>adaptive</x:v>
      </x:c>
      <x:c r="E573" s="2" t="str">
        <x:v>weak_beside_strong</x:v>
      </x:c>
      <x:c r="F573" s="2" t="str">
        <x:v>286</x:v>
      </x:c>
      <x:c r="G573" s="2" t="str">
        <x:v>3124289</x:v>
      </x:c>
      <x:c r="H573" s="2" t="str">
        <x:v>2048000.0</x:v>
      </x:c>
      <x:c r="I573" s="2" t="str">
        <x:v>8192</x:v>
      </x:c>
      <x:c r="J573" s="2" t="str">
        <x:v>250.0</x:v>
      </x:c>
      <x:c r="K573" s="2" t="str">
        <x:v>2</x:v>
      </x:c>
      <x:c r="L573" s="2" t="str">
        <x:v>3</x:v>
      </x:c>
      <x:c r="M573" s="2" t="str">
        <x:v>2</x:v>
      </x:c>
      <x:c r="N573" s="2" t="str">
        <x:v>1</x:v>
      </x:c>
      <x:c r="O573" s="2" t="str">
        <x:v>0</x:v>
      </x:c>
      <x:c r="P573" s="2" t="str">
        <x:v>true</x:v>
      </x:c>
      <x:c r="Q573" s="2" t="str">
        <x:v>-42.761985213;-42.761985213</x:v>
      </x:c>
      <x:c r="R573" s="2" t="str">
        <x:v>0.4013339930679649</x:v>
      </x:c>
      <x:c r="S573" s="2" t="str">
        <x:v>46.422436146277654</x:v>
      </x:c>
    </x:row>
    <x:row r="574">
      <x:c r="A574" s="2" t="str">
        <x:v>DE-CMP-01</x:v>
      </x:c>
      <x:c r="B574" s="2" t="str">
        <x:v>CFG-C01</x:v>
      </x:c>
      <x:c r="C574" s="2" t="n">
        <x:v>46227.70238086805</x:v>
      </x:c>
      <x:c r="D574" s="2" t="str">
        <x:v>adaptive</x:v>
      </x:c>
      <x:c r="E574" s="2" t="str">
        <x:v>weak_beside_strong</x:v>
      </x:c>
      <x:c r="F574" s="2" t="str">
        <x:v>287</x:v>
      </x:c>
      <x:c r="G574" s="2" t="str">
        <x:v>3124290</x:v>
      </x:c>
      <x:c r="H574" s="2" t="str">
        <x:v>2048000.0</x:v>
      </x:c>
      <x:c r="I574" s="2" t="str">
        <x:v>8192</x:v>
      </x:c>
      <x:c r="J574" s="2" t="str">
        <x:v>250.0</x:v>
      </x:c>
      <x:c r="K574" s="2" t="str">
        <x:v>2</x:v>
      </x:c>
      <x:c r="L574" s="2" t="str">
        <x:v>3</x:v>
      </x:c>
      <x:c r="M574" s="2" t="str">
        <x:v>2</x:v>
      </x:c>
      <x:c r="N574" s="2" t="str">
        <x:v>1</x:v>
      </x:c>
      <x:c r="O574" s="2" t="str">
        <x:v>0</x:v>
      </x:c>
      <x:c r="P574" s="2" t="str">
        <x:v>true</x:v>
      </x:c>
      <x:c r="Q574" s="2" t="str">
        <x:v>27.535501592;27.535501592</x:v>
      </x:c>
      <x:c r="R574" s="2" t="str">
        <x:v>0.3989590040873736</x:v>
      </x:c>
      <x:c r="S574" s="2" t="str">
        <x:v>46.604255063834835</x:v>
      </x:c>
    </x:row>
    <x:row r="575">
      <x:c r="A575" s="2" t="str">
        <x:v>DE-CMP-01</x:v>
      </x:c>
      <x:c r="B575" s="2" t="str">
        <x:v>CFG-C01</x:v>
      </x:c>
      <x:c r="C575" s="2" t="n">
        <x:v>46227.70238086805</x:v>
      </x:c>
      <x:c r="D575" s="2" t="str">
        <x:v>os_cfar</x:v>
      </x:c>
      <x:c r="E575" s="2" t="str">
        <x:v>weak_beside_strong</x:v>
      </x:c>
      <x:c r="F575" s="2" t="str">
        <x:v>287</x:v>
      </x:c>
      <x:c r="G575" s="2" t="str">
        <x:v>3124290</x:v>
      </x:c>
      <x:c r="H575" s="2" t="str">
        <x:v>2048000.0</x:v>
      </x:c>
      <x:c r="I575" s="2" t="str">
        <x:v>8192</x:v>
      </x:c>
      <x:c r="J575" s="2" t="str">
        <x:v>250.0</x:v>
      </x:c>
      <x:c r="K575" s="2" t="str">
        <x:v>2</x:v>
      </x:c>
      <x:c r="L575" s="2" t="str">
        <x:v>3</x:v>
      </x:c>
      <x:c r="M575" s="2" t="str">
        <x:v>2</x:v>
      </x:c>
      <x:c r="N575" s="2" t="str">
        <x:v>1</x:v>
      </x:c>
      <x:c r="O575" s="2" t="str">
        <x:v>0</x:v>
      </x:c>
      <x:c r="P575" s="2" t="str">
        <x:v>true</x:v>
      </x:c>
      <x:c r="Q575" s="2" t="str">
        <x:v>27.535501592;27.535501592</x:v>
      </x:c>
      <x:c r="R575" s="2" t="str">
        <x:v>14.150125003652647</x:v>
      </x:c>
      <x:c r="S575" s="2" t="str">
        <x:v>48.243748800262416</x:v>
      </x:c>
    </x:row>
    <x:row r="576">
      <x:c r="A576" s="2" t="str">
        <x:v>DE-CMP-01</x:v>
      </x:c>
      <x:c r="B576" s="2" t="str">
        <x:v>CFG-C01</x:v>
      </x:c>
      <x:c r="C576" s="2" t="n">
        <x:v>46227.70238086805</x:v>
      </x:c>
      <x:c r="D576" s="2" t="str">
        <x:v>os_cfar</x:v>
      </x:c>
      <x:c r="E576" s="2" t="str">
        <x:v>weak_beside_strong</x:v>
      </x:c>
      <x:c r="F576" s="2" t="str">
        <x:v>288</x:v>
      </x:c>
      <x:c r="G576" s="2" t="str">
        <x:v>3124291</x:v>
      </x:c>
      <x:c r="H576" s="2" t="str">
        <x:v>2048000.0</x:v>
      </x:c>
      <x:c r="I576" s="2" t="str">
        <x:v>8192</x:v>
      </x:c>
      <x:c r="J576" s="2" t="str">
        <x:v>250.0</x:v>
      </x:c>
      <x:c r="K576" s="2" t="str">
        <x:v>2</x:v>
      </x:c>
      <x:c r="L576" s="2" t="str">
        <x:v>3</x:v>
      </x:c>
      <x:c r="M576" s="2" t="str">
        <x:v>2</x:v>
      </x:c>
      <x:c r="N576" s="2" t="str">
        <x:v>1</x:v>
      </x:c>
      <x:c r="O576" s="2" t="str">
        <x:v>0</x:v>
      </x:c>
      <x:c r="P576" s="2" t="str">
        <x:v>true</x:v>
      </x:c>
      <x:c r="Q576" s="2" t="str">
        <x:v>53.524462335;53.524462335</x:v>
      </x:c>
      <x:c r="R576" s="2" t="str">
        <x:v>13.914625000325032</x:v>
      </x:c>
      <x:c r="S576" s="2" t="str">
        <x:v>48.19255747160045</x:v>
      </x:c>
    </x:row>
    <x:row r="577">
      <x:c r="A577" s="2" t="str">
        <x:v>DE-CMP-01</x:v>
      </x:c>
      <x:c r="B577" s="2" t="str">
        <x:v>CFG-C01</x:v>
      </x:c>
      <x:c r="C577" s="2" t="n">
        <x:v>46227.70238086805</x:v>
      </x:c>
      <x:c r="D577" s="2" t="str">
        <x:v>adaptive</x:v>
      </x:c>
      <x:c r="E577" s="2" t="str">
        <x:v>weak_beside_strong</x:v>
      </x:c>
      <x:c r="F577" s="2" t="str">
        <x:v>288</x:v>
      </x:c>
      <x:c r="G577" s="2" t="str">
        <x:v>3124291</x:v>
      </x:c>
      <x:c r="H577" s="2" t="str">
        <x:v>2048000.0</x:v>
      </x:c>
      <x:c r="I577" s="2" t="str">
        <x:v>8192</x:v>
      </x:c>
      <x:c r="J577" s="2" t="str">
        <x:v>250.0</x:v>
      </x:c>
      <x:c r="K577" s="2" t="str">
        <x:v>2</x:v>
      </x:c>
      <x:c r="L577" s="2" t="str">
        <x:v>3</x:v>
      </x:c>
      <x:c r="M577" s="2" t="str">
        <x:v>2</x:v>
      </x:c>
      <x:c r="N577" s="2" t="str">
        <x:v>1</x:v>
      </x:c>
      <x:c r="O577" s="2" t="str">
        <x:v>0</x:v>
      </x:c>
      <x:c r="P577" s="2" t="str">
        <x:v>true</x:v>
      </x:c>
      <x:c r="Q577" s="2" t="str">
        <x:v>53.524462335;53.524462335</x:v>
      </x:c>
      <x:c r="R577" s="2" t="str">
        <x:v>0.4223750001983717</x:v>
      </x:c>
      <x:c r="S577" s="2" t="str">
        <x:v>46.25335819838495</x:v>
      </x:c>
    </x:row>
    <x:row r="578">
      <x:c r="A578" s="2" t="str">
        <x:v>DE-CMP-01</x:v>
      </x:c>
      <x:c r="B578" s="2" t="str">
        <x:v>CFG-C01</x:v>
      </x:c>
      <x:c r="C578" s="2" t="n">
        <x:v>46227.70238086805</x:v>
      </x:c>
      <x:c r="D578" s="2" t="str">
        <x:v>adaptive</x:v>
      </x:c>
      <x:c r="E578" s="2" t="str">
        <x:v>weak_beside_strong</x:v>
      </x:c>
      <x:c r="F578" s="2" t="str">
        <x:v>289</x:v>
      </x:c>
      <x:c r="G578" s="2" t="str">
        <x:v>3124292</x:v>
      </x:c>
      <x:c r="H578" s="2" t="str">
        <x:v>2048000.0</x:v>
      </x:c>
      <x:c r="I578" s="2" t="str">
        <x:v>8192</x:v>
      </x:c>
      <x:c r="J578" s="2" t="str">
        <x:v>250.0</x:v>
      </x:c>
      <x:c r="K578" s="2" t="str">
        <x:v>2</x:v>
      </x:c>
      <x:c r="L578" s="2" t="str">
        <x:v>3</x:v>
      </x:c>
      <x:c r="M578" s="2" t="str">
        <x:v>2</x:v>
      </x:c>
      <x:c r="N578" s="2" t="str">
        <x:v>1</x:v>
      </x:c>
      <x:c r="O578" s="2" t="str">
        <x:v>0</x:v>
      </x:c>
      <x:c r="P578" s="2" t="str">
        <x:v>true</x:v>
      </x:c>
      <x:c r="Q578" s="2" t="str">
        <x:v>102.097271416;102.097271416</x:v>
      </x:c>
      <x:c r="R578" s="2" t="str">
        <x:v>0.418958006775938</x:v>
      </x:c>
      <x:c r="S578" s="2" t="str">
        <x:v>46.47915901314663</x:v>
      </x:c>
    </x:row>
    <x:row r="579">
      <x:c r="A579" s="2" t="str">
        <x:v>DE-CMP-01</x:v>
      </x:c>
      <x:c r="B579" s="2" t="str">
        <x:v>CFG-C01</x:v>
      </x:c>
      <x:c r="C579" s="2" t="n">
        <x:v>46227.70238086805</x:v>
      </x:c>
      <x:c r="D579" s="2" t="str">
        <x:v>os_cfar</x:v>
      </x:c>
      <x:c r="E579" s="2" t="str">
        <x:v>weak_beside_strong</x:v>
      </x:c>
      <x:c r="F579" s="2" t="str">
        <x:v>289</x:v>
      </x:c>
      <x:c r="G579" s="2" t="str">
        <x:v>3124292</x:v>
      </x:c>
      <x:c r="H579" s="2" t="str">
        <x:v>2048000.0</x:v>
      </x:c>
      <x:c r="I579" s="2" t="str">
        <x:v>8192</x:v>
      </x:c>
      <x:c r="J579" s="2" t="str">
        <x:v>250.0</x:v>
      </x:c>
      <x:c r="K579" s="2" t="str">
        <x:v>2</x:v>
      </x:c>
      <x:c r="L579" s="2" t="str">
        <x:v>3</x:v>
      </x:c>
      <x:c r="M579" s="2" t="str">
        <x:v>2</x:v>
      </x:c>
      <x:c r="N579" s="2" t="str">
        <x:v>1</x:v>
      </x:c>
      <x:c r="O579" s="2" t="str">
        <x:v>0</x:v>
      </x:c>
      <x:c r="P579" s="2" t="str">
        <x:v>true</x:v>
      </x:c>
      <x:c r="Q579" s="2" t="str">
        <x:v>102.097271416;102.097271416</x:v>
      </x:c>
      <x:c r="R579" s="2" t="str">
        <x:v>14.20775000588037</x:v>
      </x:c>
      <x:c r="S579" s="2" t="str">
        <x:v>48.18136799863293</x:v>
      </x:c>
    </x:row>
    <x:row r="580">
      <x:c r="A580" s="2" t="str">
        <x:v>DE-CMP-01</x:v>
      </x:c>
      <x:c r="B580" s="2" t="str">
        <x:v>CFG-C01</x:v>
      </x:c>
      <x:c r="C580" s="2" t="n">
        <x:v>46227.70238086805</x:v>
      </x:c>
      <x:c r="D580" s="2" t="str">
        <x:v>os_cfar</x:v>
      </x:c>
      <x:c r="E580" s="2" t="str">
        <x:v>weak_beside_strong</x:v>
      </x:c>
      <x:c r="F580" s="2" t="str">
        <x:v>290</x:v>
      </x:c>
      <x:c r="G580" s="2" t="str">
        <x:v>3124293</x:v>
      </x:c>
      <x:c r="H580" s="2" t="str">
        <x:v>2048000.0</x:v>
      </x:c>
      <x:c r="I580" s="2" t="str">
        <x:v>8192</x:v>
      </x:c>
      <x:c r="J580" s="2" t="str">
        <x:v>250.0</x:v>
      </x:c>
      <x:c r="K580" s="2" t="str">
        <x:v>2</x:v>
      </x:c>
      <x:c r="L580" s="2" t="str">
        <x:v>3</x:v>
      </x:c>
      <x:c r="M580" s="2" t="str">
        <x:v>2</x:v>
      </x:c>
      <x:c r="N580" s="2" t="str">
        <x:v>1</x:v>
      </x:c>
      <x:c r="O580" s="2" t="str">
        <x:v>0</x:v>
      </x:c>
      <x:c r="P580" s="2" t="str">
        <x:v>true</x:v>
      </x:c>
      <x:c r="Q580" s="2" t="str">
        <x:v>-99.047538033;150.952461967</x:v>
      </x:c>
      <x:c r="R580" s="2" t="str">
        <x:v>14.4242079986725</x:v>
      </x:c>
      <x:c r="S580" s="2" t="str">
        <x:v>48.13240327249559</x:v>
      </x:c>
    </x:row>
    <x:row r="581">
      <x:c r="A581" s="2" t="str">
        <x:v>DE-CMP-01</x:v>
      </x:c>
      <x:c r="B581" s="2" t="str">
        <x:v>CFG-C01</x:v>
      </x:c>
      <x:c r="C581" s="2" t="n">
        <x:v>46227.70238086805</x:v>
      </x:c>
      <x:c r="D581" s="2" t="str">
        <x:v>adaptive</x:v>
      </x:c>
      <x:c r="E581" s="2" t="str">
        <x:v>weak_beside_strong</x:v>
      </x:c>
      <x:c r="F581" s="2" t="str">
        <x:v>290</x:v>
      </x:c>
      <x:c r="G581" s="2" t="str">
        <x:v>3124293</x:v>
      </x:c>
      <x:c r="H581" s="2" t="str">
        <x:v>2048000.0</x:v>
      </x:c>
      <x:c r="I581" s="2" t="str">
        <x:v>8192</x:v>
      </x:c>
      <x:c r="J581" s="2" t="str">
        <x:v>250.0</x:v>
      </x:c>
      <x:c r="K581" s="2" t="str">
        <x:v>2</x:v>
      </x:c>
      <x:c r="L581" s="2" t="str">
        <x:v>3</x:v>
      </x:c>
      <x:c r="M581" s="2" t="str">
        <x:v>2</x:v>
      </x:c>
      <x:c r="N581" s="2" t="str">
        <x:v>1</x:v>
      </x:c>
      <x:c r="O581" s="2" t="str">
        <x:v>0</x:v>
      </x:c>
      <x:c r="P581" s="2" t="str">
        <x:v>true</x:v>
      </x:c>
      <x:c r="Q581" s="2" t="str">
        <x:v>-99.047538033;150.952461967</x:v>
      </x:c>
      <x:c r="R581" s="2" t="str">
        <x:v>0.4437079915078357</x:v>
      </x:c>
      <x:c r="S581" s="2" t="str">
        <x:v>46.36770103262193</x:v>
      </x:c>
    </x:row>
    <x:row r="582">
      <x:c r="A582" s="2" t="str">
        <x:v>DE-CMP-01</x:v>
      </x:c>
      <x:c r="B582" s="2" t="str">
        <x:v>CFG-C01</x:v>
      </x:c>
      <x:c r="C582" s="2" t="n">
        <x:v>46227.70238086805</x:v>
      </x:c>
      <x:c r="D582" s="2" t="str">
        <x:v>adaptive</x:v>
      </x:c>
      <x:c r="E582" s="2" t="str">
        <x:v>weak_beside_strong</x:v>
      </x:c>
      <x:c r="F582" s="2" t="str">
        <x:v>291</x:v>
      </x:c>
      <x:c r="G582" s="2" t="str">
        <x:v>3124294</x:v>
      </x:c>
      <x:c r="H582" s="2" t="str">
        <x:v>2048000.0</x:v>
      </x:c>
      <x:c r="I582" s="2" t="str">
        <x:v>8192</x:v>
      </x:c>
      <x:c r="J582" s="2" t="str">
        <x:v>250.0</x:v>
      </x:c>
      <x:c r="K582" s="2" t="str">
        <x:v>2</x:v>
      </x:c>
      <x:c r="L582" s="2" t="str">
        <x:v>3</x:v>
      </x:c>
      <x:c r="M582" s="2" t="str">
        <x:v>2</x:v>
      </x:c>
      <x:c r="N582" s="2" t="str">
        <x:v>1</x:v>
      </x:c>
      <x:c r="O582" s="2" t="str">
        <x:v>0</x:v>
      </x:c>
      <x:c r="P582" s="2" t="str">
        <x:v>true</x:v>
      </x:c>
      <x:c r="Q582" s="2" t="str">
        <x:v>5.079969451;5.079969451</x:v>
      </x:c>
      <x:c r="R582" s="2" t="str">
        <x:v>0.44645801244769245</x:v>
      </x:c>
      <x:c r="S582" s="2" t="str">
        <x:v>46.27852134562574</x:v>
      </x:c>
    </x:row>
    <x:row r="583">
      <x:c r="A583" s="2" t="str">
        <x:v>DE-CMP-01</x:v>
      </x:c>
      <x:c r="B583" s="2" t="str">
        <x:v>CFG-C01</x:v>
      </x:c>
      <x:c r="C583" s="2" t="n">
        <x:v>46227.70238086805</x:v>
      </x:c>
      <x:c r="D583" s="2" t="str">
        <x:v>os_cfar</x:v>
      </x:c>
      <x:c r="E583" s="2" t="str">
        <x:v>weak_beside_strong</x:v>
      </x:c>
      <x:c r="F583" s="2" t="str">
        <x:v>291</x:v>
      </x:c>
      <x:c r="G583" s="2" t="str">
        <x:v>3124294</x:v>
      </x:c>
      <x:c r="H583" s="2" t="str">
        <x:v>2048000.0</x:v>
      </x:c>
      <x:c r="I583" s="2" t="str">
        <x:v>8192</x:v>
      </x:c>
      <x:c r="J583" s="2" t="str">
        <x:v>250.0</x:v>
      </x:c>
      <x:c r="K583" s="2" t="str">
        <x:v>2</x:v>
      </x:c>
      <x:c r="L583" s="2" t="str">
        <x:v>3</x:v>
      </x:c>
      <x:c r="M583" s="2" t="str">
        <x:v>2</x:v>
      </x:c>
      <x:c r="N583" s="2" t="str">
        <x:v>1</x:v>
      </x:c>
      <x:c r="O583" s="2" t="str">
        <x:v>0</x:v>
      </x:c>
      <x:c r="P583" s="2" t="str">
        <x:v>true</x:v>
      </x:c>
      <x:c r="Q583" s="2" t="str">
        <x:v>5.079969451;5.079969451</x:v>
      </x:c>
      <x:c r="R583" s="2" t="str">
        <x:v>14.456125005381182</x:v>
      </x:c>
      <x:c r="S583" s="2" t="str">
        <x:v>48.113016489487926</x:v>
      </x:c>
    </x:row>
    <x:row r="584">
      <x:c r="A584" s="2" t="str">
        <x:v>DE-CMP-01</x:v>
      </x:c>
      <x:c r="B584" s="2" t="str">
        <x:v>CFG-C01</x:v>
      </x:c>
      <x:c r="C584" s="2" t="n">
        <x:v>46227.70238086805</x:v>
      </x:c>
      <x:c r="D584" s="2" t="str">
        <x:v>os_cfar</x:v>
      </x:c>
      <x:c r="E584" s="2" t="str">
        <x:v>weak_beside_strong</x:v>
      </x:c>
      <x:c r="F584" s="2" t="str">
        <x:v>292</x:v>
      </x:c>
      <x:c r="G584" s="2" t="str">
        <x:v>3124295</x:v>
      </x:c>
      <x:c r="H584" s="2" t="str">
        <x:v>2048000.0</x:v>
      </x:c>
      <x:c r="I584" s="2" t="str">
        <x:v>8192</x:v>
      </x:c>
      <x:c r="J584" s="2" t="str">
        <x:v>250.0</x:v>
      </x:c>
      <x:c r="K584" s="2" t="str">
        <x:v>2</x:v>
      </x:c>
      <x:c r="L584" s="2" t="str">
        <x:v>3</x:v>
      </x:c>
      <x:c r="M584" s="2" t="str">
        <x:v>2</x:v>
      </x:c>
      <x:c r="N584" s="2" t="str">
        <x:v>1</x:v>
      </x:c>
      <x:c r="O584" s="2" t="str">
        <x:v>0</x:v>
      </x:c>
      <x:c r="P584" s="2" t="str">
        <x:v>true</x:v>
      </x:c>
      <x:c r="Q584" s="2" t="str">
        <x:v>24.490206349;24.490206349</x:v>
      </x:c>
      <x:c r="R584" s="2" t="str">
        <x:v>14.408249990083277</x:v>
      </x:c>
      <x:c r="S584" s="2" t="str">
        <x:v>48.291619211582315</x:v>
      </x:c>
    </x:row>
    <x:row r="585">
      <x:c r="A585" s="2" t="str">
        <x:v>DE-CMP-01</x:v>
      </x:c>
      <x:c r="B585" s="2" t="str">
        <x:v>CFG-C01</x:v>
      </x:c>
      <x:c r="C585" s="2" t="n">
        <x:v>46227.70238086805</x:v>
      </x:c>
      <x:c r="D585" s="2" t="str">
        <x:v>adaptive</x:v>
      </x:c>
      <x:c r="E585" s="2" t="str">
        <x:v>weak_beside_strong</x:v>
      </x:c>
      <x:c r="F585" s="2" t="str">
        <x:v>292</x:v>
      </x:c>
      <x:c r="G585" s="2" t="str">
        <x:v>3124295</x:v>
      </x:c>
      <x:c r="H585" s="2" t="str">
        <x:v>2048000.0</x:v>
      </x:c>
      <x:c r="I585" s="2" t="str">
        <x:v>8192</x:v>
      </x:c>
      <x:c r="J585" s="2" t="str">
        <x:v>250.0</x:v>
      </x:c>
      <x:c r="K585" s="2" t="str">
        <x:v>2</x:v>
      </x:c>
      <x:c r="L585" s="2" t="str">
        <x:v>3</x:v>
      </x:c>
      <x:c r="M585" s="2" t="str">
        <x:v>2</x:v>
      </x:c>
      <x:c r="N585" s="2" t="str">
        <x:v>1</x:v>
      </x:c>
      <x:c r="O585" s="2" t="str">
        <x:v>0</x:v>
      </x:c>
      <x:c r="P585" s="2" t="str">
        <x:v>true</x:v>
      </x:c>
      <x:c r="Q585" s="2" t="str">
        <x:v>24.490206349;24.490206349</x:v>
      </x:c>
      <x:c r="R585" s="2" t="str">
        <x:v>0.4558750079013407</x:v>
      </x:c>
      <x:c r="S585" s="2" t="str">
        <x:v>46.36192724144268</x:v>
      </x:c>
    </x:row>
    <x:row r="586">
      <x:c r="A586" s="2" t="str">
        <x:v>DE-CMP-01</x:v>
      </x:c>
      <x:c r="B586" s="2" t="str">
        <x:v>CFG-C01</x:v>
      </x:c>
      <x:c r="C586" s="2" t="n">
        <x:v>46227.70238086805</x:v>
      </x:c>
      <x:c r="D586" s="2" t="str">
        <x:v>adaptive</x:v>
      </x:c>
      <x:c r="E586" s="2" t="str">
        <x:v>weak_beside_strong</x:v>
      </x:c>
      <x:c r="F586" s="2" t="str">
        <x:v>293</x:v>
      </x:c>
      <x:c r="G586" s="2" t="str">
        <x:v>3124296</x:v>
      </x:c>
      <x:c r="H586" s="2" t="str">
        <x:v>2048000.0</x:v>
      </x:c>
      <x:c r="I586" s="2" t="str">
        <x:v>8192</x:v>
      </x:c>
      <x:c r="J586" s="2" t="str">
        <x:v>250.0</x:v>
      </x:c>
      <x:c r="K586" s="2" t="str">
        <x:v>2</x:v>
      </x:c>
      <x:c r="L586" s="2" t="str">
        <x:v>3</x:v>
      </x:c>
      <x:c r="M586" s="2" t="str">
        <x:v>2</x:v>
      </x:c>
      <x:c r="N586" s="2" t="str">
        <x:v>1</x:v>
      </x:c>
      <x:c r="O586" s="2" t="str">
        <x:v>0</x:v>
      </x:c>
      <x:c r="P586" s="2" t="str">
        <x:v>true</x:v>
      </x:c>
      <x:c r="Q586" s="2" t="str">
        <x:v>12.921508634;12.921508634</x:v>
      </x:c>
      <x:c r="R586" s="2" t="str">
        <x:v>0.4277080006431788</x:v>
      </x:c>
      <x:c r="S586" s="2" t="str">
        <x:v>46.39880974004115</x:v>
      </x:c>
    </x:row>
    <x:row r="587">
      <x:c r="A587" s="2" t="str">
        <x:v>DE-CMP-01</x:v>
      </x:c>
      <x:c r="B587" s="2" t="str">
        <x:v>CFG-C01</x:v>
      </x:c>
      <x:c r="C587" s="2" t="n">
        <x:v>46227.70238086805</x:v>
      </x:c>
      <x:c r="D587" s="2" t="str">
        <x:v>os_cfar</x:v>
      </x:c>
      <x:c r="E587" s="2" t="str">
        <x:v>weak_beside_strong</x:v>
      </x:c>
      <x:c r="F587" s="2" t="str">
        <x:v>293</x:v>
      </x:c>
      <x:c r="G587" s="2" t="str">
        <x:v>3124296</x:v>
      </x:c>
      <x:c r="H587" s="2" t="str">
        <x:v>2048000.0</x:v>
      </x:c>
      <x:c r="I587" s="2" t="str">
        <x:v>8192</x:v>
      </x:c>
      <x:c r="J587" s="2" t="str">
        <x:v>250.0</x:v>
      </x:c>
      <x:c r="K587" s="2" t="str">
        <x:v>2</x:v>
      </x:c>
      <x:c r="L587" s="2" t="str">
        <x:v>3</x:v>
      </x:c>
      <x:c r="M587" s="2" t="str">
        <x:v>2</x:v>
      </x:c>
      <x:c r="N587" s="2" t="str">
        <x:v>1</x:v>
      </x:c>
      <x:c r="O587" s="2" t="str">
        <x:v>0</x:v>
      </x:c>
      <x:c r="P587" s="2" t="str">
        <x:v>true</x:v>
      </x:c>
      <x:c r="Q587" s="2" t="str">
        <x:v>12.921508634;12.921508634</x:v>
      </x:c>
      <x:c r="R587" s="2" t="str">
        <x:v>14.171249989885837</x:v>
      </x:c>
      <x:c r="S587" s="2" t="str">
        <x:v>48.29667905877272</x:v>
      </x:c>
    </x:row>
    <x:row r="588">
      <x:c r="A588" s="2" t="str">
        <x:v>DE-CMP-01</x:v>
      </x:c>
      <x:c r="B588" s="2" t="str">
        <x:v>CFG-C01</x:v>
      </x:c>
      <x:c r="C588" s="2" t="n">
        <x:v>46227.70238086805</x:v>
      </x:c>
      <x:c r="D588" s="2" t="str">
        <x:v>os_cfar</x:v>
      </x:c>
      <x:c r="E588" s="2" t="str">
        <x:v>weak_beside_strong</x:v>
      </x:c>
      <x:c r="F588" s="2" t="str">
        <x:v>294</x:v>
      </x:c>
      <x:c r="G588" s="2" t="str">
        <x:v>3124297</x:v>
      </x:c>
      <x:c r="H588" s="2" t="str">
        <x:v>2048000.0</x:v>
      </x:c>
      <x:c r="I588" s="2" t="str">
        <x:v>8192</x:v>
      </x:c>
      <x:c r="J588" s="2" t="str">
        <x:v>250.0</x:v>
      </x:c>
      <x:c r="K588" s="2" t="str">
        <x:v>2</x:v>
      </x:c>
      <x:c r="L588" s="2" t="str">
        <x:v>3</x:v>
      </x:c>
      <x:c r="M588" s="2" t="str">
        <x:v>2</x:v>
      </x:c>
      <x:c r="N588" s="2" t="str">
        <x:v>1</x:v>
      </x:c>
      <x:c r="O588" s="2" t="str">
        <x:v>0</x:v>
      </x:c>
      <x:c r="P588" s="2" t="str">
        <x:v>true</x:v>
      </x:c>
      <x:c r="Q588" s="2" t="str">
        <x:v>19.440374442;19.440374442</x:v>
      </x:c>
      <x:c r="R588" s="2" t="str">
        <x:v>14.178750003338791</x:v>
      </x:c>
      <x:c r="S588" s="2" t="str">
        <x:v>48.20906606641632</x:v>
      </x:c>
    </x:row>
    <x:row r="589">
      <x:c r="A589" s="2" t="str">
        <x:v>DE-CMP-01</x:v>
      </x:c>
      <x:c r="B589" s="2" t="str">
        <x:v>CFG-C01</x:v>
      </x:c>
      <x:c r="C589" s="2" t="n">
        <x:v>46227.70238086805</x:v>
      </x:c>
      <x:c r="D589" s="2" t="str">
        <x:v>adaptive</x:v>
      </x:c>
      <x:c r="E589" s="2" t="str">
        <x:v>weak_beside_strong</x:v>
      </x:c>
      <x:c r="F589" s="2" t="str">
        <x:v>294</x:v>
      </x:c>
      <x:c r="G589" s="2" t="str">
        <x:v>3124297</x:v>
      </x:c>
      <x:c r="H589" s="2" t="str">
        <x:v>2048000.0</x:v>
      </x:c>
      <x:c r="I589" s="2" t="str">
        <x:v>8192</x:v>
      </x:c>
      <x:c r="J589" s="2" t="str">
        <x:v>250.0</x:v>
      </x:c>
      <x:c r="K589" s="2" t="str">
        <x:v>2</x:v>
      </x:c>
      <x:c r="L589" s="2" t="str">
        <x:v>3</x:v>
      </x:c>
      <x:c r="M589" s="2" t="str">
        <x:v>2</x:v>
      </x:c>
      <x:c r="N589" s="2" t="str">
        <x:v>1</x:v>
      </x:c>
      <x:c r="O589" s="2" t="str">
        <x:v>0</x:v>
      </x:c>
      <x:c r="P589" s="2" t="str">
        <x:v>true</x:v>
      </x:c>
      <x:c r="Q589" s="2" t="str">
        <x:v>19.440374442;19.440374442</x:v>
      </x:c>
      <x:c r="R589" s="2" t="str">
        <x:v>0.4167079896433279</x:v>
      </x:c>
      <x:c r="S589" s="2" t="str">
        <x:v>46.30777195953321</x:v>
      </x:c>
    </x:row>
    <x:row r="590">
      <x:c r="A590" s="2" t="str">
        <x:v>DE-CMP-01</x:v>
      </x:c>
      <x:c r="B590" s="2" t="str">
        <x:v>CFG-C01</x:v>
      </x:c>
      <x:c r="C590" s="2" t="n">
        <x:v>46227.70238086805</x:v>
      </x:c>
      <x:c r="D590" s="2" t="str">
        <x:v>adaptive</x:v>
      </x:c>
      <x:c r="E590" s="2" t="str">
        <x:v>weak_beside_strong</x:v>
      </x:c>
      <x:c r="F590" s="2" t="str">
        <x:v>295</x:v>
      </x:c>
      <x:c r="G590" s="2" t="str">
        <x:v>3124298</x:v>
      </x:c>
      <x:c r="H590" s="2" t="str">
        <x:v>2048000.0</x:v>
      </x:c>
      <x:c r="I590" s="2" t="str">
        <x:v>8192</x:v>
      </x:c>
      <x:c r="J590" s="2" t="str">
        <x:v>250.0</x:v>
      </x:c>
      <x:c r="K590" s="2" t="str">
        <x:v>2</x:v>
      </x:c>
      <x:c r="L590" s="2" t="str">
        <x:v>3</x:v>
      </x:c>
      <x:c r="M590" s="2" t="str">
        <x:v>2</x:v>
      </x:c>
      <x:c r="N590" s="2" t="str">
        <x:v>1</x:v>
      </x:c>
      <x:c r="O590" s="2" t="str">
        <x:v>0</x:v>
      </x:c>
      <x:c r="P590" s="2" t="str">
        <x:v>true</x:v>
      </x:c>
      <x:c r="Q590" s="2" t="str">
        <x:v>38.813073744;38.813073744</x:v>
      </x:c>
      <x:c r="R590" s="2" t="str">
        <x:v>0.40108300163410604</x:v>
      </x:c>
      <x:c r="S590" s="2" t="str">
        <x:v>46.33365408042679</x:v>
      </x:c>
    </x:row>
    <x:row r="591">
      <x:c r="A591" s="2" t="str">
        <x:v>DE-CMP-01</x:v>
      </x:c>
      <x:c r="B591" s="2" t="str">
        <x:v>CFG-C01</x:v>
      </x:c>
      <x:c r="C591" s="2" t="n">
        <x:v>46227.70238086805</x:v>
      </x:c>
      <x:c r="D591" s="2" t="str">
        <x:v>os_cfar</x:v>
      </x:c>
      <x:c r="E591" s="2" t="str">
        <x:v>weak_beside_strong</x:v>
      </x:c>
      <x:c r="F591" s="2" t="str">
        <x:v>295</x:v>
      </x:c>
      <x:c r="G591" s="2" t="str">
        <x:v>3124298</x:v>
      </x:c>
      <x:c r="H591" s="2" t="str">
        <x:v>2048000.0</x:v>
      </x:c>
      <x:c r="I591" s="2" t="str">
        <x:v>8192</x:v>
      </x:c>
      <x:c r="J591" s="2" t="str">
        <x:v>250.0</x:v>
      </x:c>
      <x:c r="K591" s="2" t="str">
        <x:v>2</x:v>
      </x:c>
      <x:c r="L591" s="2" t="str">
        <x:v>3</x:v>
      </x:c>
      <x:c r="M591" s="2" t="str">
        <x:v>2</x:v>
      </x:c>
      <x:c r="N591" s="2" t="str">
        <x:v>1</x:v>
      </x:c>
      <x:c r="O591" s="2" t="str">
        <x:v>0</x:v>
      </x:c>
      <x:c r="P591" s="2" t="str">
        <x:v>true</x:v>
      </x:c>
      <x:c r="Q591" s="2" t="str">
        <x:v>38.813073744;38.813073744</x:v>
      </x:c>
      <x:c r="R591" s="2" t="str">
        <x:v>13.868249996448867</x:v>
      </x:c>
      <x:c r="S591" s="2" t="str">
        <x:v>48.1825386976118</x:v>
      </x:c>
    </x:row>
    <x:row r="592">
      <x:c r="A592" s="2" t="str">
        <x:v>DE-CMP-01</x:v>
      </x:c>
      <x:c r="B592" s="2" t="str">
        <x:v>CFG-C01</x:v>
      </x:c>
      <x:c r="C592" s="2" t="n">
        <x:v>46227.70238086805</x:v>
      </x:c>
      <x:c r="D592" s="2" t="str">
        <x:v>os_cfar</x:v>
      </x:c>
      <x:c r="E592" s="2" t="str">
        <x:v>weak_beside_strong</x:v>
      </x:c>
      <x:c r="F592" s="2" t="str">
        <x:v>296</x:v>
      </x:c>
      <x:c r="G592" s="2" t="str">
        <x:v>3124299</x:v>
      </x:c>
      <x:c r="H592" s="2" t="str">
        <x:v>2048000.0</x:v>
      </x:c>
      <x:c r="I592" s="2" t="str">
        <x:v>8192</x:v>
      </x:c>
      <x:c r="J592" s="2" t="str">
        <x:v>250.0</x:v>
      </x:c>
      <x:c r="K592" s="2" t="str">
        <x:v>2</x:v>
      </x:c>
      <x:c r="L592" s="2" t="str">
        <x:v>3</x:v>
      </x:c>
      <x:c r="M592" s="2" t="str">
        <x:v>2</x:v>
      </x:c>
      <x:c r="N592" s="2" t="str">
        <x:v>1</x:v>
      </x:c>
      <x:c r="O592" s="2" t="str">
        <x:v>0</x:v>
      </x:c>
      <x:c r="P592" s="2" t="str">
        <x:v>true</x:v>
      </x:c>
      <x:c r="Q592" s="2" t="str">
        <x:v>66.095777790;66.095777790</x:v>
      </x:c>
      <x:c r="R592" s="2" t="str">
        <x:v>14.156249992083758</x:v>
      </x:c>
      <x:c r="S592" s="2" t="str">
        <x:v>48.160493216839114</x:v>
      </x:c>
    </x:row>
    <x:row r="593">
      <x:c r="A593" s="2" t="str">
        <x:v>DE-CMP-01</x:v>
      </x:c>
      <x:c r="B593" s="2" t="str">
        <x:v>CFG-C01</x:v>
      </x:c>
      <x:c r="C593" s="2" t="n">
        <x:v>46227.70238086805</x:v>
      </x:c>
      <x:c r="D593" s="2" t="str">
        <x:v>adaptive</x:v>
      </x:c>
      <x:c r="E593" s="2" t="str">
        <x:v>weak_beside_strong</x:v>
      </x:c>
      <x:c r="F593" s="2" t="str">
        <x:v>296</x:v>
      </x:c>
      <x:c r="G593" s="2" t="str">
        <x:v>3124299</x:v>
      </x:c>
      <x:c r="H593" s="2" t="str">
        <x:v>2048000.0</x:v>
      </x:c>
      <x:c r="I593" s="2" t="str">
        <x:v>8192</x:v>
      </x:c>
      <x:c r="J593" s="2" t="str">
        <x:v>250.0</x:v>
      </x:c>
      <x:c r="K593" s="2" t="str">
        <x:v>2</x:v>
      </x:c>
      <x:c r="L593" s="2" t="str">
        <x:v>3</x:v>
      </x:c>
      <x:c r="M593" s="2" t="str">
        <x:v>2</x:v>
      </x:c>
      <x:c r="N593" s="2" t="str">
        <x:v>1</x:v>
      </x:c>
      <x:c r="O593" s="2" t="str">
        <x:v>0</x:v>
      </x:c>
      <x:c r="P593" s="2" t="str">
        <x:v>true</x:v>
      </x:c>
      <x:c r="Q593" s="2" t="str">
        <x:v>66.095777790;66.095777790</x:v>
      </x:c>
      <x:c r="R593" s="2" t="str">
        <x:v>0.4412909911479801</x:v>
      </x:c>
      <x:c r="S593" s="2" t="str">
        <x:v>46.28624785154641</x:v>
      </x:c>
    </x:row>
    <x:row r="594">
      <x:c r="A594" s="2" t="str">
        <x:v>DE-CMP-01</x:v>
      </x:c>
      <x:c r="B594" s="2" t="str">
        <x:v>CFG-C01</x:v>
      </x:c>
      <x:c r="C594" s="2" t="n">
        <x:v>46227.70238086805</x:v>
      </x:c>
      <x:c r="D594" s="2" t="str">
        <x:v>adaptive</x:v>
      </x:c>
      <x:c r="E594" s="2" t="str">
        <x:v>weak_beside_strong</x:v>
      </x:c>
      <x:c r="F594" s="2" t="str">
        <x:v>297</x:v>
      </x:c>
      <x:c r="G594" s="2" t="str">
        <x:v>3124300</x:v>
      </x:c>
      <x:c r="H594" s="2" t="str">
        <x:v>2048000.0</x:v>
      </x:c>
      <x:c r="I594" s="2" t="str">
        <x:v>8192</x:v>
      </x:c>
      <x:c r="J594" s="2" t="str">
        <x:v>250.0</x:v>
      </x:c>
      <x:c r="K594" s="2" t="str">
        <x:v>2</x:v>
      </x:c>
      <x:c r="L594" s="2" t="str">
        <x:v>3</x:v>
      </x:c>
      <x:c r="M594" s="2" t="str">
        <x:v>2</x:v>
      </x:c>
      <x:c r="N594" s="2" t="str">
        <x:v>1</x:v>
      </x:c>
      <x:c r="O594" s="2" t="str">
        <x:v>0</x:v>
      </x:c>
      <x:c r="P594" s="2" t="str">
        <x:v>true</x:v>
      </x:c>
      <x:c r="Q594" s="2" t="str">
        <x:v>89.715815507;89.715815507</x:v>
      </x:c>
      <x:c r="R594" s="2" t="str">
        <x:v>0.5171249940758571</x:v>
      </x:c>
      <x:c r="S594" s="2" t="str">
        <x:v>46.52656719332012</x:v>
      </x:c>
    </x:row>
    <x:row r="595">
      <x:c r="A595" s="2" t="str">
        <x:v>DE-CMP-01</x:v>
      </x:c>
      <x:c r="B595" s="2" t="str">
        <x:v>CFG-C01</x:v>
      </x:c>
      <x:c r="C595" s="2" t="n">
        <x:v>46227.70238086805</x:v>
      </x:c>
      <x:c r="D595" s="2" t="str">
        <x:v>os_cfar</x:v>
      </x:c>
      <x:c r="E595" s="2" t="str">
        <x:v>weak_beside_strong</x:v>
      </x:c>
      <x:c r="F595" s="2" t="str">
        <x:v>297</x:v>
      </x:c>
      <x:c r="G595" s="2" t="str">
        <x:v>3124300</x:v>
      </x:c>
      <x:c r="H595" s="2" t="str">
        <x:v>2048000.0</x:v>
      </x:c>
      <x:c r="I595" s="2" t="str">
        <x:v>8192</x:v>
      </x:c>
      <x:c r="J595" s="2" t="str">
        <x:v>250.0</x:v>
      </x:c>
      <x:c r="K595" s="2" t="str">
        <x:v>2</x:v>
      </x:c>
      <x:c r="L595" s="2" t="str">
        <x:v>3</x:v>
      </x:c>
      <x:c r="M595" s="2" t="str">
        <x:v>2</x:v>
      </x:c>
      <x:c r="N595" s="2" t="str">
        <x:v>1</x:v>
      </x:c>
      <x:c r="O595" s="2" t="str">
        <x:v>0</x:v>
      </x:c>
      <x:c r="P595" s="2" t="str">
        <x:v>true</x:v>
      </x:c>
      <x:c r="Q595" s="2" t="str">
        <x:v>89.715815507;89.715815507</x:v>
      </x:c>
      <x:c r="R595" s="2" t="str">
        <x:v>13.833665987476707</x:v>
      </x:c>
      <x:c r="S595" s="2" t="str">
        <x:v>48.243330906742216</x:v>
      </x:c>
    </x:row>
    <x:row r="596">
      <x:c r="A596" s="2" t="str">
        <x:v>DE-CMP-01</x:v>
      </x:c>
      <x:c r="B596" s="2" t="str">
        <x:v>CFG-C01</x:v>
      </x:c>
      <x:c r="C596" s="2" t="n">
        <x:v>46227.70238086805</x:v>
      </x:c>
      <x:c r="D596" s="2" t="str">
        <x:v>os_cfar</x:v>
      </x:c>
      <x:c r="E596" s="2" t="str">
        <x:v>weak_beside_strong</x:v>
      </x:c>
      <x:c r="F596" s="2" t="str">
        <x:v>298</x:v>
      </x:c>
      <x:c r="G596" s="2" t="str">
        <x:v>3124301</x:v>
      </x:c>
      <x:c r="H596" s="2" t="str">
        <x:v>2048000.0</x:v>
      </x:c>
      <x:c r="I596" s="2" t="str">
        <x:v>8192</x:v>
      </x:c>
      <x:c r="J596" s="2" t="str">
        <x:v>250.0</x:v>
      </x:c>
      <x:c r="K596" s="2" t="str">
        <x:v>2</x:v>
      </x:c>
      <x:c r="L596" s="2" t="str">
        <x:v>3</x:v>
      </x:c>
      <x:c r="M596" s="2" t="str">
        <x:v>2</x:v>
      </x:c>
      <x:c r="N596" s="2" t="str">
        <x:v>1</x:v>
      </x:c>
      <x:c r="O596" s="2" t="str">
        <x:v>0</x:v>
      </x:c>
      <x:c r="P596" s="2" t="str">
        <x:v>true</x:v>
      </x:c>
      <x:c r="Q596" s="2" t="str">
        <x:v>-55.887709059;-55.887709059</x:v>
      </x:c>
      <x:c r="R596" s="2" t="str">
        <x:v>14.121833999524824</x:v>
      </x:c>
      <x:c r="S596" s="2" t="str">
        <x:v>48.2482338417833</x:v>
      </x:c>
    </x:row>
    <x:row r="597">
      <x:c r="A597" s="2" t="str">
        <x:v>DE-CMP-01</x:v>
      </x:c>
      <x:c r="B597" s="2" t="str">
        <x:v>CFG-C01</x:v>
      </x:c>
      <x:c r="C597" s="2" t="n">
        <x:v>46227.70238086805</x:v>
      </x:c>
      <x:c r="D597" s="2" t="str">
        <x:v>adaptive</x:v>
      </x:c>
      <x:c r="E597" s="2" t="str">
        <x:v>weak_beside_strong</x:v>
      </x:c>
      <x:c r="F597" s="2" t="str">
        <x:v>298</x:v>
      </x:c>
      <x:c r="G597" s="2" t="str">
        <x:v>3124301</x:v>
      </x:c>
      <x:c r="H597" s="2" t="str">
        <x:v>2048000.0</x:v>
      </x:c>
      <x:c r="I597" s="2" t="str">
        <x:v>8192</x:v>
      </x:c>
      <x:c r="J597" s="2" t="str">
        <x:v>250.0</x:v>
      </x:c>
      <x:c r="K597" s="2" t="str">
        <x:v>2</x:v>
      </x:c>
      <x:c r="L597" s="2" t="str">
        <x:v>3</x:v>
      </x:c>
      <x:c r="M597" s="2" t="str">
        <x:v>2</x:v>
      </x:c>
      <x:c r="N597" s="2" t="str">
        <x:v>1</x:v>
      </x:c>
      <x:c r="O597" s="2" t="str">
        <x:v>0</x:v>
      </x:c>
      <x:c r="P597" s="2" t="str">
        <x:v>true</x:v>
      </x:c>
      <x:c r="Q597" s="2" t="str">
        <x:v>-55.887709059;-55.887709059</x:v>
      </x:c>
      <x:c r="R597" s="2" t="str">
        <x:v>0.45487500028684735</x:v>
      </x:c>
      <x:c r="S597" s="2" t="str">
        <x:v>46.495648966435525</x:v>
      </x:c>
    </x:row>
    <x:row r="598">
      <x:c r="A598" s="2" t="str">
        <x:v>DE-CMP-01</x:v>
      </x:c>
      <x:c r="B598" s="2" t="str">
        <x:v>CFG-C01</x:v>
      </x:c>
      <x:c r="C598" s="2" t="n">
        <x:v>46227.70238086805</x:v>
      </x:c>
      <x:c r="D598" s="2" t="str">
        <x:v>adaptive</x:v>
      </x:c>
      <x:c r="E598" s="2" t="str">
        <x:v>weak_beside_strong</x:v>
      </x:c>
      <x:c r="F598" s="2" t="str">
        <x:v>299</x:v>
      </x:c>
      <x:c r="G598" s="2" t="str">
        <x:v>3124302</x:v>
      </x:c>
      <x:c r="H598" s="2" t="str">
        <x:v>2048000.0</x:v>
      </x:c>
      <x:c r="I598" s="2" t="str">
        <x:v>8192</x:v>
      </x:c>
      <x:c r="J598" s="2" t="str">
        <x:v>250.0</x:v>
      </x:c>
      <x:c r="K598" s="2" t="str">
        <x:v>2</x:v>
      </x:c>
      <x:c r="L598" s="2" t="str">
        <x:v>3</x:v>
      </x:c>
      <x:c r="M598" s="2" t="str">
        <x:v>2</x:v>
      </x:c>
      <x:c r="N598" s="2" t="str">
        <x:v>1</x:v>
      </x:c>
      <x:c r="O598" s="2" t="str">
        <x:v>0</x:v>
      </x:c>
      <x:c r="P598" s="2" t="str">
        <x:v>true</x:v>
      </x:c>
      <x:c r="Q598" s="2" t="str">
        <x:v>55.825811939;55.825811939</x:v>
      </x:c>
      <x:c r="R598" s="2" t="str">
        <x:v>0.4360000020824373</x:v>
      </x:c>
      <x:c r="S598" s="2" t="str">
        <x:v>46.36309292931702</x:v>
      </x:c>
    </x:row>
    <x:row r="599">
      <x:c r="A599" s="2" t="str">
        <x:v>DE-CMP-01</x:v>
      </x:c>
      <x:c r="B599" s="2" t="str">
        <x:v>CFG-C01</x:v>
      </x:c>
      <x:c r="C599" s="2" t="n">
        <x:v>46227.70238086805</x:v>
      </x:c>
      <x:c r="D599" s="2" t="str">
        <x:v>os_cfar</x:v>
      </x:c>
      <x:c r="E599" s="2" t="str">
        <x:v>weak_beside_strong</x:v>
      </x:c>
      <x:c r="F599" s="2" t="str">
        <x:v>299</x:v>
      </x:c>
      <x:c r="G599" s="2" t="str">
        <x:v>3124302</x:v>
      </x:c>
      <x:c r="H599" s="2" t="str">
        <x:v>2048000.0</x:v>
      </x:c>
      <x:c r="I599" s="2" t="str">
        <x:v>8192</x:v>
      </x:c>
      <x:c r="J599" s="2" t="str">
        <x:v>250.0</x:v>
      </x:c>
      <x:c r="K599" s="2" t="str">
        <x:v>2</x:v>
      </x:c>
      <x:c r="L599" s="2" t="str">
        <x:v>3</x:v>
      </x:c>
      <x:c r="M599" s="2" t="str">
        <x:v>2</x:v>
      </x:c>
      <x:c r="N599" s="2" t="str">
        <x:v>1</x:v>
      </x:c>
      <x:c r="O599" s="2" t="str">
        <x:v>0</x:v>
      </x:c>
      <x:c r="P599" s="2" t="str">
        <x:v>true</x:v>
      </x:c>
      <x:c r="Q599" s="2" t="str">
        <x:v>55.825811939;55.825811939</x:v>
      </x:c>
      <x:c r="R599" s="2" t="str">
        <x:v>14.071416997467168</x:v>
      </x:c>
      <x:c r="S599" s="2" t="str">
        <x:v>48.24736135240089</x:v>
      </x:c>
    </x:row>
    <x:row r="600">
      <x:c r="A600" s="2" t="str">
        <x:v>DE-CMP-01</x:v>
      </x:c>
      <x:c r="B600" s="2" t="str">
        <x:v>CFG-C01</x:v>
      </x:c>
      <x:c r="C600" s="2" t="n">
        <x:v>46227.70238086805</x:v>
      </x:c>
      <x:c r="D600" s="2" t="str">
        <x:v>os_cfar</x:v>
      </x:c>
      <x:c r="E600" s="2" t="str">
        <x:v>weak_beside_strong</x:v>
      </x:c>
      <x:c r="F600" s="2" t="str">
        <x:v>300</x:v>
      </x:c>
      <x:c r="G600" s="2" t="str">
        <x:v>3124303</x:v>
      </x:c>
      <x:c r="H600" s="2" t="str">
        <x:v>2048000.0</x:v>
      </x:c>
      <x:c r="I600" s="2" t="str">
        <x:v>8192</x:v>
      </x:c>
      <x:c r="J600" s="2" t="str">
        <x:v>250.0</x:v>
      </x:c>
      <x:c r="K600" s="2" t="str">
        <x:v>2</x:v>
      </x:c>
      <x:c r="L600" s="2" t="str">
        <x:v>3</x:v>
      </x:c>
      <x:c r="M600" s="2" t="str">
        <x:v>2</x:v>
      </x:c>
      <x:c r="N600" s="2" t="str">
        <x:v>1</x:v>
      </x:c>
      <x:c r="O600" s="2" t="str">
        <x:v>0</x:v>
      </x:c>
      <x:c r="P600" s="2" t="str">
        <x:v>true</x:v>
      </x:c>
      <x:c r="Q600" s="2" t="str">
        <x:v>-62.857952457;-62.857952457</x:v>
      </x:c>
      <x:c r="R600" s="2" t="str">
        <x:v>14.124125009402633</x:v>
      </x:c>
      <x:c r="S600" s="2" t="str">
        <x:v>48.27366301814307</x:v>
      </x:c>
    </x:row>
    <x:row r="601">
      <x:c r="A601" s="2" t="str">
        <x:v>DE-CMP-01</x:v>
      </x:c>
      <x:c r="B601" s="2" t="str">
        <x:v>CFG-C01</x:v>
      </x:c>
      <x:c r="C601" s="2" t="n">
        <x:v>46227.70238086805</x:v>
      </x:c>
      <x:c r="D601" s="2" t="str">
        <x:v>adaptive</x:v>
      </x:c>
      <x:c r="E601" s="2" t="str">
        <x:v>weak_beside_strong</x:v>
      </x:c>
      <x:c r="F601" s="2" t="str">
        <x:v>300</x:v>
      </x:c>
      <x:c r="G601" s="2" t="str">
        <x:v>3124303</x:v>
      </x:c>
      <x:c r="H601" s="2" t="str">
        <x:v>2048000.0</x:v>
      </x:c>
      <x:c r="I601" s="2" t="str">
        <x:v>8192</x:v>
      </x:c>
      <x:c r="J601" s="2" t="str">
        <x:v>250.0</x:v>
      </x:c>
      <x:c r="K601" s="2" t="str">
        <x:v>2</x:v>
      </x:c>
      <x:c r="L601" s="2" t="str">
        <x:v>3</x:v>
      </x:c>
      <x:c r="M601" s="2" t="str">
        <x:v>2</x:v>
      </x:c>
      <x:c r="N601" s="2" t="str">
        <x:v>1</x:v>
      </x:c>
      <x:c r="O601" s="2" t="str">
        <x:v>0</x:v>
      </x:c>
      <x:c r="P601" s="2" t="str">
        <x:v>true</x:v>
      </x:c>
      <x:c r="Q601" s="2" t="str">
        <x:v>-62.857952457;-62.857952457</x:v>
      </x:c>
      <x:c r="R601" s="2" t="str">
        <x:v>0.42491700151003897</x:v>
      </x:c>
      <x:c r="S601" s="2" t="str">
        <x:v>46.394059800449845</x:v>
      </x:c>
    </x:row>
    <x:row r="602">
      <x:c r="A602" s="2" t="str">
        <x:v>DE-CMP-01</x:v>
      </x:c>
      <x:c r="B602" s="2" t="str">
        <x:v>CFG-C01</x:v>
      </x:c>
      <x:c r="C602" s="2" t="n">
        <x:v>46227.70238086805</x:v>
      </x:c>
      <x:c r="D602" s="2" t="str">
        <x:v>adaptive</x:v>
      </x:c>
      <x:c r="E602" s="2" t="str">
        <x:v>multiple_carriers</x:v>
      </x:c>
      <x:c r="F602" s="2" t="str">
        <x:v>301</x:v>
      </x:c>
      <x:c r="G602" s="2" t="str">
        <x:v>3134204</x:v>
      </x:c>
      <x:c r="H602" s="2" t="str">
        <x:v>2048000.0</x:v>
      </x:c>
      <x:c r="I602" s="2" t="str">
        <x:v>8192</x:v>
      </x:c>
      <x:c r="J602" s="2" t="str">
        <x:v>250.0</x:v>
      </x:c>
      <x:c r="K602" s="2" t="str">
        <x:v>3</x:v>
      </x:c>
      <x:c r="L602" s="2" t="str">
        <x:v>3</x:v>
      </x:c>
      <x:c r="M602" s="2" t="str">
        <x:v>3</x:v>
      </x:c>
      <x:c r="N602" s="2" t="str">
        <x:v>0</x:v>
      </x:c>
      <x:c r="O602" s="2" t="str">
        <x:v>0</x:v>
      </x:c>
      <x:c r="P602" s="2" t="str">
        <x:v>false</x:v>
      </x:c>
      <x:c r="Q602" s="2" t="str">
        <x:v>16.296285670;16.296285670;16.296285670</x:v>
      </x:c>
      <x:c r="R602" s="2" t="str">
        <x:v>0.4241660062689334</x:v>
      </x:c>
      <x:c r="S602" s="2" t="str">
        <x:v>46.37880293348727</x:v>
      </x:c>
    </x:row>
    <x:row r="603">
      <x:c r="A603" s="2" t="str">
        <x:v>DE-CMP-01</x:v>
      </x:c>
      <x:c r="B603" s="2" t="str">
        <x:v>CFG-C01</x:v>
      </x:c>
      <x:c r="C603" s="2" t="n">
        <x:v>46227.70238086805</x:v>
      </x:c>
      <x:c r="D603" s="2" t="str">
        <x:v>os_cfar</x:v>
      </x:c>
      <x:c r="E603" s="2" t="str">
        <x:v>multiple_carriers</x:v>
      </x:c>
      <x:c r="F603" s="2" t="str">
        <x:v>301</x:v>
      </x:c>
      <x:c r="G603" s="2" t="str">
        <x:v>3134204</x:v>
      </x:c>
      <x:c r="H603" s="2" t="str">
        <x:v>2048000.0</x:v>
      </x:c>
      <x:c r="I603" s="2" t="str">
        <x:v>8192</x:v>
      </x:c>
      <x:c r="J603" s="2" t="str">
        <x:v>250.0</x:v>
      </x:c>
      <x:c r="K603" s="2" t="str">
        <x:v>3</x:v>
      </x:c>
      <x:c r="L603" s="2" t="str">
        <x:v>3</x:v>
      </x:c>
      <x:c r="M603" s="2" t="str">
        <x:v>3</x:v>
      </x:c>
      <x:c r="N603" s="2" t="str">
        <x:v>0</x:v>
      </x:c>
      <x:c r="O603" s="2" t="str">
        <x:v>0</x:v>
      </x:c>
      <x:c r="P603" s="2" t="str">
        <x:v>false</x:v>
      </x:c>
      <x:c r="Q603" s="2" t="str">
        <x:v>16.296285670;16.296285670;16.296285670</x:v>
      </x:c>
      <x:c r="R603" s="2" t="str">
        <x:v>13.991041007102467</x:v>
      </x:c>
      <x:c r="S603" s="2" t="str">
        <x:v>48.1527557363449</x:v>
      </x:c>
    </x:row>
    <x:row r="604">
      <x:c r="A604" s="2" t="str">
        <x:v>DE-CMP-01</x:v>
      </x:c>
      <x:c r="B604" s="2" t="str">
        <x:v>CFG-C01</x:v>
      </x:c>
      <x:c r="C604" s="2" t="n">
        <x:v>46227.70238086805</x:v>
      </x:c>
      <x:c r="D604" s="2" t="str">
        <x:v>os_cfar</x:v>
      </x:c>
      <x:c r="E604" s="2" t="str">
        <x:v>multiple_carriers</x:v>
      </x:c>
      <x:c r="F604" s="2" t="str">
        <x:v>302</x:v>
      </x:c>
      <x:c r="G604" s="2" t="str">
        <x:v>3134205</x:v>
      </x:c>
      <x:c r="H604" s="2" t="str">
        <x:v>2048000.0</x:v>
      </x:c>
      <x:c r="I604" s="2" t="str">
        <x:v>8192</x:v>
      </x:c>
      <x:c r="J604" s="2" t="str">
        <x:v>250.0</x:v>
      </x:c>
      <x:c r="K604" s="2" t="str">
        <x:v>3</x:v>
      </x:c>
      <x:c r="L604" s="2" t="str">
        <x:v>3</x:v>
      </x:c>
      <x:c r="M604" s="2" t="str">
        <x:v>3</x:v>
      </x:c>
      <x:c r="N604" s="2" t="str">
        <x:v>0</x:v>
      </x:c>
      <x:c r="O604" s="2" t="str">
        <x:v>0</x:v>
      </x:c>
      <x:c r="P604" s="2" t="str">
        <x:v>false</x:v>
      </x:c>
      <x:c r="Q604" s="2" t="str">
        <x:v>-98.091341796;-98.091341796;-98.091341796</x:v>
      </x:c>
      <x:c r="R604" s="2" t="str">
        <x:v>13.826250011334196</x:v>
      </x:c>
      <x:c r="S604" s="2" t="str">
        <x:v>48.19618087306107</x:v>
      </x:c>
    </x:row>
    <x:row r="605">
      <x:c r="A605" s="2" t="str">
        <x:v>DE-CMP-01</x:v>
      </x:c>
      <x:c r="B605" s="2" t="str">
        <x:v>CFG-C01</x:v>
      </x:c>
      <x:c r="C605" s="2" t="n">
        <x:v>46227.70238086805</x:v>
      </x:c>
      <x:c r="D605" s="2" t="str">
        <x:v>adaptive</x:v>
      </x:c>
      <x:c r="E605" s="2" t="str">
        <x:v>multiple_carriers</x:v>
      </x:c>
      <x:c r="F605" s="2" t="str">
        <x:v>302</x:v>
      </x:c>
      <x:c r="G605" s="2" t="str">
        <x:v>3134205</x:v>
      </x:c>
      <x:c r="H605" s="2" t="str">
        <x:v>2048000.0</x:v>
      </x:c>
      <x:c r="I605" s="2" t="str">
        <x:v>8192</x:v>
      </x:c>
      <x:c r="J605" s="2" t="str">
        <x:v>250.0</x:v>
      </x:c>
      <x:c r="K605" s="2" t="str">
        <x:v>3</x:v>
      </x:c>
      <x:c r="L605" s="2" t="str">
        <x:v>3</x:v>
      </x:c>
      <x:c r="M605" s="2" t="str">
        <x:v>3</x:v>
      </x:c>
      <x:c r="N605" s="2" t="str">
        <x:v>0</x:v>
      </x:c>
      <x:c r="O605" s="2" t="str">
        <x:v>0</x:v>
      </x:c>
      <x:c r="P605" s="2" t="str">
        <x:v>false</x:v>
      </x:c>
      <x:c r="Q605" s="2" t="str">
        <x:v>-98.091341796;-98.091341796;-98.091341796</x:v>
      </x:c>
      <x:c r="R605" s="2" t="str">
        <x:v>0.4150419990764931</x:v>
      </x:c>
      <x:c r="S605" s="2" t="str">
        <x:v>46.334902250642536</x:v>
      </x:c>
    </x:row>
    <x:row r="606">
      <x:c r="A606" s="2" t="str">
        <x:v>DE-CMP-01</x:v>
      </x:c>
      <x:c r="B606" s="2" t="str">
        <x:v>CFG-C01</x:v>
      </x:c>
      <x:c r="C606" s="2" t="n">
        <x:v>46227.70238086805</x:v>
      </x:c>
      <x:c r="D606" s="2" t="str">
        <x:v>adaptive</x:v>
      </x:c>
      <x:c r="E606" s="2" t="str">
        <x:v>multiple_carriers</x:v>
      </x:c>
      <x:c r="F606" s="2" t="str">
        <x:v>303</x:v>
      </x:c>
      <x:c r="G606" s="2" t="str">
        <x:v>3134206</x:v>
      </x:c>
      <x:c r="H606" s="2" t="str">
        <x:v>2048000.0</x:v>
      </x:c>
      <x:c r="I606" s="2" t="str">
        <x:v>8192</x:v>
      </x:c>
      <x:c r="J606" s="2" t="str">
        <x:v>250.0</x:v>
      </x:c>
      <x:c r="K606" s="2" t="str">
        <x:v>3</x:v>
      </x:c>
      <x:c r="L606" s="2" t="str">
        <x:v>3</x:v>
      </x:c>
      <x:c r="M606" s="2" t="str">
        <x:v>3</x:v>
      </x:c>
      <x:c r="N606" s="2" t="str">
        <x:v>0</x:v>
      </x:c>
      <x:c r="O606" s="2" t="str">
        <x:v>0</x:v>
      </x:c>
      <x:c r="P606" s="2" t="str">
        <x:v>false</x:v>
      </x:c>
      <x:c r="Q606" s="2" t="str">
        <x:v>-10.649683769;-10.649683769;-10.649683769</x:v>
      </x:c>
      <x:c r="R606" s="2" t="str">
        <x:v>0.3990420082118362</x:v>
      </x:c>
      <x:c r="S606" s="2" t="str">
        <x:v>46.44628355659173</x:v>
      </x:c>
    </x:row>
    <x:row r="607">
      <x:c r="A607" s="2" t="str">
        <x:v>DE-CMP-01</x:v>
      </x:c>
      <x:c r="B607" s="2" t="str">
        <x:v>CFG-C01</x:v>
      </x:c>
      <x:c r="C607" s="2" t="n">
        <x:v>46227.70238086805</x:v>
      </x:c>
      <x:c r="D607" s="2" t="str">
        <x:v>os_cfar</x:v>
      </x:c>
      <x:c r="E607" s="2" t="str">
        <x:v>multiple_carriers</x:v>
      </x:c>
      <x:c r="F607" s="2" t="str">
        <x:v>303</x:v>
      </x:c>
      <x:c r="G607" s="2" t="str">
        <x:v>3134206</x:v>
      </x:c>
      <x:c r="H607" s="2" t="str">
        <x:v>2048000.0</x:v>
      </x:c>
      <x:c r="I607" s="2" t="str">
        <x:v>8192</x:v>
      </x:c>
      <x:c r="J607" s="2" t="str">
        <x:v>250.0</x:v>
      </x:c>
      <x:c r="K607" s="2" t="str">
        <x:v>3</x:v>
      </x:c>
      <x:c r="L607" s="2" t="str">
        <x:v>3</x:v>
      </x:c>
      <x:c r="M607" s="2" t="str">
        <x:v>3</x:v>
      </x:c>
      <x:c r="N607" s="2" t="str">
        <x:v>0</x:v>
      </x:c>
      <x:c r="O607" s="2" t="str">
        <x:v>0</x:v>
      </x:c>
      <x:c r="P607" s="2" t="str">
        <x:v>false</x:v>
      </x:c>
      <x:c r="Q607" s="2" t="str">
        <x:v>-10.649683769;-10.649683769;-10.649683769</x:v>
      </x:c>
      <x:c r="R607" s="2" t="str">
        <x:v>13.906417007092386</x:v>
      </x:c>
      <x:c r="S607" s="2" t="str">
        <x:v>48.30240924705785</x:v>
      </x:c>
    </x:row>
    <x:row r="608">
      <x:c r="A608" s="2" t="str">
        <x:v>DE-CMP-01</x:v>
      </x:c>
      <x:c r="B608" s="2" t="str">
        <x:v>CFG-C01</x:v>
      </x:c>
      <x:c r="C608" s="2" t="n">
        <x:v>46227.70238086805</x:v>
      </x:c>
      <x:c r="D608" s="2" t="str">
        <x:v>os_cfar</x:v>
      </x:c>
      <x:c r="E608" s="2" t="str">
        <x:v>multiple_carriers</x:v>
      </x:c>
      <x:c r="F608" s="2" t="str">
        <x:v>304</x:v>
      </x:c>
      <x:c r="G608" s="2" t="str">
        <x:v>3134207</x:v>
      </x:c>
      <x:c r="H608" s="2" t="str">
        <x:v>2048000.0</x:v>
      </x:c>
      <x:c r="I608" s="2" t="str">
        <x:v>8192</x:v>
      </x:c>
      <x:c r="J608" s="2" t="str">
        <x:v>250.0</x:v>
      </x:c>
      <x:c r="K608" s="2" t="str">
        <x:v>3</x:v>
      </x:c>
      <x:c r="L608" s="2" t="str">
        <x:v>3</x:v>
      </x:c>
      <x:c r="M608" s="2" t="str">
        <x:v>3</x:v>
      </x:c>
      <x:c r="N608" s="2" t="str">
        <x:v>0</x:v>
      </x:c>
      <x:c r="O608" s="2" t="str">
        <x:v>0</x:v>
      </x:c>
      <x:c r="P608" s="2" t="str">
        <x:v>false</x:v>
      </x:c>
      <x:c r="Q608" s="2" t="str">
        <x:v>-68.879548775;-68.879548775;-68.879548775</x:v>
      </x:c>
      <x:c r="R608" s="2" t="str">
        <x:v>13.849709008354694</x:v>
      </x:c>
      <x:c r="S608" s="2" t="str">
        <x:v>48.269024857519</x:v>
      </x:c>
    </x:row>
    <x:row r="609">
      <x:c r="A609" s="2" t="str">
        <x:v>DE-CMP-01</x:v>
      </x:c>
      <x:c r="B609" s="2" t="str">
        <x:v>CFG-C01</x:v>
      </x:c>
      <x:c r="C609" s="2" t="n">
        <x:v>46227.70238086805</x:v>
      </x:c>
      <x:c r="D609" s="2" t="str">
        <x:v>adaptive</x:v>
      </x:c>
      <x:c r="E609" s="2" t="str">
        <x:v>multiple_carriers</x:v>
      </x:c>
      <x:c r="F609" s="2" t="str">
        <x:v>304</x:v>
      </x:c>
      <x:c r="G609" s="2" t="str">
        <x:v>3134207</x:v>
      </x:c>
      <x:c r="H609" s="2" t="str">
        <x:v>2048000.0</x:v>
      </x:c>
      <x:c r="I609" s="2" t="str">
        <x:v>8192</x:v>
      </x:c>
      <x:c r="J609" s="2" t="str">
        <x:v>250.0</x:v>
      </x:c>
      <x:c r="K609" s="2" t="str">
        <x:v>3</x:v>
      </x:c>
      <x:c r="L609" s="2" t="str">
        <x:v>3</x:v>
      </x:c>
      <x:c r="M609" s="2" t="str">
        <x:v>3</x:v>
      </x:c>
      <x:c r="N609" s="2" t="str">
        <x:v>0</x:v>
      </x:c>
      <x:c r="O609" s="2" t="str">
        <x:v>0</x:v>
      </x:c>
      <x:c r="P609" s="2" t="str">
        <x:v>false</x:v>
      </x:c>
      <x:c r="Q609" s="2" t="str">
        <x:v>-68.879548775;-68.879548775;-68.879548775</x:v>
      </x:c>
      <x:c r="R609" s="2" t="str">
        <x:v>0.4167079896433279</x:v>
      </x:c>
      <x:c r="S609" s="2" t="str">
        <x:v>46.517470616080786</x:v>
      </x:c>
    </x:row>
    <x:row r="610">
      <x:c r="A610" s="2" t="str">
        <x:v>DE-CMP-01</x:v>
      </x:c>
      <x:c r="B610" s="2" t="str">
        <x:v>CFG-C01</x:v>
      </x:c>
      <x:c r="C610" s="2" t="n">
        <x:v>46227.70238086805</x:v>
      </x:c>
      <x:c r="D610" s="2" t="str">
        <x:v>adaptive</x:v>
      </x:c>
      <x:c r="E610" s="2" t="str">
        <x:v>multiple_carriers</x:v>
      </x:c>
      <x:c r="F610" s="2" t="str">
        <x:v>305</x:v>
      </x:c>
      <x:c r="G610" s="2" t="str">
        <x:v>3134208</x:v>
      </x:c>
      <x:c r="H610" s="2" t="str">
        <x:v>2048000.0</x:v>
      </x:c>
      <x:c r="I610" s="2" t="str">
        <x:v>8192</x:v>
      </x:c>
      <x:c r="J610" s="2" t="str">
        <x:v>250.0</x:v>
      </x:c>
      <x:c r="K610" s="2" t="str">
        <x:v>3</x:v>
      </x:c>
      <x:c r="L610" s="2" t="str">
        <x:v>3</x:v>
      </x:c>
      <x:c r="M610" s="2" t="str">
        <x:v>3</x:v>
      </x:c>
      <x:c r="N610" s="2" t="str">
        <x:v>0</x:v>
      </x:c>
      <x:c r="O610" s="2" t="str">
        <x:v>0</x:v>
      </x:c>
      <x:c r="P610" s="2" t="str">
        <x:v>false</x:v>
      </x:c>
      <x:c r="Q610" s="2" t="str">
        <x:v>-54.458161874;-54.458161874;-54.458161874</x:v>
      </x:c>
      <x:c r="R610" s="2" t="str">
        <x:v>0.42862498958129436</x:v>
      </x:c>
      <x:c r="S610" s="2" t="str">
        <x:v>46.36179379065928</x:v>
      </x:c>
    </x:row>
    <x:row r="611">
      <x:c r="A611" s="2" t="str">
        <x:v>DE-CMP-01</x:v>
      </x:c>
      <x:c r="B611" s="2" t="str">
        <x:v>CFG-C01</x:v>
      </x:c>
      <x:c r="C611" s="2" t="n">
        <x:v>46227.70238086805</x:v>
      </x:c>
      <x:c r="D611" s="2" t="str">
        <x:v>os_cfar</x:v>
      </x:c>
      <x:c r="E611" s="2" t="str">
        <x:v>multiple_carriers</x:v>
      </x:c>
      <x:c r="F611" s="2" t="str">
        <x:v>305</x:v>
      </x:c>
      <x:c r="G611" s="2" t="str">
        <x:v>3134208</x:v>
      </x:c>
      <x:c r="H611" s="2" t="str">
        <x:v>2048000.0</x:v>
      </x:c>
      <x:c r="I611" s="2" t="str">
        <x:v>8192</x:v>
      </x:c>
      <x:c r="J611" s="2" t="str">
        <x:v>250.0</x:v>
      </x:c>
      <x:c r="K611" s="2" t="str">
        <x:v>3</x:v>
      </x:c>
      <x:c r="L611" s="2" t="str">
        <x:v>3</x:v>
      </x:c>
      <x:c r="M611" s="2" t="str">
        <x:v>3</x:v>
      </x:c>
      <x:c r="N611" s="2" t="str">
        <x:v>0</x:v>
      </x:c>
      <x:c r="O611" s="2" t="str">
        <x:v>0</x:v>
      </x:c>
      <x:c r="P611" s="2" t="str">
        <x:v>false</x:v>
      </x:c>
      <x:c r="Q611" s="2" t="str">
        <x:v>-54.458161874;-54.458161874;-54.458161874</x:v>
      </x:c>
      <x:c r="R611" s="2" t="str">
        <x:v>13.93320799979847</x:v>
      </x:c>
      <x:c r="S611" s="2" t="str">
        <x:v>48.19106862727245</x:v>
      </x:c>
    </x:row>
    <x:row r="612">
      <x:c r="A612" s="2" t="str">
        <x:v>DE-CMP-01</x:v>
      </x:c>
      <x:c r="B612" s="2" t="str">
        <x:v>CFG-C01</x:v>
      </x:c>
      <x:c r="C612" s="2" t="n">
        <x:v>46227.70238086805</x:v>
      </x:c>
      <x:c r="D612" s="2" t="str">
        <x:v>os_cfar</x:v>
      </x:c>
      <x:c r="E612" s="2" t="str">
        <x:v>multiple_carriers</x:v>
      </x:c>
      <x:c r="F612" s="2" t="str">
        <x:v>306</x:v>
      </x:c>
      <x:c r="G612" s="2" t="str">
        <x:v>3134209</x:v>
      </x:c>
      <x:c r="H612" s="2" t="str">
        <x:v>2048000.0</x:v>
      </x:c>
      <x:c r="I612" s="2" t="str">
        <x:v>8192</x:v>
      </x:c>
      <x:c r="J612" s="2" t="str">
        <x:v>250.0</x:v>
      </x:c>
      <x:c r="K612" s="2" t="str">
        <x:v>3</x:v>
      </x:c>
      <x:c r="L612" s="2" t="str">
        <x:v>3</x:v>
      </x:c>
      <x:c r="M612" s="2" t="str">
        <x:v>3</x:v>
      </x:c>
      <x:c r="N612" s="2" t="str">
        <x:v>0</x:v>
      </x:c>
      <x:c r="O612" s="2" t="str">
        <x:v>0</x:v>
      </x:c>
      <x:c r="P612" s="2" t="str">
        <x:v>false</x:v>
      </x:c>
      <x:c r="Q612" s="2" t="str">
        <x:v>43.857073661;43.857073661;43.857073661</x:v>
      </x:c>
      <x:c r="R612" s="2" t="str">
        <x:v>13.683666998986155</x:v>
      </x:c>
      <x:c r="S612" s="2" t="str">
        <x:v>48.200493291407795</x:v>
      </x:c>
    </x:row>
    <x:row r="613">
      <x:c r="A613" s="2" t="str">
        <x:v>DE-CMP-01</x:v>
      </x:c>
      <x:c r="B613" s="2" t="str">
        <x:v>CFG-C01</x:v>
      </x:c>
      <x:c r="C613" s="2" t="n">
        <x:v>46227.70238086805</x:v>
      </x:c>
      <x:c r="D613" s="2" t="str">
        <x:v>adaptive</x:v>
      </x:c>
      <x:c r="E613" s="2" t="str">
        <x:v>multiple_carriers</x:v>
      </x:c>
      <x:c r="F613" s="2" t="str">
        <x:v>306</x:v>
      </x:c>
      <x:c r="G613" s="2" t="str">
        <x:v>3134209</x:v>
      </x:c>
      <x:c r="H613" s="2" t="str">
        <x:v>2048000.0</x:v>
      </x:c>
      <x:c r="I613" s="2" t="str">
        <x:v>8192</x:v>
      </x:c>
      <x:c r="J613" s="2" t="str">
        <x:v>250.0</x:v>
      </x:c>
      <x:c r="K613" s="2" t="str">
        <x:v>3</x:v>
      </x:c>
      <x:c r="L613" s="2" t="str">
        <x:v>3</x:v>
      </x:c>
      <x:c r="M613" s="2" t="str">
        <x:v>3</x:v>
      </x:c>
      <x:c r="N613" s="2" t="str">
        <x:v>0</x:v>
      </x:c>
      <x:c r="O613" s="2" t="str">
        <x:v>0</x:v>
      </x:c>
      <x:c r="P613" s="2" t="str">
        <x:v>false</x:v>
      </x:c>
      <x:c r="Q613" s="2" t="str">
        <x:v>43.857073661;43.857073661;43.857073661</x:v>
      </x:c>
      <x:c r="R613" s="2" t="str">
        <x:v>0.39945899334270507</x:v>
      </x:c>
      <x:c r="S613" s="2" t="str">
        <x:v>46.40384977070301</x:v>
      </x:c>
    </x:row>
    <x:row r="614">
      <x:c r="A614" s="2" t="str">
        <x:v>DE-CMP-01</x:v>
      </x:c>
      <x:c r="B614" s="2" t="str">
        <x:v>CFG-C01</x:v>
      </x:c>
      <x:c r="C614" s="2" t="n">
        <x:v>46227.70238086805</x:v>
      </x:c>
      <x:c r="D614" s="2" t="str">
        <x:v>adaptive</x:v>
      </x:c>
      <x:c r="E614" s="2" t="str">
        <x:v>multiple_carriers</x:v>
      </x:c>
      <x:c r="F614" s="2" t="str">
        <x:v>307</x:v>
      </x:c>
      <x:c r="G614" s="2" t="str">
        <x:v>3134210</x:v>
      </x:c>
      <x:c r="H614" s="2" t="str">
        <x:v>2048000.0</x:v>
      </x:c>
      <x:c r="I614" s="2" t="str">
        <x:v>8192</x:v>
      </x:c>
      <x:c r="J614" s="2" t="str">
        <x:v>250.0</x:v>
      </x:c>
      <x:c r="K614" s="2" t="str">
        <x:v>3</x:v>
      </x:c>
      <x:c r="L614" s="2" t="str">
        <x:v>3</x:v>
      </x:c>
      <x:c r="M614" s="2" t="str">
        <x:v>3</x:v>
      </x:c>
      <x:c r="N614" s="2" t="str">
        <x:v>0</x:v>
      </x:c>
      <x:c r="O614" s="2" t="str">
        <x:v>0</x:v>
      </x:c>
      <x:c r="P614" s="2" t="str">
        <x:v>false</x:v>
      </x:c>
      <x:c r="Q614" s="2" t="str">
        <x:v>69.822041937;69.822041937;69.822041937</x:v>
      </x:c>
      <x:c r="R614" s="2" t="str">
        <x:v>0.37112498830538243</x:v>
      </x:c>
      <x:c r="S614" s="2" t="str">
        <x:v>46.34791724699931</x:v>
      </x:c>
    </x:row>
    <x:row r="615">
      <x:c r="A615" s="2" t="str">
        <x:v>DE-CMP-01</x:v>
      </x:c>
      <x:c r="B615" s="2" t="str">
        <x:v>CFG-C01</x:v>
      </x:c>
      <x:c r="C615" s="2" t="n">
        <x:v>46227.70238086805</x:v>
      </x:c>
      <x:c r="D615" s="2" t="str">
        <x:v>os_cfar</x:v>
      </x:c>
      <x:c r="E615" s="2" t="str">
        <x:v>multiple_carriers</x:v>
      </x:c>
      <x:c r="F615" s="2" t="str">
        <x:v>307</x:v>
      </x:c>
      <x:c r="G615" s="2" t="str">
        <x:v>3134210</x:v>
      </x:c>
      <x:c r="H615" s="2" t="str">
        <x:v>2048000.0</x:v>
      </x:c>
      <x:c r="I615" s="2" t="str">
        <x:v>8192</x:v>
      </x:c>
      <x:c r="J615" s="2" t="str">
        <x:v>250.0</x:v>
      </x:c>
      <x:c r="K615" s="2" t="str">
        <x:v>3</x:v>
      </x:c>
      <x:c r="L615" s="2" t="str">
        <x:v>3</x:v>
      </x:c>
      <x:c r="M615" s="2" t="str">
        <x:v>3</x:v>
      </x:c>
      <x:c r="N615" s="2" t="str">
        <x:v>0</x:v>
      </x:c>
      <x:c r="O615" s="2" t="str">
        <x:v>0</x:v>
      </x:c>
      <x:c r="P615" s="2" t="str">
        <x:v>false</x:v>
      </x:c>
      <x:c r="Q615" s="2" t="str">
        <x:v>69.822041937;69.822041937;69.822041937</x:v>
      </x:c>
      <x:c r="R615" s="2" t="str">
        <x:v>13.940167002147064</x:v>
      </x:c>
      <x:c r="S615" s="2" t="str">
        <x:v>48.20240176459408</x:v>
      </x:c>
    </x:row>
    <x:row r="616">
      <x:c r="A616" s="2" t="str">
        <x:v>DE-CMP-01</x:v>
      </x:c>
      <x:c r="B616" s="2" t="str">
        <x:v>CFG-C01</x:v>
      </x:c>
      <x:c r="C616" s="2" t="n">
        <x:v>46227.70238086805</x:v>
      </x:c>
      <x:c r="D616" s="2" t="str">
        <x:v>os_cfar</x:v>
      </x:c>
      <x:c r="E616" s="2" t="str">
        <x:v>multiple_carriers</x:v>
      </x:c>
      <x:c r="F616" s="2" t="str">
        <x:v>308</x:v>
      </x:c>
      <x:c r="G616" s="2" t="str">
        <x:v>3134211</x:v>
      </x:c>
      <x:c r="H616" s="2" t="str">
        <x:v>2048000.0</x:v>
      </x:c>
      <x:c r="I616" s="2" t="str">
        <x:v>8192</x:v>
      </x:c>
      <x:c r="J616" s="2" t="str">
        <x:v>250.0</x:v>
      </x:c>
      <x:c r="K616" s="2" t="str">
        <x:v>3</x:v>
      </x:c>
      <x:c r="L616" s="2" t="str">
        <x:v>3</x:v>
      </x:c>
      <x:c r="M616" s="2" t="str">
        <x:v>3</x:v>
      </x:c>
      <x:c r="N616" s="2" t="str">
        <x:v>0</x:v>
      </x:c>
      <x:c r="O616" s="2" t="str">
        <x:v>0</x:v>
      </x:c>
      <x:c r="P616" s="2" t="str">
        <x:v>false</x:v>
      </x:c>
      <x:c r="Q616" s="2" t="str">
        <x:v>84.730235758;84.730235758;84.730235758</x:v>
      </x:c>
      <x:c r="R616" s="2" t="str">
        <x:v>13.719041002332233</x:v>
      </x:c>
      <x:c r="S616" s="2" t="str">
        <x:v>48.065974113421746</x:v>
      </x:c>
    </x:row>
    <x:row r="617">
      <x:c r="A617" s="2" t="str">
        <x:v>DE-CMP-01</x:v>
      </x:c>
      <x:c r="B617" s="2" t="str">
        <x:v>CFG-C01</x:v>
      </x:c>
      <x:c r="C617" s="2" t="n">
        <x:v>46227.70238086805</x:v>
      </x:c>
      <x:c r="D617" s="2" t="str">
        <x:v>adaptive</x:v>
      </x:c>
      <x:c r="E617" s="2" t="str">
        <x:v>multiple_carriers</x:v>
      </x:c>
      <x:c r="F617" s="2" t="str">
        <x:v>308</x:v>
      </x:c>
      <x:c r="G617" s="2" t="str">
        <x:v>3134211</x:v>
      </x:c>
      <x:c r="H617" s="2" t="str">
        <x:v>2048000.0</x:v>
      </x:c>
      <x:c r="I617" s="2" t="str">
        <x:v>8192</x:v>
      </x:c>
      <x:c r="J617" s="2" t="str">
        <x:v>250.0</x:v>
      </x:c>
      <x:c r="K617" s="2" t="str">
        <x:v>3</x:v>
      </x:c>
      <x:c r="L617" s="2" t="str">
        <x:v>3</x:v>
      </x:c>
      <x:c r="M617" s="2" t="str">
        <x:v>3</x:v>
      </x:c>
      <x:c r="N617" s="2" t="str">
        <x:v>0</x:v>
      </x:c>
      <x:c r="O617" s="2" t="str">
        <x:v>0</x:v>
      </x:c>
      <x:c r="P617" s="2" t="str">
        <x:v>false</x:v>
      </x:c>
      <x:c r="Q617" s="2" t="str">
        <x:v>84.730235758;84.730235758;84.730235758</x:v>
      </x:c>
      <x:c r="R617" s="2" t="str">
        <x:v>0.41766700451262295</x:v>
      </x:c>
      <x:c r="S617" s="2" t="str">
        <x:v>46.09378326346612</x:v>
      </x:c>
    </x:row>
    <x:row r="618">
      <x:c r="A618" s="2" t="str">
        <x:v>DE-CMP-01</x:v>
      </x:c>
      <x:c r="B618" s="2" t="str">
        <x:v>CFG-C01</x:v>
      </x:c>
      <x:c r="C618" s="2" t="n">
        <x:v>46227.70238086805</x:v>
      </x:c>
      <x:c r="D618" s="2" t="str">
        <x:v>adaptive</x:v>
      </x:c>
      <x:c r="E618" s="2" t="str">
        <x:v>multiple_carriers</x:v>
      </x:c>
      <x:c r="F618" s="2" t="str">
        <x:v>309</x:v>
      </x:c>
      <x:c r="G618" s="2" t="str">
        <x:v>3134212</x:v>
      </x:c>
      <x:c r="H618" s="2" t="str">
        <x:v>2048000.0</x:v>
      </x:c>
      <x:c r="I618" s="2" t="str">
        <x:v>8192</x:v>
      </x:c>
      <x:c r="J618" s="2" t="str">
        <x:v>250.0</x:v>
      </x:c>
      <x:c r="K618" s="2" t="str">
        <x:v>3</x:v>
      </x:c>
      <x:c r="L618" s="2" t="str">
        <x:v>3</x:v>
      </x:c>
      <x:c r="M618" s="2" t="str">
        <x:v>3</x:v>
      </x:c>
      <x:c r="N618" s="2" t="str">
        <x:v>0</x:v>
      </x:c>
      <x:c r="O618" s="2" t="str">
        <x:v>0</x:v>
      </x:c>
      <x:c r="P618" s="2" t="str">
        <x:v>false</x:v>
      </x:c>
      <x:c r="Q618" s="2" t="str">
        <x:v>85.390554137;85.390554137;85.390554137</x:v>
      </x:c>
      <x:c r="R618" s="2" t="str">
        <x:v>0.425833000917919</x:v>
      </x:c>
      <x:c r="S618" s="2" t="str">
        <x:v>46.46135388834376</x:v>
      </x:c>
    </x:row>
    <x:row r="619">
      <x:c r="A619" s="2" t="str">
        <x:v>DE-CMP-01</x:v>
      </x:c>
      <x:c r="B619" s="2" t="str">
        <x:v>CFG-C01</x:v>
      </x:c>
      <x:c r="C619" s="2" t="n">
        <x:v>46227.70238086805</x:v>
      </x:c>
      <x:c r="D619" s="2" t="str">
        <x:v>os_cfar</x:v>
      </x:c>
      <x:c r="E619" s="2" t="str">
        <x:v>multiple_carriers</x:v>
      </x:c>
      <x:c r="F619" s="2" t="str">
        <x:v>309</x:v>
      </x:c>
      <x:c r="G619" s="2" t="str">
        <x:v>3134212</x:v>
      </x:c>
      <x:c r="H619" s="2" t="str">
        <x:v>2048000.0</x:v>
      </x:c>
      <x:c r="I619" s="2" t="str">
        <x:v>8192</x:v>
      </x:c>
      <x:c r="J619" s="2" t="str">
        <x:v>250.0</x:v>
      </x:c>
      <x:c r="K619" s="2" t="str">
        <x:v>3</x:v>
      </x:c>
      <x:c r="L619" s="2" t="str">
        <x:v>3</x:v>
      </x:c>
      <x:c r="M619" s="2" t="str">
        <x:v>3</x:v>
      </x:c>
      <x:c r="N619" s="2" t="str">
        <x:v>0</x:v>
      </x:c>
      <x:c r="O619" s="2" t="str">
        <x:v>0</x:v>
      </x:c>
      <x:c r="P619" s="2" t="str">
        <x:v>false</x:v>
      </x:c>
      <x:c r="Q619" s="2" t="str">
        <x:v>85.390554137;85.390554137;85.390554137</x:v>
      </x:c>
      <x:c r="R619" s="2" t="str">
        <x:v>13.684667006600648</x:v>
      </x:c>
      <x:c r="S619" s="2" t="str">
        <x:v>48.25441984811871</x:v>
      </x:c>
    </x:row>
    <x:row r="620">
      <x:c r="A620" s="2" t="str">
        <x:v>DE-CMP-01</x:v>
      </x:c>
      <x:c r="B620" s="2" t="str">
        <x:v>CFG-C01</x:v>
      </x:c>
      <x:c r="C620" s="2" t="n">
        <x:v>46227.70238086805</x:v>
      </x:c>
      <x:c r="D620" s="2" t="str">
        <x:v>os_cfar</x:v>
      </x:c>
      <x:c r="E620" s="2" t="str">
        <x:v>multiple_carriers</x:v>
      </x:c>
      <x:c r="F620" s="2" t="str">
        <x:v>310</x:v>
      </x:c>
      <x:c r="G620" s="2" t="str">
        <x:v>3134213</x:v>
      </x:c>
      <x:c r="H620" s="2" t="str">
        <x:v>2048000.0</x:v>
      </x:c>
      <x:c r="I620" s="2" t="str">
        <x:v>8192</x:v>
      </x:c>
      <x:c r="J620" s="2" t="str">
        <x:v>250.0</x:v>
      </x:c>
      <x:c r="K620" s="2" t="str">
        <x:v>3</x:v>
      </x:c>
      <x:c r="L620" s="2" t="str">
        <x:v>3</x:v>
      </x:c>
      <x:c r="M620" s="2" t="str">
        <x:v>3</x:v>
      </x:c>
      <x:c r="N620" s="2" t="str">
        <x:v>0</x:v>
      </x:c>
      <x:c r="O620" s="2" t="str">
        <x:v>0</x:v>
      </x:c>
      <x:c r="P620" s="2" t="str">
        <x:v>false</x:v>
      </x:c>
      <x:c r="Q620" s="2" t="str">
        <x:v>-105.567887021;-105.567887021;-105.567887021</x:v>
      </x:c>
      <x:c r="R620" s="2" t="str">
        <x:v>13.965999998617917</x:v>
      </x:c>
      <x:c r="S620" s="2" t="str">
        <x:v>48.22508119338144</x:v>
      </x:c>
    </x:row>
    <x:row r="621">
      <x:c r="A621" s="2" t="str">
        <x:v>DE-CMP-01</x:v>
      </x:c>
      <x:c r="B621" s="2" t="str">
        <x:v>CFG-C01</x:v>
      </x:c>
      <x:c r="C621" s="2" t="n">
        <x:v>46227.70238086805</x:v>
      </x:c>
      <x:c r="D621" s="2" t="str">
        <x:v>adaptive</x:v>
      </x:c>
      <x:c r="E621" s="2" t="str">
        <x:v>multiple_carriers</x:v>
      </x:c>
      <x:c r="F621" s="2" t="str">
        <x:v>310</x:v>
      </x:c>
      <x:c r="G621" s="2" t="str">
        <x:v>3134213</x:v>
      </x:c>
      <x:c r="H621" s="2" t="str">
        <x:v>2048000.0</x:v>
      </x:c>
      <x:c r="I621" s="2" t="str">
        <x:v>8192</x:v>
      </x:c>
      <x:c r="J621" s="2" t="str">
        <x:v>250.0</x:v>
      </x:c>
      <x:c r="K621" s="2" t="str">
        <x:v>3</x:v>
      </x:c>
      <x:c r="L621" s="2" t="str">
        <x:v>3</x:v>
      </x:c>
      <x:c r="M621" s="2" t="str">
        <x:v>3</x:v>
      </x:c>
      <x:c r="N621" s="2" t="str">
        <x:v>0</x:v>
      </x:c>
      <x:c r="O621" s="2" t="str">
        <x:v>0</x:v>
      </x:c>
      <x:c r="P621" s="2" t="str">
        <x:v>false</x:v>
      </x:c>
      <x:c r="Q621" s="2" t="str">
        <x:v>-105.567887021;-105.567887021;-105.567887021</x:v>
      </x:c>
      <x:c r="R621" s="2" t="str">
        <x:v>0.39724999805912375</x:v>
      </x:c>
      <x:c r="S621" s="2" t="str">
        <x:v>46.50379272580142</x:v>
      </x:c>
    </x:row>
    <x:row r="622">
      <x:c r="A622" s="2" t="str">
        <x:v>DE-CMP-01</x:v>
      </x:c>
      <x:c r="B622" s="2" t="str">
        <x:v>CFG-C01</x:v>
      </x:c>
      <x:c r="C622" s="2" t="n">
        <x:v>46227.70238086805</x:v>
      </x:c>
      <x:c r="D622" s="2" t="str">
        <x:v>adaptive</x:v>
      </x:c>
      <x:c r="E622" s="2" t="str">
        <x:v>multiple_carriers</x:v>
      </x:c>
      <x:c r="F622" s="2" t="str">
        <x:v>311</x:v>
      </x:c>
      <x:c r="G622" s="2" t="str">
        <x:v>3134214</x:v>
      </x:c>
      <x:c r="H622" s="2" t="str">
        <x:v>2048000.0</x:v>
      </x:c>
      <x:c r="I622" s="2" t="str">
        <x:v>8192</x:v>
      </x:c>
      <x:c r="J622" s="2" t="str">
        <x:v>250.0</x:v>
      </x:c>
      <x:c r="K622" s="2" t="str">
        <x:v>3</x:v>
      </x:c>
      <x:c r="L622" s="2" t="str">
        <x:v>3</x:v>
      </x:c>
      <x:c r="M622" s="2" t="str">
        <x:v>3</x:v>
      </x:c>
      <x:c r="N622" s="2" t="str">
        <x:v>0</x:v>
      </x:c>
      <x:c r="O622" s="2" t="str">
        <x:v>0</x:v>
      </x:c>
      <x:c r="P622" s="2" t="str">
        <x:v>false</x:v>
      </x:c>
      <x:c r="Q622" s="2" t="str">
        <x:v>14.933838103;14.933838103;14.933838103</x:v>
      </x:c>
      <x:c r="R622" s="2" t="str">
        <x:v>0.3745420108316466</x:v>
      </x:c>
      <x:c r="S622" s="2" t="str">
        <x:v>46.44730130229832</x:v>
      </x:c>
    </x:row>
    <x:row r="623">
      <x:c r="A623" s="2" t="str">
        <x:v>DE-CMP-01</x:v>
      </x:c>
      <x:c r="B623" s="2" t="str">
        <x:v>CFG-C01</x:v>
      </x:c>
      <x:c r="C623" s="2" t="n">
        <x:v>46227.70238086805</x:v>
      </x:c>
      <x:c r="D623" s="2" t="str">
        <x:v>os_cfar</x:v>
      </x:c>
      <x:c r="E623" s="2" t="str">
        <x:v>multiple_carriers</x:v>
      </x:c>
      <x:c r="F623" s="2" t="str">
        <x:v>311</x:v>
      </x:c>
      <x:c r="G623" s="2" t="str">
        <x:v>3134214</x:v>
      </x:c>
      <x:c r="H623" s="2" t="str">
        <x:v>2048000.0</x:v>
      </x:c>
      <x:c r="I623" s="2" t="str">
        <x:v>8192</x:v>
      </x:c>
      <x:c r="J623" s="2" t="str">
        <x:v>250.0</x:v>
      </x:c>
      <x:c r="K623" s="2" t="str">
        <x:v>3</x:v>
      </x:c>
      <x:c r="L623" s="2" t="str">
        <x:v>3</x:v>
      </x:c>
      <x:c r="M623" s="2" t="str">
        <x:v>3</x:v>
      </x:c>
      <x:c r="N623" s="2" t="str">
        <x:v>0</x:v>
      </x:c>
      <x:c r="O623" s="2" t="str">
        <x:v>0</x:v>
      </x:c>
      <x:c r="P623" s="2" t="str">
        <x:v>false</x:v>
      </x:c>
      <x:c r="Q623" s="2" t="str">
        <x:v>14.933838103;14.933838103;14.933838103</x:v>
      </x:c>
      <x:c r="R623" s="2" t="str">
        <x:v>13.5728330060374</x:v>
      </x:c>
      <x:c r="S623" s="2" t="str">
        <x:v>48.28488273305535</x:v>
      </x:c>
    </x:row>
    <x:row r="624">
      <x:c r="A624" s="2" t="str">
        <x:v>DE-CMP-01</x:v>
      </x:c>
      <x:c r="B624" s="2" t="str">
        <x:v>CFG-C01</x:v>
      </x:c>
      <x:c r="C624" s="2" t="n">
        <x:v>46227.70238086805</x:v>
      </x:c>
      <x:c r="D624" s="2" t="str">
        <x:v>os_cfar</x:v>
      </x:c>
      <x:c r="E624" s="2" t="str">
        <x:v>multiple_carriers</x:v>
      </x:c>
      <x:c r="F624" s="2" t="str">
        <x:v>312</x:v>
      </x:c>
      <x:c r="G624" s="2" t="str">
        <x:v>3134215</x:v>
      </x:c>
      <x:c r="H624" s="2" t="str">
        <x:v>2048000.0</x:v>
      </x:c>
      <x:c r="I624" s="2" t="str">
        <x:v>8192</x:v>
      </x:c>
      <x:c r="J624" s="2" t="str">
        <x:v>250.0</x:v>
      </x:c>
      <x:c r="K624" s="2" t="str">
        <x:v>3</x:v>
      </x:c>
      <x:c r="L624" s="2" t="str">
        <x:v>3</x:v>
      </x:c>
      <x:c r="M624" s="2" t="str">
        <x:v>3</x:v>
      </x:c>
      <x:c r="N624" s="2" t="str">
        <x:v>0</x:v>
      </x:c>
      <x:c r="O624" s="2" t="str">
        <x:v>0</x:v>
      </x:c>
      <x:c r="P624" s="2" t="str">
        <x:v>false</x:v>
      </x:c>
      <x:c r="Q624" s="2" t="str">
        <x:v>-62.194554136;-62.194554136;-62.194554136</x:v>
      </x:c>
      <x:c r="R624" s="2" t="str">
        <x:v>13.821332991938107</x:v>
      </x:c>
      <x:c r="S624" s="2" t="str">
        <x:v>48.29254476131416</x:v>
      </x:c>
    </x:row>
    <x:row r="625">
      <x:c r="A625" s="2" t="str">
        <x:v>DE-CMP-01</x:v>
      </x:c>
      <x:c r="B625" s="2" t="str">
        <x:v>CFG-C01</x:v>
      </x:c>
      <x:c r="C625" s="2" t="n">
        <x:v>46227.70238086805</x:v>
      </x:c>
      <x:c r="D625" s="2" t="str">
        <x:v>adaptive</x:v>
      </x:c>
      <x:c r="E625" s="2" t="str">
        <x:v>multiple_carriers</x:v>
      </x:c>
      <x:c r="F625" s="2" t="str">
        <x:v>312</x:v>
      </x:c>
      <x:c r="G625" s="2" t="str">
        <x:v>3134215</x:v>
      </x:c>
      <x:c r="H625" s="2" t="str">
        <x:v>2048000.0</x:v>
      </x:c>
      <x:c r="I625" s="2" t="str">
        <x:v>8192</x:v>
      </x:c>
      <x:c r="J625" s="2" t="str">
        <x:v>250.0</x:v>
      </x:c>
      <x:c r="K625" s="2" t="str">
        <x:v>3</x:v>
      </x:c>
      <x:c r="L625" s="2" t="str">
        <x:v>3</x:v>
      </x:c>
      <x:c r="M625" s="2" t="str">
        <x:v>3</x:v>
      </x:c>
      <x:c r="N625" s="2" t="str">
        <x:v>0</x:v>
      </x:c>
      <x:c r="O625" s="2" t="str">
        <x:v>0</x:v>
      </x:c>
      <x:c r="P625" s="2" t="str">
        <x:v>false</x:v>
      </x:c>
      <x:c r="Q625" s="2" t="str">
        <x:v>-62.194554136;-62.194554136;-62.194554136</x:v>
      </x:c>
      <x:c r="R625" s="2" t="str">
        <x:v>0.4411659901961684</x:v>
      </x:c>
      <x:c r="S625" s="2" t="str">
        <x:v>46.52282945598587</x:v>
      </x:c>
    </x:row>
    <x:row r="626">
      <x:c r="A626" s="2" t="str">
        <x:v>DE-CMP-01</x:v>
      </x:c>
      <x:c r="B626" s="2" t="str">
        <x:v>CFG-C01</x:v>
      </x:c>
      <x:c r="C626" s="2" t="n">
        <x:v>46227.70238086805</x:v>
      </x:c>
      <x:c r="D626" s="2" t="str">
        <x:v>adaptive</x:v>
      </x:c>
      <x:c r="E626" s="2" t="str">
        <x:v>multiple_carriers</x:v>
      </x:c>
      <x:c r="F626" s="2" t="str">
        <x:v>313</x:v>
      </x:c>
      <x:c r="G626" s="2" t="str">
        <x:v>3134216</x:v>
      </x:c>
      <x:c r="H626" s="2" t="str">
        <x:v>2048000.0</x:v>
      </x:c>
      <x:c r="I626" s="2" t="str">
        <x:v>8192</x:v>
      </x:c>
      <x:c r="J626" s="2" t="str">
        <x:v>250.0</x:v>
      </x:c>
      <x:c r="K626" s="2" t="str">
        <x:v>3</x:v>
      </x:c>
      <x:c r="L626" s="2" t="str">
        <x:v>3</x:v>
      </x:c>
      <x:c r="M626" s="2" t="str">
        <x:v>3</x:v>
      </x:c>
      <x:c r="N626" s="2" t="str">
        <x:v>0</x:v>
      </x:c>
      <x:c r="O626" s="2" t="str">
        <x:v>0</x:v>
      </x:c>
      <x:c r="P626" s="2" t="str">
        <x:v>false</x:v>
      </x:c>
      <x:c r="Q626" s="2" t="str">
        <x:v>-46.226519903;-46.226519903;-46.226519903</x:v>
      </x:c>
      <x:c r="R626" s="2" t="str">
        <x:v>0.43987500248476863</x:v>
      </x:c>
      <x:c r="S626" s="2" t="str">
        <x:v>46.49421988823798</x:v>
      </x:c>
    </x:row>
    <x:row r="627">
      <x:c r="A627" s="2" t="str">
        <x:v>DE-CMP-01</x:v>
      </x:c>
      <x:c r="B627" s="2" t="str">
        <x:v>CFG-C01</x:v>
      </x:c>
      <x:c r="C627" s="2" t="n">
        <x:v>46227.70238086805</x:v>
      </x:c>
      <x:c r="D627" s="2" t="str">
        <x:v>os_cfar</x:v>
      </x:c>
      <x:c r="E627" s="2" t="str">
        <x:v>multiple_carriers</x:v>
      </x:c>
      <x:c r="F627" s="2" t="str">
        <x:v>313</x:v>
      </x:c>
      <x:c r="G627" s="2" t="str">
        <x:v>3134216</x:v>
      </x:c>
      <x:c r="H627" s="2" t="str">
        <x:v>2048000.0</x:v>
      </x:c>
      <x:c r="I627" s="2" t="str">
        <x:v>8192</x:v>
      </x:c>
      <x:c r="J627" s="2" t="str">
        <x:v>250.0</x:v>
      </x:c>
      <x:c r="K627" s="2" t="str">
        <x:v>3</x:v>
      </x:c>
      <x:c r="L627" s="2" t="str">
        <x:v>3</x:v>
      </x:c>
      <x:c r="M627" s="2" t="str">
        <x:v>3</x:v>
      </x:c>
      <x:c r="N627" s="2" t="str">
        <x:v>0</x:v>
      </x:c>
      <x:c r="O627" s="2" t="str">
        <x:v>0</x:v>
      </x:c>
      <x:c r="P627" s="2" t="str">
        <x:v>false</x:v>
      </x:c>
      <x:c r="Q627" s="2" t="str">
        <x:v>-46.226519903;-46.226519903;-46.226519903</x:v>
      </x:c>
      <x:c r="R627" s="2" t="str">
        <x:v>13.682249991688877</x:v>
      </x:c>
      <x:c r="S627" s="2" t="str">
        <x:v>48.2758745784822</x:v>
      </x:c>
    </x:row>
    <x:row r="628">
      <x:c r="A628" s="2" t="str">
        <x:v>DE-CMP-01</x:v>
      </x:c>
      <x:c r="B628" s="2" t="str">
        <x:v>CFG-C01</x:v>
      </x:c>
      <x:c r="C628" s="2" t="n">
        <x:v>46227.70238086805</x:v>
      </x:c>
      <x:c r="D628" s="2" t="str">
        <x:v>os_cfar</x:v>
      </x:c>
      <x:c r="E628" s="2" t="str">
        <x:v>multiple_carriers</x:v>
      </x:c>
      <x:c r="F628" s="2" t="str">
        <x:v>314</x:v>
      </x:c>
      <x:c r="G628" s="2" t="str">
        <x:v>3134217</x:v>
      </x:c>
      <x:c r="H628" s="2" t="str">
        <x:v>2048000.0</x:v>
      </x:c>
      <x:c r="I628" s="2" t="str">
        <x:v>8192</x:v>
      </x:c>
      <x:c r="J628" s="2" t="str">
        <x:v>250.0</x:v>
      </x:c>
      <x:c r="K628" s="2" t="str">
        <x:v>3</x:v>
      </x:c>
      <x:c r="L628" s="2" t="str">
        <x:v>3</x:v>
      </x:c>
      <x:c r="M628" s="2" t="str">
        <x:v>3</x:v>
      </x:c>
      <x:c r="N628" s="2" t="str">
        <x:v>0</x:v>
      </x:c>
      <x:c r="O628" s="2" t="str">
        <x:v>0</x:v>
      </x:c>
      <x:c r="P628" s="2" t="str">
        <x:v>false</x:v>
      </x:c>
      <x:c r="Q628" s="2" t="str">
        <x:v>109.840783718;109.840783718;109.840783718</x:v>
      </x:c>
      <x:c r="R628" s="2" t="str">
        <x:v>13.726290999329649</x:v>
      </x:c>
      <x:c r="S628" s="2" t="str">
        <x:v>48.33644793696696</x:v>
      </x:c>
    </x:row>
    <x:row r="629">
      <x:c r="A629" s="2" t="str">
        <x:v>DE-CMP-01</x:v>
      </x:c>
      <x:c r="B629" s="2" t="str">
        <x:v>CFG-C01</x:v>
      </x:c>
      <x:c r="C629" s="2" t="n">
        <x:v>46227.70238086805</x:v>
      </x:c>
      <x:c r="D629" s="2" t="str">
        <x:v>adaptive</x:v>
      </x:c>
      <x:c r="E629" s="2" t="str">
        <x:v>multiple_carriers</x:v>
      </x:c>
      <x:c r="F629" s="2" t="str">
        <x:v>314</x:v>
      </x:c>
      <x:c r="G629" s="2" t="str">
        <x:v>3134217</x:v>
      </x:c>
      <x:c r="H629" s="2" t="str">
        <x:v>2048000.0</x:v>
      </x:c>
      <x:c r="I629" s="2" t="str">
        <x:v>8192</x:v>
      </x:c>
      <x:c r="J629" s="2" t="str">
        <x:v>250.0</x:v>
      </x:c>
      <x:c r="K629" s="2" t="str">
        <x:v>3</x:v>
      </x:c>
      <x:c r="L629" s="2" t="str">
        <x:v>3</x:v>
      </x:c>
      <x:c r="M629" s="2" t="str">
        <x:v>3</x:v>
      </x:c>
      <x:c r="N629" s="2" t="str">
        <x:v>0</x:v>
      </x:c>
      <x:c r="O629" s="2" t="str">
        <x:v>0</x:v>
      </x:c>
      <x:c r="P629" s="2" t="str">
        <x:v>false</x:v>
      </x:c>
      <x:c r="Q629" s="2" t="str">
        <x:v>109.840783718;109.840783718;109.840783718</x:v>
      </x:c>
      <x:c r="R629" s="2" t="str">
        <x:v>0.40091700793709606</x:v>
      </x:c>
      <x:c r="S629" s="2" t="str">
        <x:v>46.59638513616561</x:v>
      </x:c>
    </x:row>
    <x:row r="630">
      <x:c r="A630" s="2" t="str">
        <x:v>DE-CMP-01</x:v>
      </x:c>
      <x:c r="B630" s="2" t="str">
        <x:v>CFG-C01</x:v>
      </x:c>
      <x:c r="C630" s="2" t="n">
        <x:v>46227.70238086805</x:v>
      </x:c>
      <x:c r="D630" s="2" t="str">
        <x:v>adaptive</x:v>
      </x:c>
      <x:c r="E630" s="2" t="str">
        <x:v>multiple_carriers</x:v>
      </x:c>
      <x:c r="F630" s="2" t="str">
        <x:v>315</x:v>
      </x:c>
      <x:c r="G630" s="2" t="str">
        <x:v>3134218</x:v>
      </x:c>
      <x:c r="H630" s="2" t="str">
        <x:v>2048000.0</x:v>
      </x:c>
      <x:c r="I630" s="2" t="str">
        <x:v>8192</x:v>
      </x:c>
      <x:c r="J630" s="2" t="str">
        <x:v>250.0</x:v>
      </x:c>
      <x:c r="K630" s="2" t="str">
        <x:v>3</x:v>
      </x:c>
      <x:c r="L630" s="2" t="str">
        <x:v>3</x:v>
      </x:c>
      <x:c r="M630" s="2" t="str">
        <x:v>3</x:v>
      </x:c>
      <x:c r="N630" s="2" t="str">
        <x:v>0</x:v>
      </x:c>
      <x:c r="O630" s="2" t="str">
        <x:v>0</x:v>
      </x:c>
      <x:c r="P630" s="2" t="str">
        <x:v>false</x:v>
      </x:c>
      <x:c r="Q630" s="2" t="str">
        <x:v>-65.349821087;-65.349821087;-65.349821087</x:v>
      </x:c>
      <x:c r="R630" s="2" t="str">
        <x:v>0.4118750075576827</x:v>
      </x:c>
      <x:c r="S630" s="2" t="str">
        <x:v>46.65515195517791</x:v>
      </x:c>
    </x:row>
    <x:row r="631">
      <x:c r="A631" s="2" t="str">
        <x:v>DE-CMP-01</x:v>
      </x:c>
      <x:c r="B631" s="2" t="str">
        <x:v>CFG-C01</x:v>
      </x:c>
      <x:c r="C631" s="2" t="n">
        <x:v>46227.70238086805</x:v>
      </x:c>
      <x:c r="D631" s="2" t="str">
        <x:v>os_cfar</x:v>
      </x:c>
      <x:c r="E631" s="2" t="str">
        <x:v>multiple_carriers</x:v>
      </x:c>
      <x:c r="F631" s="2" t="str">
        <x:v>315</x:v>
      </x:c>
      <x:c r="G631" s="2" t="str">
        <x:v>3134218</x:v>
      </x:c>
      <x:c r="H631" s="2" t="str">
        <x:v>2048000.0</x:v>
      </x:c>
      <x:c r="I631" s="2" t="str">
        <x:v>8192</x:v>
      </x:c>
      <x:c r="J631" s="2" t="str">
        <x:v>250.0</x:v>
      </x:c>
      <x:c r="K631" s="2" t="str">
        <x:v>3</x:v>
      </x:c>
      <x:c r="L631" s="2" t="str">
        <x:v>3</x:v>
      </x:c>
      <x:c r="M631" s="2" t="str">
        <x:v>3</x:v>
      </x:c>
      <x:c r="N631" s="2" t="str">
        <x:v>0</x:v>
      </x:c>
      <x:c r="O631" s="2" t="str">
        <x:v>0</x:v>
      </x:c>
      <x:c r="P631" s="2" t="str">
        <x:v>false</x:v>
      </x:c>
      <x:c r="Q631" s="2" t="str">
        <x:v>-65.349821087;-65.349821087;-65.349821087</x:v>
      </x:c>
      <x:c r="R631" s="2" t="str">
        <x:v>13.740709007834084</x:v>
      </x:c>
      <x:c r="S631" s="2" t="str">
        <x:v>48.38910821891071</x:v>
      </x:c>
    </x:row>
    <x:row r="632">
      <x:c r="A632" s="2" t="str">
        <x:v>DE-CMP-01</x:v>
      </x:c>
      <x:c r="B632" s="2" t="str">
        <x:v>CFG-C01</x:v>
      </x:c>
      <x:c r="C632" s="2" t="n">
        <x:v>46227.70238086805</x:v>
      </x:c>
      <x:c r="D632" s="2" t="str">
        <x:v>os_cfar</x:v>
      </x:c>
      <x:c r="E632" s="2" t="str">
        <x:v>multiple_carriers</x:v>
      </x:c>
      <x:c r="F632" s="2" t="str">
        <x:v>316</x:v>
      </x:c>
      <x:c r="G632" s="2" t="str">
        <x:v>3134219</x:v>
      </x:c>
      <x:c r="H632" s="2" t="str">
        <x:v>2048000.0</x:v>
      </x:c>
      <x:c r="I632" s="2" t="str">
        <x:v>8192</x:v>
      </x:c>
      <x:c r="J632" s="2" t="str">
        <x:v>250.0</x:v>
      </x:c>
      <x:c r="K632" s="2" t="str">
        <x:v>3</x:v>
      </x:c>
      <x:c r="L632" s="2" t="str">
        <x:v>3</x:v>
      </x:c>
      <x:c r="M632" s="2" t="str">
        <x:v>3</x:v>
      </x:c>
      <x:c r="N632" s="2" t="str">
        <x:v>0</x:v>
      </x:c>
      <x:c r="O632" s="2" t="str">
        <x:v>0</x:v>
      </x:c>
      <x:c r="P632" s="2" t="str">
        <x:v>false</x:v>
      </x:c>
      <x:c r="Q632" s="2" t="str">
        <x:v>85.279379360;85.279379360;85.279379360</x:v>
      </x:c>
      <x:c r="R632" s="2" t="str">
        <x:v>13.700165989575908</x:v>
      </x:c>
      <x:c r="S632" s="2" t="str">
        <x:v>48.321694106729325</x:v>
      </x:c>
    </x:row>
    <x:row r="633">
      <x:c r="A633" s="2" t="str">
        <x:v>DE-CMP-01</x:v>
      </x:c>
      <x:c r="B633" s="2" t="str">
        <x:v>CFG-C01</x:v>
      </x:c>
      <x:c r="C633" s="2" t="n">
        <x:v>46227.70238086805</x:v>
      </x:c>
      <x:c r="D633" s="2" t="str">
        <x:v>adaptive</x:v>
      </x:c>
      <x:c r="E633" s="2" t="str">
        <x:v>multiple_carriers</x:v>
      </x:c>
      <x:c r="F633" s="2" t="str">
        <x:v>316</x:v>
      </x:c>
      <x:c r="G633" s="2" t="str">
        <x:v>3134219</x:v>
      </x:c>
      <x:c r="H633" s="2" t="str">
        <x:v>2048000.0</x:v>
      </x:c>
      <x:c r="I633" s="2" t="str">
        <x:v>8192</x:v>
      </x:c>
      <x:c r="J633" s="2" t="str">
        <x:v>250.0</x:v>
      </x:c>
      <x:c r="K633" s="2" t="str">
        <x:v>3</x:v>
      </x:c>
      <x:c r="L633" s="2" t="str">
        <x:v>3</x:v>
      </x:c>
      <x:c r="M633" s="2" t="str">
        <x:v>3</x:v>
      </x:c>
      <x:c r="N633" s="2" t="str">
        <x:v>0</x:v>
      </x:c>
      <x:c r="O633" s="2" t="str">
        <x:v>0</x:v>
      </x:c>
      <x:c r="P633" s="2" t="str">
        <x:v>false</x:v>
      </x:c>
      <x:c r="Q633" s="2" t="str">
        <x:v>85.279379360;85.279379360;85.279379360</x:v>
      </x:c>
      <x:c r="R633" s="2" t="str">
        <x:v>0.40666700806468725</x:v>
      </x:c>
      <x:c r="S633" s="2" t="str">
        <x:v>46.31485687933453</x:v>
      </x:c>
    </x:row>
    <x:row r="634">
      <x:c r="A634" s="2" t="str">
        <x:v>DE-CMP-01</x:v>
      </x:c>
      <x:c r="B634" s="2" t="str">
        <x:v>CFG-C01</x:v>
      </x:c>
      <x:c r="C634" s="2" t="n">
        <x:v>46227.70238086805</x:v>
      </x:c>
      <x:c r="D634" s="2" t="str">
        <x:v>adaptive</x:v>
      </x:c>
      <x:c r="E634" s="2" t="str">
        <x:v>multiple_carriers</x:v>
      </x:c>
      <x:c r="F634" s="2" t="str">
        <x:v>317</x:v>
      </x:c>
      <x:c r="G634" s="2" t="str">
        <x:v>3134220</x:v>
      </x:c>
      <x:c r="H634" s="2" t="str">
        <x:v>2048000.0</x:v>
      </x:c>
      <x:c r="I634" s="2" t="str">
        <x:v>8192</x:v>
      </x:c>
      <x:c r="J634" s="2" t="str">
        <x:v>250.0</x:v>
      </x:c>
      <x:c r="K634" s="2" t="str">
        <x:v>3</x:v>
      </x:c>
      <x:c r="L634" s="2" t="str">
        <x:v>3</x:v>
      </x:c>
      <x:c r="M634" s="2" t="str">
        <x:v>3</x:v>
      </x:c>
      <x:c r="N634" s="2" t="str">
        <x:v>0</x:v>
      </x:c>
      <x:c r="O634" s="2" t="str">
        <x:v>0</x:v>
      </x:c>
      <x:c r="P634" s="2" t="str">
        <x:v>false</x:v>
      </x:c>
      <x:c r="Q634" s="2" t="str">
        <x:v>68.703547446;68.703547447;68.703547447</x:v>
      </x:c>
      <x:c r="R634" s="2" t="str">
        <x:v>0.41399999463465065</x:v>
      </x:c>
      <x:c r="S634" s="2" t="str">
        <x:v>46.520114433903316</x:v>
      </x:c>
    </x:row>
    <x:row r="635">
      <x:c r="A635" s="2" t="str">
        <x:v>DE-CMP-01</x:v>
      </x:c>
      <x:c r="B635" s="2" t="str">
        <x:v>CFG-C01</x:v>
      </x:c>
      <x:c r="C635" s="2" t="n">
        <x:v>46227.70238086805</x:v>
      </x:c>
      <x:c r="D635" s="2" t="str">
        <x:v>os_cfar</x:v>
      </x:c>
      <x:c r="E635" s="2" t="str">
        <x:v>multiple_carriers</x:v>
      </x:c>
      <x:c r="F635" s="2" t="str">
        <x:v>317</x:v>
      </x:c>
      <x:c r="G635" s="2" t="str">
        <x:v>3134220</x:v>
      </x:c>
      <x:c r="H635" s="2" t="str">
        <x:v>2048000.0</x:v>
      </x:c>
      <x:c r="I635" s="2" t="str">
        <x:v>8192</x:v>
      </x:c>
      <x:c r="J635" s="2" t="str">
        <x:v>250.0</x:v>
      </x:c>
      <x:c r="K635" s="2" t="str">
        <x:v>3</x:v>
      </x:c>
      <x:c r="L635" s="2" t="str">
        <x:v>3</x:v>
      </x:c>
      <x:c r="M635" s="2" t="str">
        <x:v>3</x:v>
      </x:c>
      <x:c r="N635" s="2" t="str">
        <x:v>0</x:v>
      </x:c>
      <x:c r="O635" s="2" t="str">
        <x:v>0</x:v>
      </x:c>
      <x:c r="P635" s="2" t="str">
        <x:v>false</x:v>
      </x:c>
      <x:c r="Q635" s="2" t="str">
        <x:v>68.703547446;68.703547447;68.703547447</x:v>
      </x:c>
      <x:c r="R635" s="2" t="str">
        <x:v>13.797999999951571</x:v>
      </x:c>
      <x:c r="S635" s="2" t="str">
        <x:v>48.16210735658071</x:v>
      </x:c>
    </x:row>
    <x:row r="636">
      <x:c r="A636" s="2" t="str">
        <x:v>DE-CMP-01</x:v>
      </x:c>
      <x:c r="B636" s="2" t="str">
        <x:v>CFG-C01</x:v>
      </x:c>
      <x:c r="C636" s="2" t="n">
        <x:v>46227.70238086805</x:v>
      </x:c>
      <x:c r="D636" s="2" t="str">
        <x:v>os_cfar</x:v>
      </x:c>
      <x:c r="E636" s="2" t="str">
        <x:v>multiple_carriers</x:v>
      </x:c>
      <x:c r="F636" s="2" t="str">
        <x:v>318</x:v>
      </x:c>
      <x:c r="G636" s="2" t="str">
        <x:v>3134221</x:v>
      </x:c>
      <x:c r="H636" s="2" t="str">
        <x:v>2048000.0</x:v>
      </x:c>
      <x:c r="I636" s="2" t="str">
        <x:v>8192</x:v>
      </x:c>
      <x:c r="J636" s="2" t="str">
        <x:v>250.0</x:v>
      </x:c>
      <x:c r="K636" s="2" t="str">
        <x:v>3</x:v>
      </x:c>
      <x:c r="L636" s="2" t="str">
        <x:v>3</x:v>
      </x:c>
      <x:c r="M636" s="2" t="str">
        <x:v>3</x:v>
      </x:c>
      <x:c r="N636" s="2" t="str">
        <x:v>0</x:v>
      </x:c>
      <x:c r="O636" s="2" t="str">
        <x:v>0</x:v>
      </x:c>
      <x:c r="P636" s="2" t="str">
        <x:v>false</x:v>
      </x:c>
      <x:c r="Q636" s="2" t="str">
        <x:v>-78.554885994;-78.554885994;-78.554885994</x:v>
      </x:c>
      <x:c r="R636" s="2" t="str">
        <x:v>13.791374993161298</x:v>
      </x:c>
      <x:c r="S636" s="2" t="str">
        <x:v>48.1923975270226</x:v>
      </x:c>
    </x:row>
    <x:row r="637">
      <x:c r="A637" s="2" t="str">
        <x:v>DE-CMP-01</x:v>
      </x:c>
      <x:c r="B637" s="2" t="str">
        <x:v>CFG-C01</x:v>
      </x:c>
      <x:c r="C637" s="2" t="n">
        <x:v>46227.70238086805</x:v>
      </x:c>
      <x:c r="D637" s="2" t="str">
        <x:v>adaptive</x:v>
      </x:c>
      <x:c r="E637" s="2" t="str">
        <x:v>multiple_carriers</x:v>
      </x:c>
      <x:c r="F637" s="2" t="str">
        <x:v>318</x:v>
      </x:c>
      <x:c r="G637" s="2" t="str">
        <x:v>3134221</x:v>
      </x:c>
      <x:c r="H637" s="2" t="str">
        <x:v>2048000.0</x:v>
      </x:c>
      <x:c r="I637" s="2" t="str">
        <x:v>8192</x:v>
      </x:c>
      <x:c r="J637" s="2" t="str">
        <x:v>250.0</x:v>
      </x:c>
      <x:c r="K637" s="2" t="str">
        <x:v>3</x:v>
      </x:c>
      <x:c r="L637" s="2" t="str">
        <x:v>3</x:v>
      </x:c>
      <x:c r="M637" s="2" t="str">
        <x:v>3</x:v>
      </x:c>
      <x:c r="N637" s="2" t="str">
        <x:v>0</x:v>
      </x:c>
      <x:c r="O637" s="2" t="str">
        <x:v>0</x:v>
      </x:c>
      <x:c r="P637" s="2" t="str">
        <x:v>false</x:v>
      </x:c>
      <x:c r="Q637" s="2" t="str">
        <x:v>-78.554885994;-78.554885994;-78.554885994</x:v>
      </x:c>
      <x:c r="R637" s="2" t="str">
        <x:v>0.43074999121017754</x:v>
      </x:c>
      <x:c r="S637" s="2" t="str">
        <x:v>46.34073394903835</x:v>
      </x:c>
    </x:row>
    <x:row r="638">
      <x:c r="A638" s="2" t="str">
        <x:v>DE-CMP-01</x:v>
      </x:c>
      <x:c r="B638" s="2" t="str">
        <x:v>CFG-C01</x:v>
      </x:c>
      <x:c r="C638" s="2" t="n">
        <x:v>46227.70238086805</x:v>
      </x:c>
      <x:c r="D638" s="2" t="str">
        <x:v>adaptive</x:v>
      </x:c>
      <x:c r="E638" s="2" t="str">
        <x:v>multiple_carriers</x:v>
      </x:c>
      <x:c r="F638" s="2" t="str">
        <x:v>319</x:v>
      </x:c>
      <x:c r="G638" s="2" t="str">
        <x:v>3134222</x:v>
      </x:c>
      <x:c r="H638" s="2" t="str">
        <x:v>2048000.0</x:v>
      </x:c>
      <x:c r="I638" s="2" t="str">
        <x:v>8192</x:v>
      </x:c>
      <x:c r="J638" s="2" t="str">
        <x:v>250.0</x:v>
      </x:c>
      <x:c r="K638" s="2" t="str">
        <x:v>3</x:v>
      </x:c>
      <x:c r="L638" s="2" t="str">
        <x:v>3</x:v>
      </x:c>
      <x:c r="M638" s="2" t="str">
        <x:v>3</x:v>
      </x:c>
      <x:c r="N638" s="2" t="str">
        <x:v>0</x:v>
      </x:c>
      <x:c r="O638" s="2" t="str">
        <x:v>0</x:v>
      </x:c>
      <x:c r="P638" s="2" t="str">
        <x:v>false</x:v>
      </x:c>
      <x:c r="Q638" s="2" t="str">
        <x:v>110.447032300;110.447032300;110.447032300</x:v>
      </x:c>
      <x:c r="R638" s="2" t="str">
        <x:v>0.41725000482983887</x:v>
      </x:c>
      <x:c r="S638" s="2" t="str">
        <x:v>46.488844274256316</x:v>
      </x:c>
    </x:row>
    <x:row r="639">
      <x:c r="A639" s="2" t="str">
        <x:v>DE-CMP-01</x:v>
      </x:c>
      <x:c r="B639" s="2" t="str">
        <x:v>CFG-C01</x:v>
      </x:c>
      <x:c r="C639" s="2" t="n">
        <x:v>46227.70238086805</x:v>
      </x:c>
      <x:c r="D639" s="2" t="str">
        <x:v>os_cfar</x:v>
      </x:c>
      <x:c r="E639" s="2" t="str">
        <x:v>multiple_carriers</x:v>
      </x:c>
      <x:c r="F639" s="2" t="str">
        <x:v>319</x:v>
      </x:c>
      <x:c r="G639" s="2" t="str">
        <x:v>3134222</x:v>
      </x:c>
      <x:c r="H639" s="2" t="str">
        <x:v>2048000.0</x:v>
      </x:c>
      <x:c r="I639" s="2" t="str">
        <x:v>8192</x:v>
      </x:c>
      <x:c r="J639" s="2" t="str">
        <x:v>250.0</x:v>
      </x:c>
      <x:c r="K639" s="2" t="str">
        <x:v>3</x:v>
      </x:c>
      <x:c r="L639" s="2" t="str">
        <x:v>3</x:v>
      </x:c>
      <x:c r="M639" s="2" t="str">
        <x:v>3</x:v>
      </x:c>
      <x:c r="N639" s="2" t="str">
        <x:v>0</x:v>
      </x:c>
      <x:c r="O639" s="2" t="str">
        <x:v>0</x:v>
      </x:c>
      <x:c r="P639" s="2" t="str">
        <x:v>false</x:v>
      </x:c>
      <x:c r="Q639" s="2" t="str">
        <x:v>110.447032300;110.447032300;110.447032300</x:v>
      </x:c>
      <x:c r="R639" s="2" t="str">
        <x:v>13.738084002397954</x:v>
      </x:c>
      <x:c r="S639" s="2" t="str">
        <x:v>48.190478341546516</x:v>
      </x:c>
    </x:row>
    <x:row r="640">
      <x:c r="A640" s="2" t="str">
        <x:v>DE-CMP-01</x:v>
      </x:c>
      <x:c r="B640" s="2" t="str">
        <x:v>CFG-C01</x:v>
      </x:c>
      <x:c r="C640" s="2" t="n">
        <x:v>46227.70238086805</x:v>
      </x:c>
      <x:c r="D640" s="2" t="str">
        <x:v>os_cfar</x:v>
      </x:c>
      <x:c r="E640" s="2" t="str">
        <x:v>multiple_carriers</x:v>
      </x:c>
      <x:c r="F640" s="2" t="str">
        <x:v>320</x:v>
      </x:c>
      <x:c r="G640" s="2" t="str">
        <x:v>3134223</x:v>
      </x:c>
      <x:c r="H640" s="2" t="str">
        <x:v>2048000.0</x:v>
      </x:c>
      <x:c r="I640" s="2" t="str">
        <x:v>8192</x:v>
      </x:c>
      <x:c r="J640" s="2" t="str">
        <x:v>250.0</x:v>
      </x:c>
      <x:c r="K640" s="2" t="str">
        <x:v>3</x:v>
      </x:c>
      <x:c r="L640" s="2" t="str">
        <x:v>3</x:v>
      </x:c>
      <x:c r="M640" s="2" t="str">
        <x:v>3</x:v>
      </x:c>
      <x:c r="N640" s="2" t="str">
        <x:v>0</x:v>
      </x:c>
      <x:c r="O640" s="2" t="str">
        <x:v>0</x:v>
      </x:c>
      <x:c r="P640" s="2" t="str">
        <x:v>false</x:v>
      </x:c>
      <x:c r="Q640" s="2" t="str">
        <x:v>52.610955470;52.610955470;52.610955470</x:v>
      </x:c>
      <x:c r="R640" s="2" t="str">
        <x:v>13.940125005319715</x:v>
      </x:c>
      <x:c r="S640" s="2" t="str">
        <x:v>48.1635970040439</x:v>
      </x:c>
    </x:row>
    <x:row r="641">
      <x:c r="A641" s="2" t="str">
        <x:v>DE-CMP-01</x:v>
      </x:c>
      <x:c r="B641" s="2" t="str">
        <x:v>CFG-C01</x:v>
      </x:c>
      <x:c r="C641" s="2" t="n">
        <x:v>46227.70238086805</x:v>
      </x:c>
      <x:c r="D641" s="2" t="str">
        <x:v>adaptive</x:v>
      </x:c>
      <x:c r="E641" s="2" t="str">
        <x:v>multiple_carriers</x:v>
      </x:c>
      <x:c r="F641" s="2" t="str">
        <x:v>320</x:v>
      </x:c>
      <x:c r="G641" s="2" t="str">
        <x:v>3134223</x:v>
      </x:c>
      <x:c r="H641" s="2" t="str">
        <x:v>2048000.0</x:v>
      </x:c>
      <x:c r="I641" s="2" t="str">
        <x:v>8192</x:v>
      </x:c>
      <x:c r="J641" s="2" t="str">
        <x:v>250.0</x:v>
      </x:c>
      <x:c r="K641" s="2" t="str">
        <x:v>3</x:v>
      </x:c>
      <x:c r="L641" s="2" t="str">
        <x:v>3</x:v>
      </x:c>
      <x:c r="M641" s="2" t="str">
        <x:v>3</x:v>
      </x:c>
      <x:c r="N641" s="2" t="str">
        <x:v>0</x:v>
      </x:c>
      <x:c r="O641" s="2" t="str">
        <x:v>0</x:v>
      </x:c>
      <x:c r="P641" s="2" t="str">
        <x:v>false</x:v>
      </x:c>
      <x:c r="Q641" s="2" t="str">
        <x:v>52.610955470;52.610955470;52.610955470</x:v>
      </x:c>
      <x:c r="R641" s="2" t="str">
        <x:v>0.4096249904250726</x:v>
      </x:c>
      <x:c r="S641" s="2" t="str">
        <x:v>46.47815628811279</x:v>
      </x:c>
    </x:row>
    <x:row r="642">
      <x:c r="A642" s="2" t="str">
        <x:v>DE-CMP-01</x:v>
      </x:c>
      <x:c r="B642" s="2" t="str">
        <x:v>CFG-C01</x:v>
      </x:c>
      <x:c r="C642" s="2" t="n">
        <x:v>46227.70238086805</x:v>
      </x:c>
      <x:c r="D642" s="2" t="str">
        <x:v>adaptive</x:v>
      </x:c>
      <x:c r="E642" s="2" t="str">
        <x:v>multiple_carriers</x:v>
      </x:c>
      <x:c r="F642" s="2" t="str">
        <x:v>321</x:v>
      </x:c>
      <x:c r="G642" s="2" t="str">
        <x:v>3134224</x:v>
      </x:c>
      <x:c r="H642" s="2" t="str">
        <x:v>2048000.0</x:v>
      </x:c>
      <x:c r="I642" s="2" t="str">
        <x:v>8192</x:v>
      </x:c>
      <x:c r="J642" s="2" t="str">
        <x:v>250.0</x:v>
      </x:c>
      <x:c r="K642" s="2" t="str">
        <x:v>3</x:v>
      </x:c>
      <x:c r="L642" s="2" t="str">
        <x:v>3</x:v>
      </x:c>
      <x:c r="M642" s="2" t="str">
        <x:v>3</x:v>
      </x:c>
      <x:c r="N642" s="2" t="str">
        <x:v>0</x:v>
      </x:c>
      <x:c r="O642" s="2" t="str">
        <x:v>0</x:v>
      </x:c>
      <x:c r="P642" s="2" t="str">
        <x:v>false</x:v>
      </x:c>
      <x:c r="Q642" s="2" t="str">
        <x:v>30.643295551;30.643295551;30.643295551</x:v>
      </x:c>
      <x:c r="R642" s="2" t="str">
        <x:v>0.41004100057762116</x:v>
      </x:c>
      <x:c r="S642" s="2" t="str">
        <x:v>46.526274683621736</x:v>
      </x:c>
    </x:row>
    <x:row r="643">
      <x:c r="A643" s="2" t="str">
        <x:v>DE-CMP-01</x:v>
      </x:c>
      <x:c r="B643" s="2" t="str">
        <x:v>CFG-C01</x:v>
      </x:c>
      <x:c r="C643" s="2" t="n">
        <x:v>46227.70238086805</x:v>
      </x:c>
      <x:c r="D643" s="2" t="str">
        <x:v>os_cfar</x:v>
      </x:c>
      <x:c r="E643" s="2" t="str">
        <x:v>multiple_carriers</x:v>
      </x:c>
      <x:c r="F643" s="2" t="str">
        <x:v>321</x:v>
      </x:c>
      <x:c r="G643" s="2" t="str">
        <x:v>3134224</x:v>
      </x:c>
      <x:c r="H643" s="2" t="str">
        <x:v>2048000.0</x:v>
      </x:c>
      <x:c r="I643" s="2" t="str">
        <x:v>8192</x:v>
      </x:c>
      <x:c r="J643" s="2" t="str">
        <x:v>250.0</x:v>
      </x:c>
      <x:c r="K643" s="2" t="str">
        <x:v>3</x:v>
      </x:c>
      <x:c r="L643" s="2" t="str">
        <x:v>3</x:v>
      </x:c>
      <x:c r="M643" s="2" t="str">
        <x:v>3</x:v>
      </x:c>
      <x:c r="N643" s="2" t="str">
        <x:v>0</x:v>
      </x:c>
      <x:c r="O643" s="2" t="str">
        <x:v>0</x:v>
      </x:c>
      <x:c r="P643" s="2" t="str">
        <x:v>false</x:v>
      </x:c>
      <x:c r="Q643" s="2" t="str">
        <x:v>30.643295551;30.643295551;30.643295551</x:v>
      </x:c>
      <x:c r="R643" s="2" t="str">
        <x:v>13.627416003146209</x:v>
      </x:c>
      <x:c r="S643" s="2" t="str">
        <x:v>48.14468761620241</x:v>
      </x:c>
    </x:row>
    <x:row r="644">
      <x:c r="A644" s="2" t="str">
        <x:v>DE-CMP-01</x:v>
      </x:c>
      <x:c r="B644" s="2" t="str">
        <x:v>CFG-C01</x:v>
      </x:c>
      <x:c r="C644" s="2" t="n">
        <x:v>46227.70238086805</x:v>
      </x:c>
      <x:c r="D644" s="2" t="str">
        <x:v>os_cfar</x:v>
      </x:c>
      <x:c r="E644" s="2" t="str">
        <x:v>multiple_carriers</x:v>
      </x:c>
      <x:c r="F644" s="2" t="str">
        <x:v>322</x:v>
      </x:c>
      <x:c r="G644" s="2" t="str">
        <x:v>3134225</x:v>
      </x:c>
      <x:c r="H644" s="2" t="str">
        <x:v>2048000.0</x:v>
      </x:c>
      <x:c r="I644" s="2" t="str">
        <x:v>8192</x:v>
      </x:c>
      <x:c r="J644" s="2" t="str">
        <x:v>250.0</x:v>
      </x:c>
      <x:c r="K644" s="2" t="str">
        <x:v>3</x:v>
      </x:c>
      <x:c r="L644" s="2" t="str">
        <x:v>3</x:v>
      </x:c>
      <x:c r="M644" s="2" t="str">
        <x:v>3</x:v>
      </x:c>
      <x:c r="N644" s="2" t="str">
        <x:v>0</x:v>
      </x:c>
      <x:c r="O644" s="2" t="str">
        <x:v>0</x:v>
      </x:c>
      <x:c r="P644" s="2" t="str">
        <x:v>false</x:v>
      </x:c>
      <x:c r="Q644" s="2" t="str">
        <x:v>18.523475085;18.523475085;18.523475085</x:v>
      </x:c>
      <x:c r="R644" s="2" t="str">
        <x:v>13.781707995804027</x:v>
      </x:c>
      <x:c r="S644" s="2" t="str">
        <x:v>48.29586226378461</x:v>
      </x:c>
    </x:row>
    <x:row r="645">
      <x:c r="A645" s="2" t="str">
        <x:v>DE-CMP-01</x:v>
      </x:c>
      <x:c r="B645" s="2" t="str">
        <x:v>CFG-C01</x:v>
      </x:c>
      <x:c r="C645" s="2" t="n">
        <x:v>46227.70238086805</x:v>
      </x:c>
      <x:c r="D645" s="2" t="str">
        <x:v>adaptive</x:v>
      </x:c>
      <x:c r="E645" s="2" t="str">
        <x:v>multiple_carriers</x:v>
      </x:c>
      <x:c r="F645" s="2" t="str">
        <x:v>322</x:v>
      </x:c>
      <x:c r="G645" s="2" t="str">
        <x:v>3134225</x:v>
      </x:c>
      <x:c r="H645" s="2" t="str">
        <x:v>2048000.0</x:v>
      </x:c>
      <x:c r="I645" s="2" t="str">
        <x:v>8192</x:v>
      </x:c>
      <x:c r="J645" s="2" t="str">
        <x:v>250.0</x:v>
      </x:c>
      <x:c r="K645" s="2" t="str">
        <x:v>3</x:v>
      </x:c>
      <x:c r="L645" s="2" t="str">
        <x:v>3</x:v>
      </x:c>
      <x:c r="M645" s="2" t="str">
        <x:v>3</x:v>
      </x:c>
      <x:c r="N645" s="2" t="str">
        <x:v>0</x:v>
      </x:c>
      <x:c r="O645" s="2" t="str">
        <x:v>0</x:v>
      </x:c>
      <x:c r="P645" s="2" t="str">
        <x:v>false</x:v>
      </x:c>
      <x:c r="Q645" s="2" t="str">
        <x:v>18.523475085;18.523475085;18.523475085</x:v>
      </x:c>
      <x:c r="R645" s="2" t="str">
        <x:v>0.42675000440794975</x:v>
      </x:c>
      <x:c r="S645" s="2" t="str">
        <x:v>46.41086184122304</x:v>
      </x:c>
    </x:row>
    <x:row r="646">
      <x:c r="A646" s="2" t="str">
        <x:v>DE-CMP-01</x:v>
      </x:c>
      <x:c r="B646" s="2" t="str">
        <x:v>CFG-C01</x:v>
      </x:c>
      <x:c r="C646" s="2" t="n">
        <x:v>46227.70238086805</x:v>
      </x:c>
      <x:c r="D646" s="2" t="str">
        <x:v>adaptive</x:v>
      </x:c>
      <x:c r="E646" s="2" t="str">
        <x:v>multiple_carriers</x:v>
      </x:c>
      <x:c r="F646" s="2" t="str">
        <x:v>323</x:v>
      </x:c>
      <x:c r="G646" s="2" t="str">
        <x:v>3134226</x:v>
      </x:c>
      <x:c r="H646" s="2" t="str">
        <x:v>2048000.0</x:v>
      </x:c>
      <x:c r="I646" s="2" t="str">
        <x:v>8192</x:v>
      </x:c>
      <x:c r="J646" s="2" t="str">
        <x:v>250.0</x:v>
      </x:c>
      <x:c r="K646" s="2" t="str">
        <x:v>3</x:v>
      </x:c>
      <x:c r="L646" s="2" t="str">
        <x:v>3</x:v>
      </x:c>
      <x:c r="M646" s="2" t="str">
        <x:v>3</x:v>
      </x:c>
      <x:c r="N646" s="2" t="str">
        <x:v>0</x:v>
      </x:c>
      <x:c r="O646" s="2" t="str">
        <x:v>0</x:v>
      </x:c>
      <x:c r="P646" s="2" t="str">
        <x:v>false</x:v>
      </x:c>
      <x:c r="Q646" s="2" t="str">
        <x:v>48.989848790;48.989848790;48.989848790</x:v>
      </x:c>
      <x:c r="R646" s="2" t="str">
        <x:v>0.4079999926034361</x:v>
      </x:c>
      <x:c r="S646" s="2" t="str">
        <x:v>46.34897077212385</x:v>
      </x:c>
    </x:row>
    <x:row r="647">
      <x:c r="A647" s="2" t="str">
        <x:v>DE-CMP-01</x:v>
      </x:c>
      <x:c r="B647" s="2" t="str">
        <x:v>CFG-C01</x:v>
      </x:c>
      <x:c r="C647" s="2" t="n">
        <x:v>46227.70238086805</x:v>
      </x:c>
      <x:c r="D647" s="2" t="str">
        <x:v>os_cfar</x:v>
      </x:c>
      <x:c r="E647" s="2" t="str">
        <x:v>multiple_carriers</x:v>
      </x:c>
      <x:c r="F647" s="2" t="str">
        <x:v>323</x:v>
      </x:c>
      <x:c r="G647" s="2" t="str">
        <x:v>3134226</x:v>
      </x:c>
      <x:c r="H647" s="2" t="str">
        <x:v>2048000.0</x:v>
      </x:c>
      <x:c r="I647" s="2" t="str">
        <x:v>8192</x:v>
      </x:c>
      <x:c r="J647" s="2" t="str">
        <x:v>250.0</x:v>
      </x:c>
      <x:c r="K647" s="2" t="str">
        <x:v>3</x:v>
      </x:c>
      <x:c r="L647" s="2" t="str">
        <x:v>3</x:v>
      </x:c>
      <x:c r="M647" s="2" t="str">
        <x:v>3</x:v>
      </x:c>
      <x:c r="N647" s="2" t="str">
        <x:v>0</x:v>
      </x:c>
      <x:c r="O647" s="2" t="str">
        <x:v>0</x:v>
      </x:c>
      <x:c r="P647" s="2" t="str">
        <x:v>false</x:v>
      </x:c>
      <x:c r="Q647" s="2" t="str">
        <x:v>48.989848790;48.989848790;48.989848790</x:v>
      </x:c>
      <x:c r="R647" s="2" t="str">
        <x:v>13.673791996552609</x:v>
      </x:c>
      <x:c r="S647" s="2" t="str">
        <x:v>48.31630080131258</x:v>
      </x:c>
    </x:row>
    <x:row r="648">
      <x:c r="A648" s="2" t="str">
        <x:v>DE-CMP-01</x:v>
      </x:c>
      <x:c r="B648" s="2" t="str">
        <x:v>CFG-C01</x:v>
      </x:c>
      <x:c r="C648" s="2" t="n">
        <x:v>46227.70238086805</x:v>
      </x:c>
      <x:c r="D648" s="2" t="str">
        <x:v>os_cfar</x:v>
      </x:c>
      <x:c r="E648" s="2" t="str">
        <x:v>multiple_carriers</x:v>
      </x:c>
      <x:c r="F648" s="2" t="str">
        <x:v>324</x:v>
      </x:c>
      <x:c r="G648" s="2" t="str">
        <x:v>3134227</x:v>
      </x:c>
      <x:c r="H648" s="2" t="str">
        <x:v>2048000.0</x:v>
      </x:c>
      <x:c r="I648" s="2" t="str">
        <x:v>8192</x:v>
      </x:c>
      <x:c r="J648" s="2" t="str">
        <x:v>250.0</x:v>
      </x:c>
      <x:c r="K648" s="2" t="str">
        <x:v>3</x:v>
      </x:c>
      <x:c r="L648" s="2" t="str">
        <x:v>3</x:v>
      </x:c>
      <x:c r="M648" s="2" t="str">
        <x:v>3</x:v>
      </x:c>
      <x:c r="N648" s="2" t="str">
        <x:v>0</x:v>
      </x:c>
      <x:c r="O648" s="2" t="str">
        <x:v>0</x:v>
      </x:c>
      <x:c r="P648" s="2" t="str">
        <x:v>false</x:v>
      </x:c>
      <x:c r="Q648" s="2" t="str">
        <x:v>91.249061563;91.249061563;91.249061563</x:v>
      </x:c>
      <x:c r="R648" s="2" t="str">
        <x:v>13.728750011068769</x:v>
      </x:c>
      <x:c r="S648" s="2" t="str">
        <x:v>48.18198822102605</x:v>
      </x:c>
    </x:row>
    <x:row r="649">
      <x:c r="A649" s="2" t="str">
        <x:v>DE-CMP-01</x:v>
      </x:c>
      <x:c r="B649" s="2" t="str">
        <x:v>CFG-C01</x:v>
      </x:c>
      <x:c r="C649" s="2" t="n">
        <x:v>46227.70238086805</x:v>
      </x:c>
      <x:c r="D649" s="2" t="str">
        <x:v>adaptive</x:v>
      </x:c>
      <x:c r="E649" s="2" t="str">
        <x:v>multiple_carriers</x:v>
      </x:c>
      <x:c r="F649" s="2" t="str">
        <x:v>324</x:v>
      </x:c>
      <x:c r="G649" s="2" t="str">
        <x:v>3134227</x:v>
      </x:c>
      <x:c r="H649" s="2" t="str">
        <x:v>2048000.0</x:v>
      </x:c>
      <x:c r="I649" s="2" t="str">
        <x:v>8192</x:v>
      </x:c>
      <x:c r="J649" s="2" t="str">
        <x:v>250.0</x:v>
      </x:c>
      <x:c r="K649" s="2" t="str">
        <x:v>3</x:v>
      </x:c>
      <x:c r="L649" s="2" t="str">
        <x:v>3</x:v>
      </x:c>
      <x:c r="M649" s="2" t="str">
        <x:v>3</x:v>
      </x:c>
      <x:c r="N649" s="2" t="str">
        <x:v>0</x:v>
      </x:c>
      <x:c r="O649" s="2" t="str">
        <x:v>0</x:v>
      </x:c>
      <x:c r="P649" s="2" t="str">
        <x:v>false</x:v>
      </x:c>
      <x:c r="Q649" s="2" t="str">
        <x:v>91.249061563;91.249061563;91.249061563</x:v>
      </x:c>
      <x:c r="R649" s="2" t="str">
        <x:v>0.39524999738205224</x:v>
      </x:c>
      <x:c r="S649" s="2" t="str">
        <x:v>46.20257460160024</x:v>
      </x:c>
    </x:row>
    <x:row r="650">
      <x:c r="A650" s="2" t="str">
        <x:v>DE-CMP-01</x:v>
      </x:c>
      <x:c r="B650" s="2" t="str">
        <x:v>CFG-C01</x:v>
      </x:c>
      <x:c r="C650" s="2" t="n">
        <x:v>46227.70238086805</x:v>
      </x:c>
      <x:c r="D650" s="2" t="str">
        <x:v>adaptive</x:v>
      </x:c>
      <x:c r="E650" s="2" t="str">
        <x:v>multiple_carriers</x:v>
      </x:c>
      <x:c r="F650" s="2" t="str">
        <x:v>325</x:v>
      </x:c>
      <x:c r="G650" s="2" t="str">
        <x:v>3134228</x:v>
      </x:c>
      <x:c r="H650" s="2" t="str">
        <x:v>2048000.0</x:v>
      </x:c>
      <x:c r="I650" s="2" t="str">
        <x:v>8192</x:v>
      </x:c>
      <x:c r="J650" s="2" t="str">
        <x:v>250.0</x:v>
      </x:c>
      <x:c r="K650" s="2" t="str">
        <x:v>3</x:v>
      </x:c>
      <x:c r="L650" s="2" t="str">
        <x:v>3</x:v>
      </x:c>
      <x:c r="M650" s="2" t="str">
        <x:v>3</x:v>
      </x:c>
      <x:c r="N650" s="2" t="str">
        <x:v>0</x:v>
      </x:c>
      <x:c r="O650" s="2" t="str">
        <x:v>0</x:v>
      </x:c>
      <x:c r="P650" s="2" t="str">
        <x:v>false</x:v>
      </x:c>
      <x:c r="Q650" s="2" t="str">
        <x:v>-13.849583424;-13.849583424;-13.849583424</x:v>
      </x:c>
      <x:c r="R650" s="2" t="str">
        <x:v>0.3852499939966947</x:v>
      </x:c>
      <x:c r="S650" s="2" t="str">
        <x:v>46.37813557548111</x:v>
      </x:c>
    </x:row>
    <x:row r="651">
      <x:c r="A651" s="2" t="str">
        <x:v>DE-CMP-01</x:v>
      </x:c>
      <x:c r="B651" s="2" t="str">
        <x:v>CFG-C01</x:v>
      </x:c>
      <x:c r="C651" s="2" t="n">
        <x:v>46227.70238086805</x:v>
      </x:c>
      <x:c r="D651" s="2" t="str">
        <x:v>os_cfar</x:v>
      </x:c>
      <x:c r="E651" s="2" t="str">
        <x:v>multiple_carriers</x:v>
      </x:c>
      <x:c r="F651" s="2" t="str">
        <x:v>325</x:v>
      </x:c>
      <x:c r="G651" s="2" t="str">
        <x:v>3134228</x:v>
      </x:c>
      <x:c r="H651" s="2" t="str">
        <x:v>2048000.0</x:v>
      </x:c>
      <x:c r="I651" s="2" t="str">
        <x:v>8192</x:v>
      </x:c>
      <x:c r="J651" s="2" t="str">
        <x:v>250.0</x:v>
      </x:c>
      <x:c r="K651" s="2" t="str">
        <x:v>3</x:v>
      </x:c>
      <x:c r="L651" s="2" t="str">
        <x:v>3</x:v>
      </x:c>
      <x:c r="M651" s="2" t="str">
        <x:v>3</x:v>
      </x:c>
      <x:c r="N651" s="2" t="str">
        <x:v>0</x:v>
      </x:c>
      <x:c r="O651" s="2" t="str">
        <x:v>0</x:v>
      </x:c>
      <x:c r="P651" s="2" t="str">
        <x:v>false</x:v>
      </x:c>
      <x:c r="Q651" s="2" t="str">
        <x:v>-13.849583424;-13.849583424;-13.849583424</x:v>
      </x:c>
      <x:c r="R651" s="2" t="str">
        <x:v>13.799374995869584</x:v>
      </x:c>
      <x:c r="S651" s="2" t="str">
        <x:v>48.271973106541004</x:v>
      </x:c>
    </x:row>
    <x:row r="652">
      <x:c r="A652" s="2" t="str">
        <x:v>DE-CMP-01</x:v>
      </x:c>
      <x:c r="B652" s="2" t="str">
        <x:v>CFG-C01</x:v>
      </x:c>
      <x:c r="C652" s="2" t="n">
        <x:v>46227.70238086805</x:v>
      </x:c>
      <x:c r="D652" s="2" t="str">
        <x:v>os_cfar</x:v>
      </x:c>
      <x:c r="E652" s="2" t="str">
        <x:v>multiple_carriers</x:v>
      </x:c>
      <x:c r="F652" s="2" t="str">
        <x:v>326</x:v>
      </x:c>
      <x:c r="G652" s="2" t="str">
        <x:v>3134229</x:v>
      </x:c>
      <x:c r="H652" s="2" t="str">
        <x:v>2048000.0</x:v>
      </x:c>
      <x:c r="I652" s="2" t="str">
        <x:v>8192</x:v>
      </x:c>
      <x:c r="J652" s="2" t="str">
        <x:v>250.0</x:v>
      </x:c>
      <x:c r="K652" s="2" t="str">
        <x:v>3</x:v>
      </x:c>
      <x:c r="L652" s="2" t="str">
        <x:v>3</x:v>
      </x:c>
      <x:c r="M652" s="2" t="str">
        <x:v>3</x:v>
      </x:c>
      <x:c r="N652" s="2" t="str">
        <x:v>0</x:v>
      </x:c>
      <x:c r="O652" s="2" t="str">
        <x:v>0</x:v>
      </x:c>
      <x:c r="P652" s="2" t="str">
        <x:v>false</x:v>
      </x:c>
      <x:c r="Q652" s="2" t="str">
        <x:v>-95.140711983;-95.140711983;-95.140711983</x:v>
      </x:c>
      <x:c r="R652" s="2" t="str">
        <x:v>13.817083003232256</x:v>
      </x:c>
      <x:c r="S652" s="2" t="str">
        <x:v>48.17332467932039</x:v>
      </x:c>
    </x:row>
    <x:row r="653">
      <x:c r="A653" s="2" t="str">
        <x:v>DE-CMP-01</x:v>
      </x:c>
      <x:c r="B653" s="2" t="str">
        <x:v>CFG-C01</x:v>
      </x:c>
      <x:c r="C653" s="2" t="n">
        <x:v>46227.70238086805</x:v>
      </x:c>
      <x:c r="D653" s="2" t="str">
        <x:v>adaptive</x:v>
      </x:c>
      <x:c r="E653" s="2" t="str">
        <x:v>multiple_carriers</x:v>
      </x:c>
      <x:c r="F653" s="2" t="str">
        <x:v>326</x:v>
      </x:c>
      <x:c r="G653" s="2" t="str">
        <x:v>3134229</x:v>
      </x:c>
      <x:c r="H653" s="2" t="str">
        <x:v>2048000.0</x:v>
      </x:c>
      <x:c r="I653" s="2" t="str">
        <x:v>8192</x:v>
      </x:c>
      <x:c r="J653" s="2" t="str">
        <x:v>250.0</x:v>
      </x:c>
      <x:c r="K653" s="2" t="str">
        <x:v>3</x:v>
      </x:c>
      <x:c r="L653" s="2" t="str">
        <x:v>3</x:v>
      </x:c>
      <x:c r="M653" s="2" t="str">
        <x:v>3</x:v>
      </x:c>
      <x:c r="N653" s="2" t="str">
        <x:v>0</x:v>
      </x:c>
      <x:c r="O653" s="2" t="str">
        <x:v>0</x:v>
      </x:c>
      <x:c r="P653" s="2" t="str">
        <x:v>false</x:v>
      </x:c>
      <x:c r="Q653" s="2" t="str">
        <x:v>-95.140711983;-95.140711983;-95.140711983</x:v>
      </x:c>
      <x:c r="R653" s="2" t="str">
        <x:v>0.4443340003490448</x:v>
      </x:c>
      <x:c r="S653" s="2" t="str">
        <x:v>46.325383505225815</x:v>
      </x:c>
    </x:row>
    <x:row r="654">
      <x:c r="A654" s="2" t="str">
        <x:v>DE-CMP-01</x:v>
      </x:c>
      <x:c r="B654" s="2" t="str">
        <x:v>CFG-C01</x:v>
      </x:c>
      <x:c r="C654" s="2" t="n">
        <x:v>46227.70238086805</x:v>
      </x:c>
      <x:c r="D654" s="2" t="str">
        <x:v>adaptive</x:v>
      </x:c>
      <x:c r="E654" s="2" t="str">
        <x:v>multiple_carriers</x:v>
      </x:c>
      <x:c r="F654" s="2" t="str">
        <x:v>327</x:v>
      </x:c>
      <x:c r="G654" s="2" t="str">
        <x:v>3134230</x:v>
      </x:c>
      <x:c r="H654" s="2" t="str">
        <x:v>2048000.0</x:v>
      </x:c>
      <x:c r="I654" s="2" t="str">
        <x:v>8192</x:v>
      </x:c>
      <x:c r="J654" s="2" t="str">
        <x:v>250.0</x:v>
      </x:c>
      <x:c r="K654" s="2" t="str">
        <x:v>3</x:v>
      </x:c>
      <x:c r="L654" s="2" t="str">
        <x:v>3</x:v>
      </x:c>
      <x:c r="M654" s="2" t="str">
        <x:v>3</x:v>
      </x:c>
      <x:c r="N654" s="2" t="str">
        <x:v>0</x:v>
      </x:c>
      <x:c r="O654" s="2" t="str">
        <x:v>0</x:v>
      </x:c>
      <x:c r="P654" s="2" t="str">
        <x:v>false</x:v>
      </x:c>
      <x:c r="Q654" s="2" t="str">
        <x:v>62.459758198;62.459758198;62.459758198</x:v>
      </x:c>
      <x:c r="R654" s="2" t="str">
        <x:v>0.4284169990569353</x:v>
      </x:c>
      <x:c r="S654" s="2" t="str">
        <x:v>46.58848110430889</x:v>
      </x:c>
    </x:row>
    <x:row r="655">
      <x:c r="A655" s="2" t="str">
        <x:v>DE-CMP-01</x:v>
      </x:c>
      <x:c r="B655" s="2" t="str">
        <x:v>CFG-C01</x:v>
      </x:c>
      <x:c r="C655" s="2" t="n">
        <x:v>46227.70238086805</x:v>
      </x:c>
      <x:c r="D655" s="2" t="str">
        <x:v>os_cfar</x:v>
      </x:c>
      <x:c r="E655" s="2" t="str">
        <x:v>multiple_carriers</x:v>
      </x:c>
      <x:c r="F655" s="2" t="str">
        <x:v>327</x:v>
      </x:c>
      <x:c r="G655" s="2" t="str">
        <x:v>3134230</x:v>
      </x:c>
      <x:c r="H655" s="2" t="str">
        <x:v>2048000.0</x:v>
      </x:c>
      <x:c r="I655" s="2" t="str">
        <x:v>8192</x:v>
      </x:c>
      <x:c r="J655" s="2" t="str">
        <x:v>250.0</x:v>
      </x:c>
      <x:c r="K655" s="2" t="str">
        <x:v>3</x:v>
      </x:c>
      <x:c r="L655" s="2" t="str">
        <x:v>3</x:v>
      </x:c>
      <x:c r="M655" s="2" t="str">
        <x:v>3</x:v>
      </x:c>
      <x:c r="N655" s="2" t="str">
        <x:v>0</x:v>
      </x:c>
      <x:c r="O655" s="2" t="str">
        <x:v>0</x:v>
      </x:c>
      <x:c r="P655" s="2" t="str">
        <x:v>false</x:v>
      </x:c>
      <x:c r="Q655" s="2" t="str">
        <x:v>62.459758198;62.459758198;62.459758198</x:v>
      </x:c>
      <x:c r="R655" s="2" t="str">
        <x:v>13.83374999568332</x:v>
      </x:c>
      <x:c r="S655" s="2" t="str">
        <x:v>48.239984502170856</x:v>
      </x:c>
    </x:row>
    <x:row r="656">
      <x:c r="A656" s="2" t="str">
        <x:v>DE-CMP-01</x:v>
      </x:c>
      <x:c r="B656" s="2" t="str">
        <x:v>CFG-C01</x:v>
      </x:c>
      <x:c r="C656" s="2" t="n">
        <x:v>46227.70238086805</x:v>
      </x:c>
      <x:c r="D656" s="2" t="str">
        <x:v>os_cfar</x:v>
      </x:c>
      <x:c r="E656" s="2" t="str">
        <x:v>multiple_carriers</x:v>
      </x:c>
      <x:c r="F656" s="2" t="str">
        <x:v>328</x:v>
      </x:c>
      <x:c r="G656" s="2" t="str">
        <x:v>3134231</x:v>
      </x:c>
      <x:c r="H656" s="2" t="str">
        <x:v>2048000.0</x:v>
      </x:c>
      <x:c r="I656" s="2" t="str">
        <x:v>8192</x:v>
      </x:c>
      <x:c r="J656" s="2" t="str">
        <x:v>250.0</x:v>
      </x:c>
      <x:c r="K656" s="2" t="str">
        <x:v>3</x:v>
      </x:c>
      <x:c r="L656" s="2" t="str">
        <x:v>3</x:v>
      </x:c>
      <x:c r="M656" s="2" t="str">
        <x:v>3</x:v>
      </x:c>
      <x:c r="N656" s="2" t="str">
        <x:v>0</x:v>
      </x:c>
      <x:c r="O656" s="2" t="str">
        <x:v>0</x:v>
      </x:c>
      <x:c r="P656" s="2" t="str">
        <x:v>false</x:v>
      </x:c>
      <x:c r="Q656" s="2" t="str">
        <x:v>-78.322816000;-78.322816000;-78.322816000</x:v>
      </x:c>
      <x:c r="R656" s="2" t="str">
        <x:v>13.954458001535386</x:v>
      </x:c>
      <x:c r="S656" s="2" t="str">
        <x:v>48.26026817027945</x:v>
      </x:c>
    </x:row>
    <x:row r="657">
      <x:c r="A657" s="2" t="str">
        <x:v>DE-CMP-01</x:v>
      </x:c>
      <x:c r="B657" s="2" t="str">
        <x:v>CFG-C01</x:v>
      </x:c>
      <x:c r="C657" s="2" t="n">
        <x:v>46227.70238086805</x:v>
      </x:c>
      <x:c r="D657" s="2" t="str">
        <x:v>adaptive</x:v>
      </x:c>
      <x:c r="E657" s="2" t="str">
        <x:v>multiple_carriers</x:v>
      </x:c>
      <x:c r="F657" s="2" t="str">
        <x:v>328</x:v>
      </x:c>
      <x:c r="G657" s="2" t="str">
        <x:v>3134231</x:v>
      </x:c>
      <x:c r="H657" s="2" t="str">
        <x:v>2048000.0</x:v>
      </x:c>
      <x:c r="I657" s="2" t="str">
        <x:v>8192</x:v>
      </x:c>
      <x:c r="J657" s="2" t="str">
        <x:v>250.0</x:v>
      </x:c>
      <x:c r="K657" s="2" t="str">
        <x:v>3</x:v>
      </x:c>
      <x:c r="L657" s="2" t="str">
        <x:v>3</x:v>
      </x:c>
      <x:c r="M657" s="2" t="str">
        <x:v>3</x:v>
      </x:c>
      <x:c r="N657" s="2" t="str">
        <x:v>0</x:v>
      </x:c>
      <x:c r="O657" s="2" t="str">
        <x:v>0</x:v>
      </x:c>
      <x:c r="P657" s="2" t="str">
        <x:v>false</x:v>
      </x:c>
      <x:c r="Q657" s="2" t="str">
        <x:v>-78.322816000;-78.322816000;-78.322816000</x:v>
      </x:c>
      <x:c r="R657" s="2" t="str">
        <x:v>0.4149169981246814</x:v>
      </x:c>
      <x:c r="S657" s="2" t="str">
        <x:v>46.529155711123444</x:v>
      </x:c>
    </x:row>
    <x:row r="658">
      <x:c r="A658" s="2" t="str">
        <x:v>DE-CMP-01</x:v>
      </x:c>
      <x:c r="B658" s="2" t="str">
        <x:v>CFG-C01</x:v>
      </x:c>
      <x:c r="C658" s="2" t="n">
        <x:v>46227.70238086805</x:v>
      </x:c>
      <x:c r="D658" s="2" t="str">
        <x:v>adaptive</x:v>
      </x:c>
      <x:c r="E658" s="2" t="str">
        <x:v>multiple_carriers</x:v>
      </x:c>
      <x:c r="F658" s="2" t="str">
        <x:v>329</x:v>
      </x:c>
      <x:c r="G658" s="2" t="str">
        <x:v>3134232</x:v>
      </x:c>
      <x:c r="H658" s="2" t="str">
        <x:v>2048000.0</x:v>
      </x:c>
      <x:c r="I658" s="2" t="str">
        <x:v>8192</x:v>
      </x:c>
      <x:c r="J658" s="2" t="str">
        <x:v>250.0</x:v>
      </x:c>
      <x:c r="K658" s="2" t="str">
        <x:v>3</x:v>
      </x:c>
      <x:c r="L658" s="2" t="str">
        <x:v>3</x:v>
      </x:c>
      <x:c r="M658" s="2" t="str">
        <x:v>3</x:v>
      </x:c>
      <x:c r="N658" s="2" t="str">
        <x:v>0</x:v>
      </x:c>
      <x:c r="O658" s="2" t="str">
        <x:v>0</x:v>
      </x:c>
      <x:c r="P658" s="2" t="str">
        <x:v>false</x:v>
      </x:c>
      <x:c r="Q658" s="2" t="str">
        <x:v>15.722218214;15.722218214;15.722218214</x:v>
      </x:c>
      <x:c r="R658" s="2" t="str">
        <x:v>0.4021250060759485</x:v>
      </x:c>
      <x:c r="S658" s="2" t="str">
        <x:v>46.31520859762767</x:v>
      </x:c>
    </x:row>
    <x:row r="659">
      <x:c r="A659" s="2" t="str">
        <x:v>DE-CMP-01</x:v>
      </x:c>
      <x:c r="B659" s="2" t="str">
        <x:v>CFG-C01</x:v>
      </x:c>
      <x:c r="C659" s="2" t="n">
        <x:v>46227.70238086805</x:v>
      </x:c>
      <x:c r="D659" s="2" t="str">
        <x:v>os_cfar</x:v>
      </x:c>
      <x:c r="E659" s="2" t="str">
        <x:v>multiple_carriers</x:v>
      </x:c>
      <x:c r="F659" s="2" t="str">
        <x:v>329</x:v>
      </x:c>
      <x:c r="G659" s="2" t="str">
        <x:v>3134232</x:v>
      </x:c>
      <x:c r="H659" s="2" t="str">
        <x:v>2048000.0</x:v>
      </x:c>
      <x:c r="I659" s="2" t="str">
        <x:v>8192</x:v>
      </x:c>
      <x:c r="J659" s="2" t="str">
        <x:v>250.0</x:v>
      </x:c>
      <x:c r="K659" s="2" t="str">
        <x:v>3</x:v>
      </x:c>
      <x:c r="L659" s="2" t="str">
        <x:v>3</x:v>
      </x:c>
      <x:c r="M659" s="2" t="str">
        <x:v>3</x:v>
      </x:c>
      <x:c r="N659" s="2" t="str">
        <x:v>0</x:v>
      </x:c>
      <x:c r="O659" s="2" t="str">
        <x:v>0</x:v>
      </x:c>
      <x:c r="P659" s="2" t="str">
        <x:v>false</x:v>
      </x:c>
      <x:c r="Q659" s="2" t="str">
        <x:v>15.722218214;15.722218214;15.722218214</x:v>
      </x:c>
      <x:c r="R659" s="2" t="str">
        <x:v>13.860959006706253</x:v>
      </x:c>
      <x:c r="S659" s="2" t="str">
        <x:v>48.19904760160864</x:v>
      </x:c>
    </x:row>
    <x:row r="660">
      <x:c r="A660" s="2" t="str">
        <x:v>DE-CMP-01</x:v>
      </x:c>
      <x:c r="B660" s="2" t="str">
        <x:v>CFG-C01</x:v>
      </x:c>
      <x:c r="C660" s="2" t="n">
        <x:v>46227.70238086805</x:v>
      </x:c>
      <x:c r="D660" s="2" t="str">
        <x:v>os_cfar</x:v>
      </x:c>
      <x:c r="E660" s="2" t="str">
        <x:v>multiple_carriers</x:v>
      </x:c>
      <x:c r="F660" s="2" t="str">
        <x:v>330</x:v>
      </x:c>
      <x:c r="G660" s="2" t="str">
        <x:v>3134233</x:v>
      </x:c>
      <x:c r="H660" s="2" t="str">
        <x:v>2048000.0</x:v>
      </x:c>
      <x:c r="I660" s="2" t="str">
        <x:v>8192</x:v>
      </x:c>
      <x:c r="J660" s="2" t="str">
        <x:v>250.0</x:v>
      </x:c>
      <x:c r="K660" s="2" t="str">
        <x:v>3</x:v>
      </x:c>
      <x:c r="L660" s="2" t="str">
        <x:v>3</x:v>
      </x:c>
      <x:c r="M660" s="2" t="str">
        <x:v>3</x:v>
      </x:c>
      <x:c r="N660" s="2" t="str">
        <x:v>0</x:v>
      </x:c>
      <x:c r="O660" s="2" t="str">
        <x:v>0</x:v>
      </x:c>
      <x:c r="P660" s="2" t="str">
        <x:v>false</x:v>
      </x:c>
      <x:c r="Q660" s="2" t="str">
        <x:v>-70.865723383;-70.865723383;-70.865723383</x:v>
      </x:c>
      <x:c r="R660" s="2" t="str">
        <x:v>13.876541997888125</x:v>
      </x:c>
      <x:c r="S660" s="2" t="str">
        <x:v>48.346574892673104</x:v>
      </x:c>
    </x:row>
    <x:row r="661">
      <x:c r="A661" s="2" t="str">
        <x:v>DE-CMP-01</x:v>
      </x:c>
      <x:c r="B661" s="2" t="str">
        <x:v>CFG-C01</x:v>
      </x:c>
      <x:c r="C661" s="2" t="n">
        <x:v>46227.70238086805</x:v>
      </x:c>
      <x:c r="D661" s="2" t="str">
        <x:v>adaptive</x:v>
      </x:c>
      <x:c r="E661" s="2" t="str">
        <x:v>multiple_carriers</x:v>
      </x:c>
      <x:c r="F661" s="2" t="str">
        <x:v>330</x:v>
      </x:c>
      <x:c r="G661" s="2" t="str">
        <x:v>3134233</x:v>
      </x:c>
      <x:c r="H661" s="2" t="str">
        <x:v>2048000.0</x:v>
      </x:c>
      <x:c r="I661" s="2" t="str">
        <x:v>8192</x:v>
      </x:c>
      <x:c r="J661" s="2" t="str">
        <x:v>250.0</x:v>
      </x:c>
      <x:c r="K661" s="2" t="str">
        <x:v>3</x:v>
      </x:c>
      <x:c r="L661" s="2" t="str">
        <x:v>3</x:v>
      </x:c>
      <x:c r="M661" s="2" t="str">
        <x:v>3</x:v>
      </x:c>
      <x:c r="N661" s="2" t="str">
        <x:v>0</x:v>
      </x:c>
      <x:c r="O661" s="2" t="str">
        <x:v>0</x:v>
      </x:c>
      <x:c r="P661" s="2" t="str">
        <x:v>false</x:v>
      </x:c>
      <x:c r="Q661" s="2" t="str">
        <x:v>-70.865723383;-70.865723383;-70.865723383</x:v>
      </x:c>
      <x:c r="R661" s="2" t="str">
        <x:v>0.41829100518953055</x:v>
      </x:c>
      <x:c r="S661" s="2" t="str">
        <x:v>46.54756896302053</x:v>
      </x:c>
    </x:row>
    <x:row r="662">
      <x:c r="A662" s="2" t="str">
        <x:v>DE-CMP-01</x:v>
      </x:c>
      <x:c r="B662" s="2" t="str">
        <x:v>CFG-C01</x:v>
      </x:c>
      <x:c r="C662" s="2" t="n">
        <x:v>46227.70238086805</x:v>
      </x:c>
      <x:c r="D662" s="2" t="str">
        <x:v>adaptive</x:v>
      </x:c>
      <x:c r="E662" s="2" t="str">
        <x:v>multiple_carriers</x:v>
      </x:c>
      <x:c r="F662" s="2" t="str">
        <x:v>331</x:v>
      </x:c>
      <x:c r="G662" s="2" t="str">
        <x:v>3134234</x:v>
      </x:c>
      <x:c r="H662" s="2" t="str">
        <x:v>2048000.0</x:v>
      </x:c>
      <x:c r="I662" s="2" t="str">
        <x:v>8192</x:v>
      </x:c>
      <x:c r="J662" s="2" t="str">
        <x:v>250.0</x:v>
      </x:c>
      <x:c r="K662" s="2" t="str">
        <x:v>3</x:v>
      </x:c>
      <x:c r="L662" s="2" t="str">
        <x:v>3</x:v>
      </x:c>
      <x:c r="M662" s="2" t="str">
        <x:v>3</x:v>
      </x:c>
      <x:c r="N662" s="2" t="str">
        <x:v>0</x:v>
      </x:c>
      <x:c r="O662" s="2" t="str">
        <x:v>0</x:v>
      </x:c>
      <x:c r="P662" s="2" t="str">
        <x:v>false</x:v>
      </x:c>
      <x:c r="Q662" s="2" t="str">
        <x:v>91.829640512;91.829640512;91.829640512</x:v>
      </x:c>
      <x:c r="R662" s="2" t="str">
        <x:v>0.4186670121271163</x:v>
      </x:c>
      <x:c r="S662" s="2" t="str">
        <x:v>46.273491997161855</x:v>
      </x:c>
    </x:row>
    <x:row r="663">
      <x:c r="A663" s="2" t="str">
        <x:v>DE-CMP-01</x:v>
      </x:c>
      <x:c r="B663" s="2" t="str">
        <x:v>CFG-C01</x:v>
      </x:c>
      <x:c r="C663" s="2" t="n">
        <x:v>46227.70238086805</x:v>
      </x:c>
      <x:c r="D663" s="2" t="str">
        <x:v>os_cfar</x:v>
      </x:c>
      <x:c r="E663" s="2" t="str">
        <x:v>multiple_carriers</x:v>
      </x:c>
      <x:c r="F663" s="2" t="str">
        <x:v>331</x:v>
      </x:c>
      <x:c r="G663" s="2" t="str">
        <x:v>3134234</x:v>
      </x:c>
      <x:c r="H663" s="2" t="str">
        <x:v>2048000.0</x:v>
      </x:c>
      <x:c r="I663" s="2" t="str">
        <x:v>8192</x:v>
      </x:c>
      <x:c r="J663" s="2" t="str">
        <x:v>250.0</x:v>
      </x:c>
      <x:c r="K663" s="2" t="str">
        <x:v>3</x:v>
      </x:c>
      <x:c r="L663" s="2" t="str">
        <x:v>3</x:v>
      </x:c>
      <x:c r="M663" s="2" t="str">
        <x:v>3</x:v>
      </x:c>
      <x:c r="N663" s="2" t="str">
        <x:v>0</x:v>
      </x:c>
      <x:c r="O663" s="2" t="str">
        <x:v>0</x:v>
      </x:c>
      <x:c r="P663" s="2" t="str">
        <x:v>false</x:v>
      </x:c>
      <x:c r="Q663" s="2" t="str">
        <x:v>91.829640512;91.829640512;91.829640512</x:v>
      </x:c>
      <x:c r="R663" s="2" t="str">
        <x:v>13.996790992678143</x:v>
      </x:c>
      <x:c r="S663" s="2" t="str">
        <x:v>48.25749995509633</x:v>
      </x:c>
    </x:row>
    <x:row r="664">
      <x:c r="A664" s="2" t="str">
        <x:v>DE-CMP-01</x:v>
      </x:c>
      <x:c r="B664" s="2" t="str">
        <x:v>CFG-C01</x:v>
      </x:c>
      <x:c r="C664" s="2" t="n">
        <x:v>46227.70238086805</x:v>
      </x:c>
      <x:c r="D664" s="2" t="str">
        <x:v>os_cfar</x:v>
      </x:c>
      <x:c r="E664" s="2" t="str">
        <x:v>multiple_carriers</x:v>
      </x:c>
      <x:c r="F664" s="2" t="str">
        <x:v>332</x:v>
      </x:c>
      <x:c r="G664" s="2" t="str">
        <x:v>3134235</x:v>
      </x:c>
      <x:c r="H664" s="2" t="str">
        <x:v>2048000.0</x:v>
      </x:c>
      <x:c r="I664" s="2" t="str">
        <x:v>8192</x:v>
      </x:c>
      <x:c r="J664" s="2" t="str">
        <x:v>250.0</x:v>
      </x:c>
      <x:c r="K664" s="2" t="str">
        <x:v>3</x:v>
      </x:c>
      <x:c r="L664" s="2" t="str">
        <x:v>3</x:v>
      </x:c>
      <x:c r="M664" s="2" t="str">
        <x:v>3</x:v>
      </x:c>
      <x:c r="N664" s="2" t="str">
        <x:v>0</x:v>
      </x:c>
      <x:c r="O664" s="2" t="str">
        <x:v>0</x:v>
      </x:c>
      <x:c r="P664" s="2" t="str">
        <x:v>false</x:v>
      </x:c>
      <x:c r="Q664" s="2" t="str">
        <x:v>-59.915650186;-59.915650186;-59.915650186</x:v>
      </x:c>
      <x:c r="R664" s="2" t="str">
        <x:v>13.965916994493455</x:v>
      </x:c>
      <x:c r="S664" s="2" t="str">
        <x:v>48.294650033211425</x:v>
      </x:c>
    </x:row>
    <x:row r="665">
      <x:c r="A665" s="2" t="str">
        <x:v>DE-CMP-01</x:v>
      </x:c>
      <x:c r="B665" s="2" t="str">
        <x:v>CFG-C01</x:v>
      </x:c>
      <x:c r="C665" s="2" t="n">
        <x:v>46227.70238086805</x:v>
      </x:c>
      <x:c r="D665" s="2" t="str">
        <x:v>adaptive</x:v>
      </x:c>
      <x:c r="E665" s="2" t="str">
        <x:v>multiple_carriers</x:v>
      </x:c>
      <x:c r="F665" s="2" t="str">
        <x:v>332</x:v>
      </x:c>
      <x:c r="G665" s="2" t="str">
        <x:v>3134235</x:v>
      </x:c>
      <x:c r="H665" s="2" t="str">
        <x:v>2048000.0</x:v>
      </x:c>
      <x:c r="I665" s="2" t="str">
        <x:v>8192</x:v>
      </x:c>
      <x:c r="J665" s="2" t="str">
        <x:v>250.0</x:v>
      </x:c>
      <x:c r="K665" s="2" t="str">
        <x:v>3</x:v>
      </x:c>
      <x:c r="L665" s="2" t="str">
        <x:v>3</x:v>
      </x:c>
      <x:c r="M665" s="2" t="str">
        <x:v>3</x:v>
      </x:c>
      <x:c r="N665" s="2" t="str">
        <x:v>0</x:v>
      </x:c>
      <x:c r="O665" s="2" t="str">
        <x:v>0</x:v>
      </x:c>
      <x:c r="P665" s="2" t="str">
        <x:v>false</x:v>
      </x:c>
      <x:c r="Q665" s="2" t="str">
        <x:v>-59.915650186;-59.915650186;-59.915650186</x:v>
      </x:c>
      <x:c r="R665" s="2" t="str">
        <x:v>0.4110420122742653</x:v>
      </x:c>
      <x:c r="S665" s="2" t="str">
        <x:v>46.60251647196959</x:v>
      </x:c>
    </x:row>
    <x:row r="666">
      <x:c r="A666" s="2" t="str">
        <x:v>DE-CMP-01</x:v>
      </x:c>
      <x:c r="B666" s="2" t="str">
        <x:v>CFG-C01</x:v>
      </x:c>
      <x:c r="C666" s="2" t="n">
        <x:v>46227.70238086805</x:v>
      </x:c>
      <x:c r="D666" s="2" t="str">
        <x:v>adaptive</x:v>
      </x:c>
      <x:c r="E666" s="2" t="str">
        <x:v>multiple_carriers</x:v>
      </x:c>
      <x:c r="F666" s="2" t="str">
        <x:v>333</x:v>
      </x:c>
      <x:c r="G666" s="2" t="str">
        <x:v>3134236</x:v>
      </x:c>
      <x:c r="H666" s="2" t="str">
        <x:v>2048000.0</x:v>
      </x:c>
      <x:c r="I666" s="2" t="str">
        <x:v>8192</x:v>
      </x:c>
      <x:c r="J666" s="2" t="str">
        <x:v>250.0</x:v>
      </x:c>
      <x:c r="K666" s="2" t="str">
        <x:v>3</x:v>
      </x:c>
      <x:c r="L666" s="2" t="str">
        <x:v>3</x:v>
      </x:c>
      <x:c r="M666" s="2" t="str">
        <x:v>3</x:v>
      </x:c>
      <x:c r="N666" s="2" t="str">
        <x:v>0</x:v>
      </x:c>
      <x:c r="O666" s="2" t="str">
        <x:v>0</x:v>
      </x:c>
      <x:c r="P666" s="2" t="str">
        <x:v>false</x:v>
      </x:c>
      <x:c r="Q666" s="2" t="str">
        <x:v>-67.869172244;-67.869172244;-67.869172244</x:v>
      </x:c>
      <x:c r="R666" s="2" t="str">
        <x:v>0.4896249884041026</x:v>
      </x:c>
      <x:c r="S666" s="2" t="str">
        <x:v>46.366530992550075</x:v>
      </x:c>
    </x:row>
    <x:row r="667">
      <x:c r="A667" s="2" t="str">
        <x:v>DE-CMP-01</x:v>
      </x:c>
      <x:c r="B667" s="2" t="str">
        <x:v>CFG-C01</x:v>
      </x:c>
      <x:c r="C667" s="2" t="n">
        <x:v>46227.70238086805</x:v>
      </x:c>
      <x:c r="D667" s="2" t="str">
        <x:v>os_cfar</x:v>
      </x:c>
      <x:c r="E667" s="2" t="str">
        <x:v>multiple_carriers</x:v>
      </x:c>
      <x:c r="F667" s="2" t="str">
        <x:v>333</x:v>
      </x:c>
      <x:c r="G667" s="2" t="str">
        <x:v>3134236</x:v>
      </x:c>
      <x:c r="H667" s="2" t="str">
        <x:v>2048000.0</x:v>
      </x:c>
      <x:c r="I667" s="2" t="str">
        <x:v>8192</x:v>
      </x:c>
      <x:c r="J667" s="2" t="str">
        <x:v>250.0</x:v>
      </x:c>
      <x:c r="K667" s="2" t="str">
        <x:v>3</x:v>
      </x:c>
      <x:c r="L667" s="2" t="str">
        <x:v>3</x:v>
      </x:c>
      <x:c r="M667" s="2" t="str">
        <x:v>3</x:v>
      </x:c>
      <x:c r="N667" s="2" t="str">
        <x:v>0</x:v>
      </x:c>
      <x:c r="O667" s="2" t="str">
        <x:v>0</x:v>
      </x:c>
      <x:c r="P667" s="2" t="str">
        <x:v>false</x:v>
      </x:c>
      <x:c r="Q667" s="2" t="str">
        <x:v>-67.869172244;-67.869172244;-67.869172244</x:v>
      </x:c>
      <x:c r="R667" s="2" t="str">
        <x:v>13.865792003343813</x:v>
      </x:c>
      <x:c r="S667" s="2" t="str">
        <x:v>48.1949130509217</x:v>
      </x:c>
    </x:row>
    <x:row r="668">
      <x:c r="A668" s="2" t="str">
        <x:v>DE-CMP-01</x:v>
      </x:c>
      <x:c r="B668" s="2" t="str">
        <x:v>CFG-C01</x:v>
      </x:c>
      <x:c r="C668" s="2" t="n">
        <x:v>46227.70238086805</x:v>
      </x:c>
      <x:c r="D668" s="2" t="str">
        <x:v>os_cfar</x:v>
      </x:c>
      <x:c r="E668" s="2" t="str">
        <x:v>multiple_carriers</x:v>
      </x:c>
      <x:c r="F668" s="2" t="str">
        <x:v>334</x:v>
      </x:c>
      <x:c r="G668" s="2" t="str">
        <x:v>3134237</x:v>
      </x:c>
      <x:c r="H668" s="2" t="str">
        <x:v>2048000.0</x:v>
      </x:c>
      <x:c r="I668" s="2" t="str">
        <x:v>8192</x:v>
      </x:c>
      <x:c r="J668" s="2" t="str">
        <x:v>250.0</x:v>
      </x:c>
      <x:c r="K668" s="2" t="str">
        <x:v>3</x:v>
      </x:c>
      <x:c r="L668" s="2" t="str">
        <x:v>3</x:v>
      </x:c>
      <x:c r="M668" s="2" t="str">
        <x:v>3</x:v>
      </x:c>
      <x:c r="N668" s="2" t="str">
        <x:v>0</x:v>
      </x:c>
      <x:c r="O668" s="2" t="str">
        <x:v>0</x:v>
      </x:c>
      <x:c r="P668" s="2" t="str">
        <x:v>false</x:v>
      </x:c>
      <x:c r="Q668" s="2" t="str">
        <x:v>68.802475835;68.802475835;68.802475835</x:v>
      </x:c>
      <x:c r="R668" s="2" t="str">
        <x:v>14.044875002582557</x:v>
      </x:c>
      <x:c r="S668" s="2" t="str">
        <x:v>48.34292698493758</x:v>
      </x:c>
    </x:row>
    <x:row r="669">
      <x:c r="A669" s="2" t="str">
        <x:v>DE-CMP-01</x:v>
      </x:c>
      <x:c r="B669" s="2" t="str">
        <x:v>CFG-C01</x:v>
      </x:c>
      <x:c r="C669" s="2" t="n">
        <x:v>46227.70238086805</x:v>
      </x:c>
      <x:c r="D669" s="2" t="str">
        <x:v>adaptive</x:v>
      </x:c>
      <x:c r="E669" s="2" t="str">
        <x:v>multiple_carriers</x:v>
      </x:c>
      <x:c r="F669" s="2" t="str">
        <x:v>334</x:v>
      </x:c>
      <x:c r="G669" s="2" t="str">
        <x:v>3134237</x:v>
      </x:c>
      <x:c r="H669" s="2" t="str">
        <x:v>2048000.0</x:v>
      </x:c>
      <x:c r="I669" s="2" t="str">
        <x:v>8192</x:v>
      </x:c>
      <x:c r="J669" s="2" t="str">
        <x:v>250.0</x:v>
      </x:c>
      <x:c r="K669" s="2" t="str">
        <x:v>3</x:v>
      </x:c>
      <x:c r="L669" s="2" t="str">
        <x:v>3</x:v>
      </x:c>
      <x:c r="M669" s="2" t="str">
        <x:v>3</x:v>
      </x:c>
      <x:c r="N669" s="2" t="str">
        <x:v>0</x:v>
      </x:c>
      <x:c r="O669" s="2" t="str">
        <x:v>0</x:v>
      </x:c>
      <x:c r="P669" s="2" t="str">
        <x:v>false</x:v>
      </x:c>
      <x:c r="Q669" s="2" t="str">
        <x:v>68.802475835;68.802475835;68.802475835</x:v>
      </x:c>
      <x:c r="R669" s="2" t="str">
        <x:v>0.4518329951679334</x:v>
      </x:c>
      <x:c r="S669" s="2" t="str">
        <x:v>46.52856594117598</x:v>
      </x:c>
    </x:row>
    <x:row r="670">
      <x:c r="A670" s="2" t="str">
        <x:v>DE-CMP-01</x:v>
      </x:c>
      <x:c r="B670" s="2" t="str">
        <x:v>CFG-C01</x:v>
      </x:c>
      <x:c r="C670" s="2" t="n">
        <x:v>46227.70238086805</x:v>
      </x:c>
      <x:c r="D670" s="2" t="str">
        <x:v>adaptive</x:v>
      </x:c>
      <x:c r="E670" s="2" t="str">
        <x:v>multiple_carriers</x:v>
      </x:c>
      <x:c r="F670" s="2" t="str">
        <x:v>335</x:v>
      </x:c>
      <x:c r="G670" s="2" t="str">
        <x:v>3134238</x:v>
      </x:c>
      <x:c r="H670" s="2" t="str">
        <x:v>2048000.0</x:v>
      </x:c>
      <x:c r="I670" s="2" t="str">
        <x:v>8192</x:v>
      </x:c>
      <x:c r="J670" s="2" t="str">
        <x:v>250.0</x:v>
      </x:c>
      <x:c r="K670" s="2" t="str">
        <x:v>3</x:v>
      </x:c>
      <x:c r="L670" s="2" t="str">
        <x:v>3</x:v>
      </x:c>
      <x:c r="M670" s="2" t="str">
        <x:v>3</x:v>
      </x:c>
      <x:c r="N670" s="2" t="str">
        <x:v>0</x:v>
      </x:c>
      <x:c r="O670" s="2" t="str">
        <x:v>0</x:v>
      </x:c>
      <x:c r="P670" s="2" t="str">
        <x:v>false</x:v>
      </x:c>
      <x:c r="Q670" s="2" t="str">
        <x:v>68.377963399;68.377963399;68.377963399</x:v>
      </x:c>
      <x:c r="R670" s="2" t="str">
        <x:v>0.42466701415833086</x:v>
      </x:c>
      <x:c r="S670" s="2" t="str">
        <x:v>46.47766570184483</x:v>
      </x:c>
    </x:row>
    <x:row r="671">
      <x:c r="A671" s="2" t="str">
        <x:v>DE-CMP-01</x:v>
      </x:c>
      <x:c r="B671" s="2" t="str">
        <x:v>CFG-C01</x:v>
      </x:c>
      <x:c r="C671" s="2" t="n">
        <x:v>46227.70238086805</x:v>
      </x:c>
      <x:c r="D671" s="2" t="str">
        <x:v>os_cfar</x:v>
      </x:c>
      <x:c r="E671" s="2" t="str">
        <x:v>multiple_carriers</x:v>
      </x:c>
      <x:c r="F671" s="2" t="str">
        <x:v>335</x:v>
      </x:c>
      <x:c r="G671" s="2" t="str">
        <x:v>3134238</x:v>
      </x:c>
      <x:c r="H671" s="2" t="str">
        <x:v>2048000.0</x:v>
      </x:c>
      <x:c r="I671" s="2" t="str">
        <x:v>8192</x:v>
      </x:c>
      <x:c r="J671" s="2" t="str">
        <x:v>250.0</x:v>
      </x:c>
      <x:c r="K671" s="2" t="str">
        <x:v>3</x:v>
      </x:c>
      <x:c r="L671" s="2" t="str">
        <x:v>3</x:v>
      </x:c>
      <x:c r="M671" s="2" t="str">
        <x:v>3</x:v>
      </x:c>
      <x:c r="N671" s="2" t="str">
        <x:v>0</x:v>
      </x:c>
      <x:c r="O671" s="2" t="str">
        <x:v>0</x:v>
      </x:c>
      <x:c r="P671" s="2" t="str">
        <x:v>false</x:v>
      </x:c>
      <x:c r="Q671" s="2" t="str">
        <x:v>68.377963399;68.377963399;68.377963399</x:v>
      </x:c>
      <x:c r="R671" s="2" t="str">
        <x:v>14.186500004143454</x:v>
      </x:c>
      <x:c r="S671" s="2" t="str">
        <x:v>48.176209730160394</x:v>
      </x:c>
    </x:row>
    <x:row r="672">
      <x:c r="A672" s="2" t="str">
        <x:v>DE-CMP-01</x:v>
      </x:c>
      <x:c r="B672" s="2" t="str">
        <x:v>CFG-C01</x:v>
      </x:c>
      <x:c r="C672" s="2" t="n">
        <x:v>46227.70238086805</x:v>
      </x:c>
      <x:c r="D672" s="2" t="str">
        <x:v>os_cfar</x:v>
      </x:c>
      <x:c r="E672" s="2" t="str">
        <x:v>multiple_carriers</x:v>
      </x:c>
      <x:c r="F672" s="2" t="str">
        <x:v>336</x:v>
      </x:c>
      <x:c r="G672" s="2" t="str">
        <x:v>3134239</x:v>
      </x:c>
      <x:c r="H672" s="2" t="str">
        <x:v>2048000.0</x:v>
      </x:c>
      <x:c r="I672" s="2" t="str">
        <x:v>8192</x:v>
      </x:c>
      <x:c r="J672" s="2" t="str">
        <x:v>250.0</x:v>
      </x:c>
      <x:c r="K672" s="2" t="str">
        <x:v>3</x:v>
      </x:c>
      <x:c r="L672" s="2" t="str">
        <x:v>3</x:v>
      </x:c>
      <x:c r="M672" s="2" t="str">
        <x:v>3</x:v>
      </x:c>
      <x:c r="N672" s="2" t="str">
        <x:v>0</x:v>
      </x:c>
      <x:c r="O672" s="2" t="str">
        <x:v>0</x:v>
      </x:c>
      <x:c r="P672" s="2" t="str">
        <x:v>false</x:v>
      </x:c>
      <x:c r="Q672" s="2" t="str">
        <x:v>-15.573121496;-15.573121496;-15.573121496</x:v>
      </x:c>
      <x:c r="R672" s="2" t="str">
        <x:v>14.145583001663908</x:v>
      </x:c>
      <x:c r="S672" s="2" t="str">
        <x:v>48.2191127836863</x:v>
      </x:c>
    </x:row>
    <x:row r="673">
      <x:c r="A673" s="2" t="str">
        <x:v>DE-CMP-01</x:v>
      </x:c>
      <x:c r="B673" s="2" t="str">
        <x:v>CFG-C01</x:v>
      </x:c>
      <x:c r="C673" s="2" t="n">
        <x:v>46227.70238086805</x:v>
      </x:c>
      <x:c r="D673" s="2" t="str">
        <x:v>adaptive</x:v>
      </x:c>
      <x:c r="E673" s="2" t="str">
        <x:v>multiple_carriers</x:v>
      </x:c>
      <x:c r="F673" s="2" t="str">
        <x:v>336</x:v>
      </x:c>
      <x:c r="G673" s="2" t="str">
        <x:v>3134239</x:v>
      </x:c>
      <x:c r="H673" s="2" t="str">
        <x:v>2048000.0</x:v>
      </x:c>
      <x:c r="I673" s="2" t="str">
        <x:v>8192</x:v>
      </x:c>
      <x:c r="J673" s="2" t="str">
        <x:v>250.0</x:v>
      </x:c>
      <x:c r="K673" s="2" t="str">
        <x:v>3</x:v>
      </x:c>
      <x:c r="L673" s="2" t="str">
        <x:v>3</x:v>
      </x:c>
      <x:c r="M673" s="2" t="str">
        <x:v>3</x:v>
      </x:c>
      <x:c r="N673" s="2" t="str">
        <x:v>0</x:v>
      </x:c>
      <x:c r="O673" s="2" t="str">
        <x:v>0</x:v>
      </x:c>
      <x:c r="P673" s="2" t="str">
        <x:v>false</x:v>
      </x:c>
      <x:c r="Q673" s="2" t="str">
        <x:v>-15.573121496;-15.573121496;-15.573121496</x:v>
      </x:c>
      <x:c r="R673" s="2" t="str">
        <x:v>0.4535000043688342</x:v>
      </x:c>
      <x:c r="S673" s="2" t="str">
        <x:v>46.36113011938675</x:v>
      </x:c>
    </x:row>
    <x:row r="674">
      <x:c r="A674" s="2" t="str">
        <x:v>DE-CMP-01</x:v>
      </x:c>
      <x:c r="B674" s="2" t="str">
        <x:v>CFG-C01</x:v>
      </x:c>
      <x:c r="C674" s="2" t="n">
        <x:v>46227.70238086805</x:v>
      </x:c>
      <x:c r="D674" s="2" t="str">
        <x:v>adaptive</x:v>
      </x:c>
      <x:c r="E674" s="2" t="str">
        <x:v>multiple_carriers</x:v>
      </x:c>
      <x:c r="F674" s="2" t="str">
        <x:v>337</x:v>
      </x:c>
      <x:c r="G674" s="2" t="str">
        <x:v>3134240</x:v>
      </x:c>
      <x:c r="H674" s="2" t="str">
        <x:v>2048000.0</x:v>
      </x:c>
      <x:c r="I674" s="2" t="str">
        <x:v>8192</x:v>
      </x:c>
      <x:c r="J674" s="2" t="str">
        <x:v>250.0</x:v>
      </x:c>
      <x:c r="K674" s="2" t="str">
        <x:v>3</x:v>
      </x:c>
      <x:c r="L674" s="2" t="str">
        <x:v>3</x:v>
      </x:c>
      <x:c r="M674" s="2" t="str">
        <x:v>3</x:v>
      </x:c>
      <x:c r="N674" s="2" t="str">
        <x:v>0</x:v>
      </x:c>
      <x:c r="O674" s="2" t="str">
        <x:v>0</x:v>
      </x:c>
      <x:c r="P674" s="2" t="str">
        <x:v>false</x:v>
      </x:c>
      <x:c r="Q674" s="2" t="str">
        <x:v>109.465180702;109.465180702;109.465180702</x:v>
      </x:c>
      <x:c r="R674" s="2" t="str">
        <x:v>0.43862500751856714</x:v>
      </x:c>
      <x:c r="S674" s="2" t="str">
        <x:v>46.52698825940584</x:v>
      </x:c>
    </x:row>
    <x:row r="675">
      <x:c r="A675" s="2" t="str">
        <x:v>DE-CMP-01</x:v>
      </x:c>
      <x:c r="B675" s="2" t="str">
        <x:v>CFG-C01</x:v>
      </x:c>
      <x:c r="C675" s="2" t="n">
        <x:v>46227.70238086805</x:v>
      </x:c>
      <x:c r="D675" s="2" t="str">
        <x:v>os_cfar</x:v>
      </x:c>
      <x:c r="E675" s="2" t="str">
        <x:v>multiple_carriers</x:v>
      </x:c>
      <x:c r="F675" s="2" t="str">
        <x:v>337</x:v>
      </x:c>
      <x:c r="G675" s="2" t="str">
        <x:v>3134240</x:v>
      </x:c>
      <x:c r="H675" s="2" t="str">
        <x:v>2048000.0</x:v>
      </x:c>
      <x:c r="I675" s="2" t="str">
        <x:v>8192</x:v>
      </x:c>
      <x:c r="J675" s="2" t="str">
        <x:v>250.0</x:v>
      </x:c>
      <x:c r="K675" s="2" t="str">
        <x:v>3</x:v>
      </x:c>
      <x:c r="L675" s="2" t="str">
        <x:v>3</x:v>
      </x:c>
      <x:c r="M675" s="2" t="str">
        <x:v>3</x:v>
      </x:c>
      <x:c r="N675" s="2" t="str">
        <x:v>0</x:v>
      </x:c>
      <x:c r="O675" s="2" t="str">
        <x:v>0</x:v>
      </x:c>
      <x:c r="P675" s="2" t="str">
        <x:v>false</x:v>
      </x:c>
      <x:c r="Q675" s="2" t="str">
        <x:v>109.465180702;109.465180702;109.465180702</x:v>
      </x:c>
      <x:c r="R675" s="2" t="str">
        <x:v>13.944542006356642</x:v>
      </x:c>
      <x:c r="S675" s="2" t="str">
        <x:v>48.12009093435775</x:v>
      </x:c>
    </x:row>
    <x:row r="676">
      <x:c r="A676" s="2" t="str">
        <x:v>DE-CMP-01</x:v>
      </x:c>
      <x:c r="B676" s="2" t="str">
        <x:v>CFG-C01</x:v>
      </x:c>
      <x:c r="C676" s="2" t="n">
        <x:v>46227.70238086805</x:v>
      </x:c>
      <x:c r="D676" s="2" t="str">
        <x:v>os_cfar</x:v>
      </x:c>
      <x:c r="E676" s="2" t="str">
        <x:v>multiple_carriers</x:v>
      </x:c>
      <x:c r="F676" s="2" t="str">
        <x:v>338</x:v>
      </x:c>
      <x:c r="G676" s="2" t="str">
        <x:v>3134241</x:v>
      </x:c>
      <x:c r="H676" s="2" t="str">
        <x:v>2048000.0</x:v>
      </x:c>
      <x:c r="I676" s="2" t="str">
        <x:v>8192</x:v>
      </x:c>
      <x:c r="J676" s="2" t="str">
        <x:v>250.0</x:v>
      </x:c>
      <x:c r="K676" s="2" t="str">
        <x:v>3</x:v>
      </x:c>
      <x:c r="L676" s="2" t="str">
        <x:v>3</x:v>
      </x:c>
      <x:c r="M676" s="2" t="str">
        <x:v>3</x:v>
      </x:c>
      <x:c r="N676" s="2" t="str">
        <x:v>0</x:v>
      </x:c>
      <x:c r="O676" s="2" t="str">
        <x:v>0</x:v>
      </x:c>
      <x:c r="P676" s="2" t="str">
        <x:v>false</x:v>
      </x:c>
      <x:c r="Q676" s="2" t="str">
        <x:v>4.196449939;4.196449939;4.196449939</x:v>
      </x:c>
      <x:c r="R676" s="2" t="str">
        <x:v>13.854415999958292</x:v>
      </x:c>
      <x:c r="S676" s="2" t="str">
        <x:v>48.252724041528936</x:v>
      </x:c>
    </x:row>
    <x:row r="677">
      <x:c r="A677" s="2" t="str">
        <x:v>DE-CMP-01</x:v>
      </x:c>
      <x:c r="B677" s="2" t="str">
        <x:v>CFG-C01</x:v>
      </x:c>
      <x:c r="C677" s="2" t="n">
        <x:v>46227.70238086805</x:v>
      </x:c>
      <x:c r="D677" s="2" t="str">
        <x:v>adaptive</x:v>
      </x:c>
      <x:c r="E677" s="2" t="str">
        <x:v>multiple_carriers</x:v>
      </x:c>
      <x:c r="F677" s="2" t="str">
        <x:v>338</x:v>
      </x:c>
      <x:c r="G677" s="2" t="str">
        <x:v>3134241</x:v>
      </x:c>
      <x:c r="H677" s="2" t="str">
        <x:v>2048000.0</x:v>
      </x:c>
      <x:c r="I677" s="2" t="str">
        <x:v>8192</x:v>
      </x:c>
      <x:c r="J677" s="2" t="str">
        <x:v>250.0</x:v>
      </x:c>
      <x:c r="K677" s="2" t="str">
        <x:v>3</x:v>
      </x:c>
      <x:c r="L677" s="2" t="str">
        <x:v>3</x:v>
      </x:c>
      <x:c r="M677" s="2" t="str">
        <x:v>3</x:v>
      </x:c>
      <x:c r="N677" s="2" t="str">
        <x:v>0</x:v>
      </x:c>
      <x:c r="O677" s="2" t="str">
        <x:v>0</x:v>
      </x:c>
      <x:c r="P677" s="2" t="str">
        <x:v>false</x:v>
      </x:c>
      <x:c r="Q677" s="2" t="str">
        <x:v>4.196449939;4.196449939;4.196449939</x:v>
      </x:c>
      <x:c r="R677" s="2" t="str">
        <x:v>0.4185410070931539</x:v>
      </x:c>
      <x:c r="S677" s="2" t="str">
        <x:v>46.52309727344558</x:v>
      </x:c>
    </x:row>
    <x:row r="678">
      <x:c r="A678" s="2" t="str">
        <x:v>DE-CMP-01</x:v>
      </x:c>
      <x:c r="B678" s="2" t="str">
        <x:v>CFG-C01</x:v>
      </x:c>
      <x:c r="C678" s="2" t="n">
        <x:v>46227.70238086805</x:v>
      </x:c>
      <x:c r="D678" s="2" t="str">
        <x:v>adaptive</x:v>
      </x:c>
      <x:c r="E678" s="2" t="str">
        <x:v>multiple_carriers</x:v>
      </x:c>
      <x:c r="F678" s="2" t="str">
        <x:v>339</x:v>
      </x:c>
      <x:c r="G678" s="2" t="str">
        <x:v>3134242</x:v>
      </x:c>
      <x:c r="H678" s="2" t="str">
        <x:v>2048000.0</x:v>
      </x:c>
      <x:c r="I678" s="2" t="str">
        <x:v>8192</x:v>
      </x:c>
      <x:c r="J678" s="2" t="str">
        <x:v>250.0</x:v>
      </x:c>
      <x:c r="K678" s="2" t="str">
        <x:v>3</x:v>
      </x:c>
      <x:c r="L678" s="2" t="str">
        <x:v>3</x:v>
      </x:c>
      <x:c r="M678" s="2" t="str">
        <x:v>3</x:v>
      </x:c>
      <x:c r="N678" s="2" t="str">
        <x:v>0</x:v>
      </x:c>
      <x:c r="O678" s="2" t="str">
        <x:v>0</x:v>
      </x:c>
      <x:c r="P678" s="2" t="str">
        <x:v>false</x:v>
      </x:c>
      <x:c r="Q678" s="2" t="str">
        <x:v>103.141985769;103.141985769;103.141985769</x:v>
      </x:c>
      <x:c r="R678" s="2" t="str">
        <x:v>0.37199999496806413</x:v>
      </x:c>
      <x:c r="S678" s="2" t="str">
        <x:v>46.53637835804132</x:v>
      </x:c>
    </x:row>
    <x:row r="679">
      <x:c r="A679" s="2" t="str">
        <x:v>DE-CMP-01</x:v>
      </x:c>
      <x:c r="B679" s="2" t="str">
        <x:v>CFG-C01</x:v>
      </x:c>
      <x:c r="C679" s="2" t="n">
        <x:v>46227.70238086805</x:v>
      </x:c>
      <x:c r="D679" s="2" t="str">
        <x:v>os_cfar</x:v>
      </x:c>
      <x:c r="E679" s="2" t="str">
        <x:v>multiple_carriers</x:v>
      </x:c>
      <x:c r="F679" s="2" t="str">
        <x:v>339</x:v>
      </x:c>
      <x:c r="G679" s="2" t="str">
        <x:v>3134242</x:v>
      </x:c>
      <x:c r="H679" s="2" t="str">
        <x:v>2048000.0</x:v>
      </x:c>
      <x:c r="I679" s="2" t="str">
        <x:v>8192</x:v>
      </x:c>
      <x:c r="J679" s="2" t="str">
        <x:v>250.0</x:v>
      </x:c>
      <x:c r="K679" s="2" t="str">
        <x:v>3</x:v>
      </x:c>
      <x:c r="L679" s="2" t="str">
        <x:v>3</x:v>
      </x:c>
      <x:c r="M679" s="2" t="str">
        <x:v>3</x:v>
      </x:c>
      <x:c r="N679" s="2" t="str">
        <x:v>0</x:v>
      </x:c>
      <x:c r="O679" s="2" t="str">
        <x:v>0</x:v>
      </x:c>
      <x:c r="P679" s="2" t="str">
        <x:v>false</x:v>
      </x:c>
      <x:c r="Q679" s="2" t="str">
        <x:v>103.141985769;103.141985769;103.141985769</x:v>
      </x:c>
      <x:c r="R679" s="2" t="str">
        <x:v>13.764083007117733</x:v>
      </x:c>
      <x:c r="S679" s="2" t="str">
        <x:v>48.110413158624056</x:v>
      </x:c>
    </x:row>
    <x:row r="680">
      <x:c r="A680" s="2" t="str">
        <x:v>DE-CMP-01</x:v>
      </x:c>
      <x:c r="B680" s="2" t="str">
        <x:v>CFG-C01</x:v>
      </x:c>
      <x:c r="C680" s="2" t="n">
        <x:v>46227.70238086805</x:v>
      </x:c>
      <x:c r="D680" s="2" t="str">
        <x:v>os_cfar</x:v>
      </x:c>
      <x:c r="E680" s="2" t="str">
        <x:v>multiple_carriers</x:v>
      </x:c>
      <x:c r="F680" s="2" t="str">
        <x:v>340</x:v>
      </x:c>
      <x:c r="G680" s="2" t="str">
        <x:v>3134243</x:v>
      </x:c>
      <x:c r="H680" s="2" t="str">
        <x:v>2048000.0</x:v>
      </x:c>
      <x:c r="I680" s="2" t="str">
        <x:v>8192</x:v>
      </x:c>
      <x:c r="J680" s="2" t="str">
        <x:v>250.0</x:v>
      </x:c>
      <x:c r="K680" s="2" t="str">
        <x:v>3</x:v>
      </x:c>
      <x:c r="L680" s="2" t="str">
        <x:v>3</x:v>
      </x:c>
      <x:c r="M680" s="2" t="str">
        <x:v>3</x:v>
      </x:c>
      <x:c r="N680" s="2" t="str">
        <x:v>0</x:v>
      </x:c>
      <x:c r="O680" s="2" t="str">
        <x:v>0</x:v>
      </x:c>
      <x:c r="P680" s="2" t="str">
        <x:v>false</x:v>
      </x:c>
      <x:c r="Q680" s="2" t="str">
        <x:v>-36.599226608;-36.599226608;-36.599226608</x:v>
      </x:c>
      <x:c r="R680" s="2" t="str">
        <x:v>13.861833009286784</x:v>
      </x:c>
      <x:c r="S680" s="2" t="str">
        <x:v>48.263662902084434</x:v>
      </x:c>
    </x:row>
    <x:row r="681">
      <x:c r="A681" s="2" t="str">
        <x:v>DE-CMP-01</x:v>
      </x:c>
      <x:c r="B681" s="2" t="str">
        <x:v>CFG-C01</x:v>
      </x:c>
      <x:c r="C681" s="2" t="n">
        <x:v>46227.70238086805</x:v>
      </x:c>
      <x:c r="D681" s="2" t="str">
        <x:v>adaptive</x:v>
      </x:c>
      <x:c r="E681" s="2" t="str">
        <x:v>multiple_carriers</x:v>
      </x:c>
      <x:c r="F681" s="2" t="str">
        <x:v>340</x:v>
      </x:c>
      <x:c r="G681" s="2" t="str">
        <x:v>3134243</x:v>
      </x:c>
      <x:c r="H681" s="2" t="str">
        <x:v>2048000.0</x:v>
      </x:c>
      <x:c r="I681" s="2" t="str">
        <x:v>8192</x:v>
      </x:c>
      <x:c r="J681" s="2" t="str">
        <x:v>250.0</x:v>
      </x:c>
      <x:c r="K681" s="2" t="str">
        <x:v>3</x:v>
      </x:c>
      <x:c r="L681" s="2" t="str">
        <x:v>3</x:v>
      </x:c>
      <x:c r="M681" s="2" t="str">
        <x:v>3</x:v>
      </x:c>
      <x:c r="N681" s="2" t="str">
        <x:v>0</x:v>
      </x:c>
      <x:c r="O681" s="2" t="str">
        <x:v>0</x:v>
      </x:c>
      <x:c r="P681" s="2" t="str">
        <x:v>false</x:v>
      </x:c>
      <x:c r="Q681" s="2" t="str">
        <x:v>-36.599226608;-36.599226608;-36.599226608</x:v>
      </x:c>
      <x:c r="R681" s="2" t="str">
        <x:v>0.468917001853697</x:v>
      </x:c>
      <x:c r="S681" s="2" t="str">
        <x:v>46.32171148839881</x:v>
      </x:c>
    </x:row>
    <x:row r="682">
      <x:c r="A682" s="2" t="str">
        <x:v>DE-CMP-01</x:v>
      </x:c>
      <x:c r="B682" s="2" t="str">
        <x:v>CFG-C01</x:v>
      </x:c>
      <x:c r="C682" s="2" t="n">
        <x:v>46227.70238086805</x:v>
      </x:c>
      <x:c r="D682" s="2" t="str">
        <x:v>adaptive</x:v>
      </x:c>
      <x:c r="E682" s="2" t="str">
        <x:v>multiple_carriers</x:v>
      </x:c>
      <x:c r="F682" s="2" t="str">
        <x:v>341</x:v>
      </x:c>
      <x:c r="G682" s="2" t="str">
        <x:v>3134244</x:v>
      </x:c>
      <x:c r="H682" s="2" t="str">
        <x:v>2048000.0</x:v>
      </x:c>
      <x:c r="I682" s="2" t="str">
        <x:v>8192</x:v>
      </x:c>
      <x:c r="J682" s="2" t="str">
        <x:v>250.0</x:v>
      </x:c>
      <x:c r="K682" s="2" t="str">
        <x:v>3</x:v>
      </x:c>
      <x:c r="L682" s="2" t="str">
        <x:v>3</x:v>
      </x:c>
      <x:c r="M682" s="2" t="str">
        <x:v>3</x:v>
      </x:c>
      <x:c r="N682" s="2" t="str">
        <x:v>0</x:v>
      </x:c>
      <x:c r="O682" s="2" t="str">
        <x:v>0</x:v>
      </x:c>
      <x:c r="P682" s="2" t="str">
        <x:v>false</x:v>
      </x:c>
      <x:c r="Q682" s="2" t="str">
        <x:v>70.576177145;70.576177145;70.576177145</x:v>
      </x:c>
      <x:c r="R682" s="2" t="str">
        <x:v>0.4203749995213002</x:v>
      </x:c>
      <x:c r="S682" s="2" t="str">
        <x:v>46.77398405335686</x:v>
      </x:c>
    </x:row>
    <x:row r="683">
      <x:c r="A683" s="2" t="str">
        <x:v>DE-CMP-01</x:v>
      </x:c>
      <x:c r="B683" s="2" t="str">
        <x:v>CFG-C01</x:v>
      </x:c>
      <x:c r="C683" s="2" t="n">
        <x:v>46227.70238086805</x:v>
      </x:c>
      <x:c r="D683" s="2" t="str">
        <x:v>os_cfar</x:v>
      </x:c>
      <x:c r="E683" s="2" t="str">
        <x:v>multiple_carriers</x:v>
      </x:c>
      <x:c r="F683" s="2" t="str">
        <x:v>341</x:v>
      </x:c>
      <x:c r="G683" s="2" t="str">
        <x:v>3134244</x:v>
      </x:c>
      <x:c r="H683" s="2" t="str">
        <x:v>2048000.0</x:v>
      </x:c>
      <x:c r="I683" s="2" t="str">
        <x:v>8192</x:v>
      </x:c>
      <x:c r="J683" s="2" t="str">
        <x:v>250.0</x:v>
      </x:c>
      <x:c r="K683" s="2" t="str">
        <x:v>3</x:v>
      </x:c>
      <x:c r="L683" s="2" t="str">
        <x:v>3</x:v>
      </x:c>
      <x:c r="M683" s="2" t="str">
        <x:v>3</x:v>
      </x:c>
      <x:c r="N683" s="2" t="str">
        <x:v>0</x:v>
      </x:c>
      <x:c r="O683" s="2" t="str">
        <x:v>0</x:v>
      </x:c>
      <x:c r="P683" s="2" t="str">
        <x:v>false</x:v>
      </x:c>
      <x:c r="Q683" s="2" t="str">
        <x:v>70.576177145;70.576177145;70.576177145</x:v>
      </x:c>
      <x:c r="R683" s="2" t="str">
        <x:v>14.025708005647175</x:v>
      </x:c>
      <x:c r="S683" s="2" t="str">
        <x:v>48.391038985302956</x:v>
      </x:c>
    </x:row>
    <x:row r="684">
      <x:c r="A684" s="2" t="str">
        <x:v>DE-CMP-01</x:v>
      </x:c>
      <x:c r="B684" s="2" t="str">
        <x:v>CFG-C01</x:v>
      </x:c>
      <x:c r="C684" s="2" t="n">
        <x:v>46227.70238086805</x:v>
      </x:c>
      <x:c r="D684" s="2" t="str">
        <x:v>os_cfar</x:v>
      </x:c>
      <x:c r="E684" s="2" t="str">
        <x:v>multiple_carriers</x:v>
      </x:c>
      <x:c r="F684" s="2" t="str">
        <x:v>342</x:v>
      </x:c>
      <x:c r="G684" s="2" t="str">
        <x:v>3134245</x:v>
      </x:c>
      <x:c r="H684" s="2" t="str">
        <x:v>2048000.0</x:v>
      </x:c>
      <x:c r="I684" s="2" t="str">
        <x:v>8192</x:v>
      </x:c>
      <x:c r="J684" s="2" t="str">
        <x:v>250.0</x:v>
      </x:c>
      <x:c r="K684" s="2" t="str">
        <x:v>3</x:v>
      </x:c>
      <x:c r="L684" s="2" t="str">
        <x:v>3</x:v>
      </x:c>
      <x:c r="M684" s="2" t="str">
        <x:v>3</x:v>
      </x:c>
      <x:c r="N684" s="2" t="str">
        <x:v>0</x:v>
      </x:c>
      <x:c r="O684" s="2" t="str">
        <x:v>0</x:v>
      </x:c>
      <x:c r="P684" s="2" t="str">
        <x:v>false</x:v>
      </x:c>
      <x:c r="Q684" s="2" t="str">
        <x:v>68.263861534;68.263861534;68.263861534</x:v>
      </x:c>
      <x:c r="R684" s="2" t="str">
        <x:v>14.114582998445258</x:v>
      </x:c>
      <x:c r="S684" s="2" t="str">
        <x:v>48.136503577343234</x:v>
      </x:c>
    </x:row>
    <x:row r="685">
      <x:c r="A685" s="2" t="str">
        <x:v>DE-CMP-01</x:v>
      </x:c>
      <x:c r="B685" s="2" t="str">
        <x:v>CFG-C01</x:v>
      </x:c>
      <x:c r="C685" s="2" t="n">
        <x:v>46227.70238086805</x:v>
      </x:c>
      <x:c r="D685" s="2" t="str">
        <x:v>adaptive</x:v>
      </x:c>
      <x:c r="E685" s="2" t="str">
        <x:v>multiple_carriers</x:v>
      </x:c>
      <x:c r="F685" s="2" t="str">
        <x:v>342</x:v>
      </x:c>
      <x:c r="G685" s="2" t="str">
        <x:v>3134245</x:v>
      </x:c>
      <x:c r="H685" s="2" t="str">
        <x:v>2048000.0</x:v>
      </x:c>
      <x:c r="I685" s="2" t="str">
        <x:v>8192</x:v>
      </x:c>
      <x:c r="J685" s="2" t="str">
        <x:v>250.0</x:v>
      </x:c>
      <x:c r="K685" s="2" t="str">
        <x:v>3</x:v>
      </x:c>
      <x:c r="L685" s="2" t="str">
        <x:v>3</x:v>
      </x:c>
      <x:c r="M685" s="2" t="str">
        <x:v>3</x:v>
      </x:c>
      <x:c r="N685" s="2" t="str">
        <x:v>0</x:v>
      </x:c>
      <x:c r="O685" s="2" t="str">
        <x:v>0</x:v>
      </x:c>
      <x:c r="P685" s="2" t="str">
        <x:v>false</x:v>
      </x:c>
      <x:c r="Q685" s="2" t="str">
        <x:v>68.263861534;68.263861534;68.263861534</x:v>
      </x:c>
      <x:c r="R685" s="2" t="str">
        <x:v>0.4879999905824661</x:v>
      </x:c>
      <x:c r="S685" s="2" t="str">
        <x:v>46.27287782693368</x:v>
      </x:c>
    </x:row>
    <x:row r="686">
      <x:c r="A686" s="2" t="str">
        <x:v>DE-CMP-01</x:v>
      </x:c>
      <x:c r="B686" s="2" t="str">
        <x:v>CFG-C01</x:v>
      </x:c>
      <x:c r="C686" s="2" t="n">
        <x:v>46227.70238086805</x:v>
      </x:c>
      <x:c r="D686" s="2" t="str">
        <x:v>adaptive</x:v>
      </x:c>
      <x:c r="E686" s="2" t="str">
        <x:v>multiple_carriers</x:v>
      </x:c>
      <x:c r="F686" s="2" t="str">
        <x:v>343</x:v>
      </x:c>
      <x:c r="G686" s="2" t="str">
        <x:v>3134246</x:v>
      </x:c>
      <x:c r="H686" s="2" t="str">
        <x:v>2048000.0</x:v>
      </x:c>
      <x:c r="I686" s="2" t="str">
        <x:v>8192</x:v>
      </x:c>
      <x:c r="J686" s="2" t="str">
        <x:v>250.0</x:v>
      </x:c>
      <x:c r="K686" s="2" t="str">
        <x:v>3</x:v>
      </x:c>
      <x:c r="L686" s="2" t="str">
        <x:v>3</x:v>
      </x:c>
      <x:c r="M686" s="2" t="str">
        <x:v>3</x:v>
      </x:c>
      <x:c r="N686" s="2" t="str">
        <x:v>0</x:v>
      </x:c>
      <x:c r="O686" s="2" t="str">
        <x:v>0</x:v>
      </x:c>
      <x:c r="P686" s="2" t="str">
        <x:v>false</x:v>
      </x:c>
      <x:c r="Q686" s="2" t="str">
        <x:v>-121.932099371;-121.932099372;128.067900629</x:v>
      </x:c>
      <x:c r="R686" s="2" t="str">
        <x:v>0.426208003773354</x:v>
      </x:c>
      <x:c r="S686" s="2" t="str">
        <x:v>46.55965847397336</x:v>
      </x:c>
    </x:row>
    <x:row r="687">
      <x:c r="A687" s="2" t="str">
        <x:v>DE-CMP-01</x:v>
      </x:c>
      <x:c r="B687" s="2" t="str">
        <x:v>CFG-C01</x:v>
      </x:c>
      <x:c r="C687" s="2" t="n">
        <x:v>46227.70238086805</x:v>
      </x:c>
      <x:c r="D687" s="2" t="str">
        <x:v>os_cfar</x:v>
      </x:c>
      <x:c r="E687" s="2" t="str">
        <x:v>multiple_carriers</x:v>
      </x:c>
      <x:c r="F687" s="2" t="str">
        <x:v>343</x:v>
      </x:c>
      <x:c r="G687" s="2" t="str">
        <x:v>3134246</x:v>
      </x:c>
      <x:c r="H687" s="2" t="str">
        <x:v>2048000.0</x:v>
      </x:c>
      <x:c r="I687" s="2" t="str">
        <x:v>8192</x:v>
      </x:c>
      <x:c r="J687" s="2" t="str">
        <x:v>250.0</x:v>
      </x:c>
      <x:c r="K687" s="2" t="str">
        <x:v>3</x:v>
      </x:c>
      <x:c r="L687" s="2" t="str">
        <x:v>3</x:v>
      </x:c>
      <x:c r="M687" s="2" t="str">
        <x:v>3</x:v>
      </x:c>
      <x:c r="N687" s="2" t="str">
        <x:v>0</x:v>
      </x:c>
      <x:c r="O687" s="2" t="str">
        <x:v>0</x:v>
      </x:c>
      <x:c r="P687" s="2" t="str">
        <x:v>false</x:v>
      </x:c>
      <x:c r="Q687" s="2" t="str">
        <x:v>-121.932099371;-121.932099372;128.067900629</x:v>
      </x:c>
      <x:c r="R687" s="2" t="str">
        <x:v>13.742875002208166</x:v>
      </x:c>
      <x:c r="S687" s="2" t="str">
        <x:v>48.30538931095926</x:v>
      </x:c>
    </x:row>
    <x:row r="688">
      <x:c r="A688" s="2" t="str">
        <x:v>DE-CMP-01</x:v>
      </x:c>
      <x:c r="B688" s="2" t="str">
        <x:v>CFG-C01</x:v>
      </x:c>
      <x:c r="C688" s="2" t="n">
        <x:v>46227.70238086805</x:v>
      </x:c>
      <x:c r="D688" s="2" t="str">
        <x:v>os_cfar</x:v>
      </x:c>
      <x:c r="E688" s="2" t="str">
        <x:v>multiple_carriers</x:v>
      </x:c>
      <x:c r="F688" s="2" t="str">
        <x:v>344</x:v>
      </x:c>
      <x:c r="G688" s="2" t="str">
        <x:v>3134247</x:v>
      </x:c>
      <x:c r="H688" s="2" t="str">
        <x:v>2048000.0</x:v>
      </x:c>
      <x:c r="I688" s="2" t="str">
        <x:v>8192</x:v>
      </x:c>
      <x:c r="J688" s="2" t="str">
        <x:v>250.0</x:v>
      </x:c>
      <x:c r="K688" s="2" t="str">
        <x:v>3</x:v>
      </x:c>
      <x:c r="L688" s="2" t="str">
        <x:v>3</x:v>
      </x:c>
      <x:c r="M688" s="2" t="str">
        <x:v>3</x:v>
      </x:c>
      <x:c r="N688" s="2" t="str">
        <x:v>0</x:v>
      </x:c>
      <x:c r="O688" s="2" t="str">
        <x:v>0</x:v>
      </x:c>
      <x:c r="P688" s="2" t="str">
        <x:v>false</x:v>
      </x:c>
      <x:c r="Q688" s="2" t="str">
        <x:v>-40.517815117;-40.517815117;-40.517815117</x:v>
      </x:c>
      <x:c r="R688" s="2" t="str">
        <x:v>13.99804100219626</x:v>
      </x:c>
      <x:c r="S688" s="2" t="str">
        <x:v>48.180445317785875</x:v>
      </x:c>
    </x:row>
    <x:row r="689">
      <x:c r="A689" s="2" t="str">
        <x:v>DE-CMP-01</x:v>
      </x:c>
      <x:c r="B689" s="2" t="str">
        <x:v>CFG-C01</x:v>
      </x:c>
      <x:c r="C689" s="2" t="n">
        <x:v>46227.70238086805</x:v>
      </x:c>
      <x:c r="D689" s="2" t="str">
        <x:v>adaptive</x:v>
      </x:c>
      <x:c r="E689" s="2" t="str">
        <x:v>multiple_carriers</x:v>
      </x:c>
      <x:c r="F689" s="2" t="str">
        <x:v>344</x:v>
      </x:c>
      <x:c r="G689" s="2" t="str">
        <x:v>3134247</x:v>
      </x:c>
      <x:c r="H689" s="2" t="str">
        <x:v>2048000.0</x:v>
      </x:c>
      <x:c r="I689" s="2" t="str">
        <x:v>8192</x:v>
      </x:c>
      <x:c r="J689" s="2" t="str">
        <x:v>250.0</x:v>
      </x:c>
      <x:c r="K689" s="2" t="str">
        <x:v>3</x:v>
      </x:c>
      <x:c r="L689" s="2" t="str">
        <x:v>3</x:v>
      </x:c>
      <x:c r="M689" s="2" t="str">
        <x:v>3</x:v>
      </x:c>
      <x:c r="N689" s="2" t="str">
        <x:v>0</x:v>
      </x:c>
      <x:c r="O689" s="2" t="str">
        <x:v>0</x:v>
      </x:c>
      <x:c r="P689" s="2" t="str">
        <x:v>false</x:v>
      </x:c>
      <x:c r="Q689" s="2" t="str">
        <x:v>-40.517815117;-40.517815117;-40.517815117</x:v>
      </x:c>
      <x:c r="R689" s="2" t="str">
        <x:v>0.46266599383670837</x:v>
      </x:c>
      <x:c r="S689" s="2" t="str">
        <x:v>46.48638880987107</x:v>
      </x:c>
    </x:row>
    <x:row r="690">
      <x:c r="A690" s="2" t="str">
        <x:v>DE-CMP-01</x:v>
      </x:c>
      <x:c r="B690" s="2" t="str">
        <x:v>CFG-C01</x:v>
      </x:c>
      <x:c r="C690" s="2" t="n">
        <x:v>46227.70238086805</x:v>
      </x:c>
      <x:c r="D690" s="2" t="str">
        <x:v>adaptive</x:v>
      </x:c>
      <x:c r="E690" s="2" t="str">
        <x:v>multiple_carriers</x:v>
      </x:c>
      <x:c r="F690" s="2" t="str">
        <x:v>345</x:v>
      </x:c>
      <x:c r="G690" s="2" t="str">
        <x:v>3134248</x:v>
      </x:c>
      <x:c r="H690" s="2" t="str">
        <x:v>2048000.0</x:v>
      </x:c>
      <x:c r="I690" s="2" t="str">
        <x:v>8192</x:v>
      </x:c>
      <x:c r="J690" s="2" t="str">
        <x:v>250.0</x:v>
      </x:c>
      <x:c r="K690" s="2" t="str">
        <x:v>3</x:v>
      </x:c>
      <x:c r="L690" s="2" t="str">
        <x:v>3</x:v>
      </x:c>
      <x:c r="M690" s="2" t="str">
        <x:v>3</x:v>
      </x:c>
      <x:c r="N690" s="2" t="str">
        <x:v>0</x:v>
      </x:c>
      <x:c r="O690" s="2" t="str">
        <x:v>0</x:v>
      </x:c>
      <x:c r="P690" s="2" t="str">
        <x:v>false</x:v>
      </x:c>
      <x:c r="Q690" s="2" t="str">
        <x:v>-86.541139286;-86.541139286;-86.541139286</x:v>
      </x:c>
      <x:c r="R690" s="2" t="str">
        <x:v>0.4160410026088357</x:v>
      </x:c>
      <x:c r="S690" s="2" t="str">
        <x:v>46.29387542013414</x:v>
      </x:c>
    </x:row>
    <x:row r="691">
      <x:c r="A691" s="2" t="str">
        <x:v>DE-CMP-01</x:v>
      </x:c>
      <x:c r="B691" s="2" t="str">
        <x:v>CFG-C01</x:v>
      </x:c>
      <x:c r="C691" s="2" t="n">
        <x:v>46227.70238086805</x:v>
      </x:c>
      <x:c r="D691" s="2" t="str">
        <x:v>os_cfar</x:v>
      </x:c>
      <x:c r="E691" s="2" t="str">
        <x:v>multiple_carriers</x:v>
      </x:c>
      <x:c r="F691" s="2" t="str">
        <x:v>345</x:v>
      </x:c>
      <x:c r="G691" s="2" t="str">
        <x:v>3134248</x:v>
      </x:c>
      <x:c r="H691" s="2" t="str">
        <x:v>2048000.0</x:v>
      </x:c>
      <x:c r="I691" s="2" t="str">
        <x:v>8192</x:v>
      </x:c>
      <x:c r="J691" s="2" t="str">
        <x:v>250.0</x:v>
      </x:c>
      <x:c r="K691" s="2" t="str">
        <x:v>3</x:v>
      </x:c>
      <x:c r="L691" s="2" t="str">
        <x:v>3</x:v>
      </x:c>
      <x:c r="M691" s="2" t="str">
        <x:v>3</x:v>
      </x:c>
      <x:c r="N691" s="2" t="str">
        <x:v>0</x:v>
      </x:c>
      <x:c r="O691" s="2" t="str">
        <x:v>0</x:v>
      </x:c>
      <x:c r="P691" s="2" t="str">
        <x:v>false</x:v>
      </x:c>
      <x:c r="Q691" s="2" t="str">
        <x:v>-86.541139286;-86.541139286;-86.541139286</x:v>
      </x:c>
      <x:c r="R691" s="2" t="str">
        <x:v>13.793416001135483</x:v>
      </x:c>
      <x:c r="S691" s="2" t="str">
        <x:v>48.16736109141484</x:v>
      </x:c>
    </x:row>
    <x:row r="692">
      <x:c r="A692" s="2" t="str">
        <x:v>DE-CMP-01</x:v>
      </x:c>
      <x:c r="B692" s="2" t="str">
        <x:v>CFG-C01</x:v>
      </x:c>
      <x:c r="C692" s="2" t="n">
        <x:v>46227.70238086805</x:v>
      </x:c>
      <x:c r="D692" s="2" t="str">
        <x:v>os_cfar</x:v>
      </x:c>
      <x:c r="E692" s="2" t="str">
        <x:v>multiple_carriers</x:v>
      </x:c>
      <x:c r="F692" s="2" t="str">
        <x:v>346</x:v>
      </x:c>
      <x:c r="G692" s="2" t="str">
        <x:v>3134249</x:v>
      </x:c>
      <x:c r="H692" s="2" t="str">
        <x:v>2048000.0</x:v>
      </x:c>
      <x:c r="I692" s="2" t="str">
        <x:v>8192</x:v>
      </x:c>
      <x:c r="J692" s="2" t="str">
        <x:v>250.0</x:v>
      </x:c>
      <x:c r="K692" s="2" t="str">
        <x:v>3</x:v>
      </x:c>
      <x:c r="L692" s="2" t="str">
        <x:v>3</x:v>
      </x:c>
      <x:c r="M692" s="2" t="str">
        <x:v>3</x:v>
      </x:c>
      <x:c r="N692" s="2" t="str">
        <x:v>0</x:v>
      </x:c>
      <x:c r="O692" s="2" t="str">
        <x:v>0</x:v>
      </x:c>
      <x:c r="P692" s="2" t="str">
        <x:v>false</x:v>
      </x:c>
      <x:c r="Q692" s="2" t="str">
        <x:v>124.300640917;-125.699359083;-125.699359083</x:v>
      </x:c>
      <x:c r="R692" s="2" t="str">
        <x:v>14.070457997149788</x:v>
      </x:c>
      <x:c r="S692" s="2" t="str">
        <x:v>48.22301953424804</x:v>
      </x:c>
    </x:row>
    <x:row r="693">
      <x:c r="A693" s="2" t="str">
        <x:v>DE-CMP-01</x:v>
      </x:c>
      <x:c r="B693" s="2" t="str">
        <x:v>CFG-C01</x:v>
      </x:c>
      <x:c r="C693" s="2" t="n">
        <x:v>46227.70238086805</x:v>
      </x:c>
      <x:c r="D693" s="2" t="str">
        <x:v>adaptive</x:v>
      </x:c>
      <x:c r="E693" s="2" t="str">
        <x:v>multiple_carriers</x:v>
      </x:c>
      <x:c r="F693" s="2" t="str">
        <x:v>346</x:v>
      </x:c>
      <x:c r="G693" s="2" t="str">
        <x:v>3134249</x:v>
      </x:c>
      <x:c r="H693" s="2" t="str">
        <x:v>2048000.0</x:v>
      </x:c>
      <x:c r="I693" s="2" t="str">
        <x:v>8192</x:v>
      </x:c>
      <x:c r="J693" s="2" t="str">
        <x:v>250.0</x:v>
      </x:c>
      <x:c r="K693" s="2" t="str">
        <x:v>3</x:v>
      </x:c>
      <x:c r="L693" s="2" t="str">
        <x:v>3</x:v>
      </x:c>
      <x:c r="M693" s="2" t="str">
        <x:v>3</x:v>
      </x:c>
      <x:c r="N693" s="2" t="str">
        <x:v>0</x:v>
      </x:c>
      <x:c r="O693" s="2" t="str">
        <x:v>0</x:v>
      </x:c>
      <x:c r="P693" s="2" t="str">
        <x:v>false</x:v>
      </x:c>
      <x:c r="Q693" s="2" t="str">
        <x:v>124.300640917;-125.699359083;-125.699359083</x:v>
      </x:c>
      <x:c r="R693" s="2" t="str">
        <x:v>0.44954201439395547</x:v>
      </x:c>
      <x:c r="S693" s="2" t="str">
        <x:v>46.419941043086695</x:v>
      </x:c>
    </x:row>
    <x:row r="694">
      <x:c r="A694" s="2" t="str">
        <x:v>DE-CMP-01</x:v>
      </x:c>
      <x:c r="B694" s="2" t="str">
        <x:v>CFG-C01</x:v>
      </x:c>
      <x:c r="C694" s="2" t="n">
        <x:v>46227.70238086805</x:v>
      </x:c>
      <x:c r="D694" s="2" t="str">
        <x:v>adaptive</x:v>
      </x:c>
      <x:c r="E694" s="2" t="str">
        <x:v>multiple_carriers</x:v>
      </x:c>
      <x:c r="F694" s="2" t="str">
        <x:v>347</x:v>
      </x:c>
      <x:c r="G694" s="2" t="str">
        <x:v>3134250</x:v>
      </x:c>
      <x:c r="H694" s="2" t="str">
        <x:v>2048000.0</x:v>
      </x:c>
      <x:c r="I694" s="2" t="str">
        <x:v>8192</x:v>
      </x:c>
      <x:c r="J694" s="2" t="str">
        <x:v>250.0</x:v>
      </x:c>
      <x:c r="K694" s="2" t="str">
        <x:v>3</x:v>
      </x:c>
      <x:c r="L694" s="2" t="str">
        <x:v>3</x:v>
      </x:c>
      <x:c r="M694" s="2" t="str">
        <x:v>3</x:v>
      </x:c>
      <x:c r="N694" s="2" t="str">
        <x:v>0</x:v>
      </x:c>
      <x:c r="O694" s="2" t="str">
        <x:v>0</x:v>
      </x:c>
      <x:c r="P694" s="2" t="str">
        <x:v>false</x:v>
      </x:c>
      <x:c r="Q694" s="2" t="str">
        <x:v>118.542321615;118.542321615;118.542321615</x:v>
      </x:c>
      <x:c r="R694" s="2" t="str">
        <x:v>0.421124990680255</x:v>
      </x:c>
      <x:c r="S694" s="2" t="str">
        <x:v>46.440065692832</x:v>
      </x:c>
    </x:row>
    <x:row r="695">
      <x:c r="A695" s="2" t="str">
        <x:v>DE-CMP-01</x:v>
      </x:c>
      <x:c r="B695" s="2" t="str">
        <x:v>CFG-C01</x:v>
      </x:c>
      <x:c r="C695" s="2" t="n">
        <x:v>46227.70238086805</x:v>
      </x:c>
      <x:c r="D695" s="2" t="str">
        <x:v>os_cfar</x:v>
      </x:c>
      <x:c r="E695" s="2" t="str">
        <x:v>multiple_carriers</x:v>
      </x:c>
      <x:c r="F695" s="2" t="str">
        <x:v>347</x:v>
      </x:c>
      <x:c r="G695" s="2" t="str">
        <x:v>3134250</x:v>
      </x:c>
      <x:c r="H695" s="2" t="str">
        <x:v>2048000.0</x:v>
      </x:c>
      <x:c r="I695" s="2" t="str">
        <x:v>8192</x:v>
      </x:c>
      <x:c r="J695" s="2" t="str">
        <x:v>250.0</x:v>
      </x:c>
      <x:c r="K695" s="2" t="str">
        <x:v>3</x:v>
      </x:c>
      <x:c r="L695" s="2" t="str">
        <x:v>3</x:v>
      </x:c>
      <x:c r="M695" s="2" t="str">
        <x:v>3</x:v>
      </x:c>
      <x:c r="N695" s="2" t="str">
        <x:v>0</x:v>
      </x:c>
      <x:c r="O695" s="2" t="str">
        <x:v>0</x:v>
      </x:c>
      <x:c r="P695" s="2" t="str">
        <x:v>false</x:v>
      </x:c>
      <x:c r="Q695" s="2" t="str">
        <x:v>118.542321615;118.542321615;118.542321615</x:v>
      </x:c>
      <x:c r="R695" s="2" t="str">
        <x:v>13.895458003389649</x:v>
      </x:c>
      <x:c r="S695" s="2" t="str">
        <x:v>48.32508738020697</x:v>
      </x:c>
    </x:row>
    <x:row r="696">
      <x:c r="A696" s="2" t="str">
        <x:v>DE-CMP-01</x:v>
      </x:c>
      <x:c r="B696" s="2" t="str">
        <x:v>CFG-C01</x:v>
      </x:c>
      <x:c r="C696" s="2" t="n">
        <x:v>46227.70238086805</x:v>
      </x:c>
      <x:c r="D696" s="2" t="str">
        <x:v>os_cfar</x:v>
      </x:c>
      <x:c r="E696" s="2" t="str">
        <x:v>multiple_carriers</x:v>
      </x:c>
      <x:c r="F696" s="2" t="str">
        <x:v>348</x:v>
      </x:c>
      <x:c r="G696" s="2" t="str">
        <x:v>3134251</x:v>
      </x:c>
      <x:c r="H696" s="2" t="str">
        <x:v>2048000.0</x:v>
      </x:c>
      <x:c r="I696" s="2" t="str">
        <x:v>8192</x:v>
      </x:c>
      <x:c r="J696" s="2" t="str">
        <x:v>250.0</x:v>
      </x:c>
      <x:c r="K696" s="2" t="str">
        <x:v>3</x:v>
      </x:c>
      <x:c r="L696" s="2" t="str">
        <x:v>3</x:v>
      </x:c>
      <x:c r="M696" s="2" t="str">
        <x:v>3</x:v>
      </x:c>
      <x:c r="N696" s="2" t="str">
        <x:v>0</x:v>
      </x:c>
      <x:c r="O696" s="2" t="str">
        <x:v>0</x:v>
      </x:c>
      <x:c r="P696" s="2" t="str">
        <x:v>false</x:v>
      </x:c>
      <x:c r="Q696" s="2" t="str">
        <x:v>54.519994749;54.519994749;54.519994749</x:v>
      </x:c>
      <x:c r="R696" s="2" t="str">
        <x:v>13.625958003103733</x:v>
      </x:c>
      <x:c r="S696" s="2" t="str">
        <x:v>48.23553500950865</x:v>
      </x:c>
    </x:row>
    <x:row r="697">
      <x:c r="A697" s="2" t="str">
        <x:v>DE-CMP-01</x:v>
      </x:c>
      <x:c r="B697" s="2" t="str">
        <x:v>CFG-C01</x:v>
      </x:c>
      <x:c r="C697" s="2" t="n">
        <x:v>46227.70238086805</x:v>
      </x:c>
      <x:c r="D697" s="2" t="str">
        <x:v>adaptive</x:v>
      </x:c>
      <x:c r="E697" s="2" t="str">
        <x:v>multiple_carriers</x:v>
      </x:c>
      <x:c r="F697" s="2" t="str">
        <x:v>348</x:v>
      </x:c>
      <x:c r="G697" s="2" t="str">
        <x:v>3134251</x:v>
      </x:c>
      <x:c r="H697" s="2" t="str">
        <x:v>2048000.0</x:v>
      </x:c>
      <x:c r="I697" s="2" t="str">
        <x:v>8192</x:v>
      </x:c>
      <x:c r="J697" s="2" t="str">
        <x:v>250.0</x:v>
      </x:c>
      <x:c r="K697" s="2" t="str">
        <x:v>3</x:v>
      </x:c>
      <x:c r="L697" s="2" t="str">
        <x:v>3</x:v>
      </x:c>
      <x:c r="M697" s="2" t="str">
        <x:v>3</x:v>
      </x:c>
      <x:c r="N697" s="2" t="str">
        <x:v>0</x:v>
      </x:c>
      <x:c r="O697" s="2" t="str">
        <x:v>0</x:v>
      </x:c>
      <x:c r="P697" s="2" t="str">
        <x:v>false</x:v>
      </x:c>
      <x:c r="Q697" s="2" t="str">
        <x:v>54.519994749;54.519994749;54.519994749</x:v>
      </x:c>
      <x:c r="R697" s="2" t="str">
        <x:v>0.42887500603683293</x:v>
      </x:c>
      <x:c r="S697" s="2" t="str">
        <x:v>46.295655074609954</x:v>
      </x:c>
    </x:row>
    <x:row r="698">
      <x:c r="A698" s="2" t="str">
        <x:v>DE-CMP-01</x:v>
      </x:c>
      <x:c r="B698" s="2" t="str">
        <x:v>CFG-C01</x:v>
      </x:c>
      <x:c r="C698" s="2" t="n">
        <x:v>46227.70238086805</x:v>
      </x:c>
      <x:c r="D698" s="2" t="str">
        <x:v>adaptive</x:v>
      </x:c>
      <x:c r="E698" s="2" t="str">
        <x:v>multiple_carriers</x:v>
      </x:c>
      <x:c r="F698" s="2" t="str">
        <x:v>349</x:v>
      </x:c>
      <x:c r="G698" s="2" t="str">
        <x:v>3134252</x:v>
      </x:c>
      <x:c r="H698" s="2" t="str">
        <x:v>2048000.0</x:v>
      </x:c>
      <x:c r="I698" s="2" t="str">
        <x:v>8192</x:v>
      </x:c>
      <x:c r="J698" s="2" t="str">
        <x:v>250.0</x:v>
      </x:c>
      <x:c r="K698" s="2" t="str">
        <x:v>3</x:v>
      </x:c>
      <x:c r="L698" s="2" t="str">
        <x:v>3</x:v>
      </x:c>
      <x:c r="M698" s="2" t="str">
        <x:v>3</x:v>
      </x:c>
      <x:c r="N698" s="2" t="str">
        <x:v>0</x:v>
      </x:c>
      <x:c r="O698" s="2" t="str">
        <x:v>0</x:v>
      </x:c>
      <x:c r="P698" s="2" t="str">
        <x:v>false</x:v>
      </x:c>
      <x:c r="Q698" s="2" t="str">
        <x:v>-10.766869854;-10.766869854;-10.766869854</x:v>
      </x:c>
      <x:c r="R698" s="2" t="str">
        <x:v>0.41024999518413097</x:v>
      </x:c>
      <x:c r="S698" s="2" t="str">
        <x:v>46.54433689346279</x:v>
      </x:c>
    </x:row>
    <x:row r="699">
      <x:c r="A699" s="2" t="str">
        <x:v>DE-CMP-01</x:v>
      </x:c>
      <x:c r="B699" s="2" t="str">
        <x:v>CFG-C01</x:v>
      </x:c>
      <x:c r="C699" s="2" t="n">
        <x:v>46227.70238086805</x:v>
      </x:c>
      <x:c r="D699" s="2" t="str">
        <x:v>os_cfar</x:v>
      </x:c>
      <x:c r="E699" s="2" t="str">
        <x:v>multiple_carriers</x:v>
      </x:c>
      <x:c r="F699" s="2" t="str">
        <x:v>349</x:v>
      </x:c>
      <x:c r="G699" s="2" t="str">
        <x:v>3134252</x:v>
      </x:c>
      <x:c r="H699" s="2" t="str">
        <x:v>2048000.0</x:v>
      </x:c>
      <x:c r="I699" s="2" t="str">
        <x:v>8192</x:v>
      </x:c>
      <x:c r="J699" s="2" t="str">
        <x:v>250.0</x:v>
      </x:c>
      <x:c r="K699" s="2" t="str">
        <x:v>3</x:v>
      </x:c>
      <x:c r="L699" s="2" t="str">
        <x:v>3</x:v>
      </x:c>
      <x:c r="M699" s="2" t="str">
        <x:v>3</x:v>
      </x:c>
      <x:c r="N699" s="2" t="str">
        <x:v>0</x:v>
      </x:c>
      <x:c r="O699" s="2" t="str">
        <x:v>0</x:v>
      </x:c>
      <x:c r="P699" s="2" t="str">
        <x:v>false</x:v>
      </x:c>
      <x:c r="Q699" s="2" t="str">
        <x:v>-10.766869854;-10.766869854;-10.766869854</x:v>
      </x:c>
      <x:c r="R699" s="2" t="str">
        <x:v>13.66174999566283</x:v>
      </x:c>
      <x:c r="S699" s="2" t="str">
        <x:v>48.249242257154144</x:v>
      </x:c>
    </x:row>
    <x:row r="700">
      <x:c r="A700" s="2" t="str">
        <x:v>DE-CMP-01</x:v>
      </x:c>
      <x:c r="B700" s="2" t="str">
        <x:v>CFG-C01</x:v>
      </x:c>
      <x:c r="C700" s="2" t="n">
        <x:v>46227.70238086805</x:v>
      </x:c>
      <x:c r="D700" s="2" t="str">
        <x:v>os_cfar</x:v>
      </x:c>
      <x:c r="E700" s="2" t="str">
        <x:v>multiple_carriers</x:v>
      </x:c>
      <x:c r="F700" s="2" t="str">
        <x:v>350</x:v>
      </x:c>
      <x:c r="G700" s="2" t="str">
        <x:v>3134253</x:v>
      </x:c>
      <x:c r="H700" s="2" t="str">
        <x:v>2048000.0</x:v>
      </x:c>
      <x:c r="I700" s="2" t="str">
        <x:v>8192</x:v>
      </x:c>
      <x:c r="J700" s="2" t="str">
        <x:v>250.0</x:v>
      </x:c>
      <x:c r="K700" s="2" t="str">
        <x:v>3</x:v>
      </x:c>
      <x:c r="L700" s="2" t="str">
        <x:v>3</x:v>
      </x:c>
      <x:c r="M700" s="2" t="str">
        <x:v>3</x:v>
      </x:c>
      <x:c r="N700" s="2" t="str">
        <x:v>0</x:v>
      </x:c>
      <x:c r="O700" s="2" t="str">
        <x:v>0</x:v>
      </x:c>
      <x:c r="P700" s="2" t="str">
        <x:v>false</x:v>
      </x:c>
      <x:c r="Q700" s="2" t="str">
        <x:v>122.427838369;-127.572161631;-127.572161631</x:v>
      </x:c>
      <x:c r="R700" s="2" t="str">
        <x:v>13.84324999526143</x:v>
      </x:c>
      <x:c r="S700" s="2" t="str">
        <x:v>48.24483811534929</x:v>
      </x:c>
    </x:row>
    <x:row r="701">
      <x:c r="A701" s="2" t="str">
        <x:v>DE-CMP-01</x:v>
      </x:c>
      <x:c r="B701" s="2" t="str">
        <x:v>CFG-C01</x:v>
      </x:c>
      <x:c r="C701" s="2" t="n">
        <x:v>46227.70238086805</x:v>
      </x:c>
      <x:c r="D701" s="2" t="str">
        <x:v>adaptive</x:v>
      </x:c>
      <x:c r="E701" s="2" t="str">
        <x:v>multiple_carriers</x:v>
      </x:c>
      <x:c r="F701" s="2" t="str">
        <x:v>350</x:v>
      </x:c>
      <x:c r="G701" s="2" t="str">
        <x:v>3134253</x:v>
      </x:c>
      <x:c r="H701" s="2" t="str">
        <x:v>2048000.0</x:v>
      </x:c>
      <x:c r="I701" s="2" t="str">
        <x:v>8192</x:v>
      </x:c>
      <x:c r="J701" s="2" t="str">
        <x:v>250.0</x:v>
      </x:c>
      <x:c r="K701" s="2" t="str">
        <x:v>3</x:v>
      </x:c>
      <x:c r="L701" s="2" t="str">
        <x:v>3</x:v>
      </x:c>
      <x:c r="M701" s="2" t="str">
        <x:v>3</x:v>
      </x:c>
      <x:c r="N701" s="2" t="str">
        <x:v>0</x:v>
      </x:c>
      <x:c r="O701" s="2" t="str">
        <x:v>0</x:v>
      </x:c>
      <x:c r="P701" s="2" t="str">
        <x:v>false</x:v>
      </x:c>
      <x:c r="Q701" s="2" t="str">
        <x:v>122.427838369;-127.572161631;-127.572161631</x:v>
      </x:c>
      <x:c r="R701" s="2" t="str">
        <x:v>0.41545899875927716</x:v>
      </x:c>
      <x:c r="S701" s="2" t="str">
        <x:v>46.45800557275902</x:v>
      </x:c>
    </x:row>
    <x:row r="702">
      <x:c r="A702" s="2" t="str">
        <x:v>DE-CMP-01</x:v>
      </x:c>
      <x:c r="B702" s="2" t="str">
        <x:v>CFG-C01</x:v>
      </x:c>
      <x:c r="C702" s="2" t="n">
        <x:v>46227.70238086805</x:v>
      </x:c>
      <x:c r="D702" s="2" t="str">
        <x:v>adaptive</x:v>
      </x:c>
      <x:c r="E702" s="2" t="str">
        <x:v>multiple_carriers</x:v>
      </x:c>
      <x:c r="F702" s="2" t="str">
        <x:v>351</x:v>
      </x:c>
      <x:c r="G702" s="2" t="str">
        <x:v>3134254</x:v>
      </x:c>
      <x:c r="H702" s="2" t="str">
        <x:v>2048000.0</x:v>
      </x:c>
      <x:c r="I702" s="2" t="str">
        <x:v>8192</x:v>
      </x:c>
      <x:c r="J702" s="2" t="str">
        <x:v>250.0</x:v>
      </x:c>
      <x:c r="K702" s="2" t="str">
        <x:v>3</x:v>
      </x:c>
      <x:c r="L702" s="2" t="str">
        <x:v>3</x:v>
      </x:c>
      <x:c r="M702" s="2" t="str">
        <x:v>3</x:v>
      </x:c>
      <x:c r="N702" s="2" t="str">
        <x:v>0</x:v>
      </x:c>
      <x:c r="O702" s="2" t="str">
        <x:v>0</x:v>
      </x:c>
      <x:c r="P702" s="2" t="str">
        <x:v>false</x:v>
      </x:c>
      <x:c r="Q702" s="2" t="str">
        <x:v>110.354042606;-139.645957394;-139.645957394</x:v>
      </x:c>
      <x:c r="R702" s="2" t="str">
        <x:v>0.4126249987166375</x:v>
      </x:c>
      <x:c r="S702" s="2" t="str">
        <x:v>46.45409830318342</x:v>
      </x:c>
    </x:row>
    <x:row r="703">
      <x:c r="A703" s="2" t="str">
        <x:v>DE-CMP-01</x:v>
      </x:c>
      <x:c r="B703" s="2" t="str">
        <x:v>CFG-C01</x:v>
      </x:c>
      <x:c r="C703" s="2" t="n">
        <x:v>46227.70238086805</x:v>
      </x:c>
      <x:c r="D703" s="2" t="str">
        <x:v>os_cfar</x:v>
      </x:c>
      <x:c r="E703" s="2" t="str">
        <x:v>multiple_carriers</x:v>
      </x:c>
      <x:c r="F703" s="2" t="str">
        <x:v>351</x:v>
      </x:c>
      <x:c r="G703" s="2" t="str">
        <x:v>3134254</x:v>
      </x:c>
      <x:c r="H703" s="2" t="str">
        <x:v>2048000.0</x:v>
      </x:c>
      <x:c r="I703" s="2" t="str">
        <x:v>8192</x:v>
      </x:c>
      <x:c r="J703" s="2" t="str">
        <x:v>250.0</x:v>
      </x:c>
      <x:c r="K703" s="2" t="str">
        <x:v>3</x:v>
      </x:c>
      <x:c r="L703" s="2" t="str">
        <x:v>3</x:v>
      </x:c>
      <x:c r="M703" s="2" t="str">
        <x:v>3</x:v>
      </x:c>
      <x:c r="N703" s="2" t="str">
        <x:v>0</x:v>
      </x:c>
      <x:c r="O703" s="2" t="str">
        <x:v>0</x:v>
      </x:c>
      <x:c r="P703" s="2" t="str">
        <x:v>false</x:v>
      </x:c>
      <x:c r="Q703" s="2" t="str">
        <x:v>110.354042606;-139.645957394;-139.645957394</x:v>
      </x:c>
      <x:c r="R703" s="2" t="str">
        <x:v>13.703875010833144</x:v>
      </x:c>
      <x:c r="S703" s="2" t="str">
        <x:v>48.28246761990284</x:v>
      </x:c>
    </x:row>
    <x:row r="704">
      <x:c r="A704" s="2" t="str">
        <x:v>DE-CMP-01</x:v>
      </x:c>
      <x:c r="B704" s="2" t="str">
        <x:v>CFG-C01</x:v>
      </x:c>
      <x:c r="C704" s="2" t="n">
        <x:v>46227.70238086805</x:v>
      </x:c>
      <x:c r="D704" s="2" t="str">
        <x:v>os_cfar</x:v>
      </x:c>
      <x:c r="E704" s="2" t="str">
        <x:v>multiple_carriers</x:v>
      </x:c>
      <x:c r="F704" s="2" t="str">
        <x:v>352</x:v>
      </x:c>
      <x:c r="G704" s="2" t="str">
        <x:v>3134255</x:v>
      </x:c>
      <x:c r="H704" s="2" t="str">
        <x:v>2048000.0</x:v>
      </x:c>
      <x:c r="I704" s="2" t="str">
        <x:v>8192</x:v>
      </x:c>
      <x:c r="J704" s="2" t="str">
        <x:v>250.0</x:v>
      </x:c>
      <x:c r="K704" s="2" t="str">
        <x:v>3</x:v>
      </x:c>
      <x:c r="L704" s="2" t="str">
        <x:v>3</x:v>
      </x:c>
      <x:c r="M704" s="2" t="str">
        <x:v>3</x:v>
      </x:c>
      <x:c r="N704" s="2" t="str">
        <x:v>0</x:v>
      </x:c>
      <x:c r="O704" s="2" t="str">
        <x:v>0</x:v>
      </x:c>
      <x:c r="P704" s="2" t="str">
        <x:v>false</x:v>
      </x:c>
      <x:c r="Q704" s="2" t="str">
        <x:v>-120.155851524;-120.155851524;129.844148476</x:v>
      </x:c>
      <x:c r="R704" s="2" t="str">
        <x:v>13.88141700590495</x:v>
      </x:c>
      <x:c r="S704" s="2" t="str">
        <x:v>48.13563123269699</x:v>
      </x:c>
    </x:row>
    <x:row r="705">
      <x:c r="A705" s="2" t="str">
        <x:v>DE-CMP-01</x:v>
      </x:c>
      <x:c r="B705" s="2" t="str">
        <x:v>CFG-C01</x:v>
      </x:c>
      <x:c r="C705" s="2" t="n">
        <x:v>46227.70238086805</x:v>
      </x:c>
      <x:c r="D705" s="2" t="str">
        <x:v>adaptive</x:v>
      </x:c>
      <x:c r="E705" s="2" t="str">
        <x:v>multiple_carriers</x:v>
      </x:c>
      <x:c r="F705" s="2" t="str">
        <x:v>352</x:v>
      </x:c>
      <x:c r="G705" s="2" t="str">
        <x:v>3134255</x:v>
      </x:c>
      <x:c r="H705" s="2" t="str">
        <x:v>2048000.0</x:v>
      </x:c>
      <x:c r="I705" s="2" t="str">
        <x:v>8192</x:v>
      </x:c>
      <x:c r="J705" s="2" t="str">
        <x:v>250.0</x:v>
      </x:c>
      <x:c r="K705" s="2" t="str">
        <x:v>3</x:v>
      </x:c>
      <x:c r="L705" s="2" t="str">
        <x:v>3</x:v>
      </x:c>
      <x:c r="M705" s="2" t="str">
        <x:v>3</x:v>
      </x:c>
      <x:c r="N705" s="2" t="str">
        <x:v>0</x:v>
      </x:c>
      <x:c r="O705" s="2" t="str">
        <x:v>0</x:v>
      </x:c>
      <x:c r="P705" s="2" t="str">
        <x:v>false</x:v>
      </x:c>
      <x:c r="Q705" s="2" t="str">
        <x:v>-120.155851524;-120.155851524;129.844148476</x:v>
      </x:c>
      <x:c r="R705" s="2" t="str">
        <x:v>0.4555000050459057</x:v>
      </x:c>
      <x:c r="S705" s="2" t="str">
        <x:v>46.44296832556559</x:v>
      </x:c>
    </x:row>
    <x:row r="706">
      <x:c r="A706" s="2" t="str">
        <x:v>DE-CMP-01</x:v>
      </x:c>
      <x:c r="B706" s="2" t="str">
        <x:v>CFG-C01</x:v>
      </x:c>
      <x:c r="C706" s="2" t="n">
        <x:v>46227.70238086805</x:v>
      </x:c>
      <x:c r="D706" s="2" t="str">
        <x:v>adaptive</x:v>
      </x:c>
      <x:c r="E706" s="2" t="str">
        <x:v>multiple_carriers</x:v>
      </x:c>
      <x:c r="F706" s="2" t="str">
        <x:v>353</x:v>
      </x:c>
      <x:c r="G706" s="2" t="str">
        <x:v>3134256</x:v>
      </x:c>
      <x:c r="H706" s="2" t="str">
        <x:v>2048000.0</x:v>
      </x:c>
      <x:c r="I706" s="2" t="str">
        <x:v>8192</x:v>
      </x:c>
      <x:c r="J706" s="2" t="str">
        <x:v>250.0</x:v>
      </x:c>
      <x:c r="K706" s="2" t="str">
        <x:v>3</x:v>
      </x:c>
      <x:c r="L706" s="2" t="str">
        <x:v>3</x:v>
      </x:c>
      <x:c r="M706" s="2" t="str">
        <x:v>3</x:v>
      </x:c>
      <x:c r="N706" s="2" t="str">
        <x:v>0</x:v>
      </x:c>
      <x:c r="O706" s="2" t="str">
        <x:v>0</x:v>
      </x:c>
      <x:c r="P706" s="2" t="str">
        <x:v>false</x:v>
      </x:c>
      <x:c r="Q706" s="2" t="str">
        <x:v>109.300739358;109.300739358;109.300739358</x:v>
      </x:c>
      <x:c r="R706" s="2" t="str">
        <x:v>0.4316669947002083</x:v>
      </x:c>
      <x:c r="S706" s="2" t="str">
        <x:v>46.32806294152302</x:v>
      </x:c>
    </x:row>
    <x:row r="707">
      <x:c r="A707" s="2" t="str">
        <x:v>DE-CMP-01</x:v>
      </x:c>
      <x:c r="B707" s="2" t="str">
        <x:v>CFG-C01</x:v>
      </x:c>
      <x:c r="C707" s="2" t="n">
        <x:v>46227.70238086805</x:v>
      </x:c>
      <x:c r="D707" s="2" t="str">
        <x:v>os_cfar</x:v>
      </x:c>
      <x:c r="E707" s="2" t="str">
        <x:v>multiple_carriers</x:v>
      </x:c>
      <x:c r="F707" s="2" t="str">
        <x:v>353</x:v>
      </x:c>
      <x:c r="G707" s="2" t="str">
        <x:v>3134256</x:v>
      </x:c>
      <x:c r="H707" s="2" t="str">
        <x:v>2048000.0</x:v>
      </x:c>
      <x:c r="I707" s="2" t="str">
        <x:v>8192</x:v>
      </x:c>
      <x:c r="J707" s="2" t="str">
        <x:v>250.0</x:v>
      </x:c>
      <x:c r="K707" s="2" t="str">
        <x:v>3</x:v>
      </x:c>
      <x:c r="L707" s="2" t="str">
        <x:v>3</x:v>
      </x:c>
      <x:c r="M707" s="2" t="str">
        <x:v>3</x:v>
      </x:c>
      <x:c r="N707" s="2" t="str">
        <x:v>0</x:v>
      </x:c>
      <x:c r="O707" s="2" t="str">
        <x:v>0</x:v>
      </x:c>
      <x:c r="P707" s="2" t="str">
        <x:v>false</x:v>
      </x:c>
      <x:c r="Q707" s="2" t="str">
        <x:v>109.300739358;109.300739358;109.300739358</x:v>
      </x:c>
      <x:c r="R707" s="2" t="str">
        <x:v>13.656291004735976</x:v>
      </x:c>
      <x:c r="S707" s="2" t="str">
        <x:v>48.19041634657699</x:v>
      </x:c>
    </x:row>
    <x:row r="708">
      <x:c r="A708" s="2" t="str">
        <x:v>DE-CMP-01</x:v>
      </x:c>
      <x:c r="B708" s="2" t="str">
        <x:v>CFG-C01</x:v>
      </x:c>
      <x:c r="C708" s="2" t="n">
        <x:v>46227.70238086805</x:v>
      </x:c>
      <x:c r="D708" s="2" t="str">
        <x:v>os_cfar</x:v>
      </x:c>
      <x:c r="E708" s="2" t="str">
        <x:v>multiple_carriers</x:v>
      </x:c>
      <x:c r="F708" s="2" t="str">
        <x:v>354</x:v>
      </x:c>
      <x:c r="G708" s="2" t="str">
        <x:v>3134257</x:v>
      </x:c>
      <x:c r="H708" s="2" t="str">
        <x:v>2048000.0</x:v>
      </x:c>
      <x:c r="I708" s="2" t="str">
        <x:v>8192</x:v>
      </x:c>
      <x:c r="J708" s="2" t="str">
        <x:v>250.0</x:v>
      </x:c>
      <x:c r="K708" s="2" t="str">
        <x:v>3</x:v>
      </x:c>
      <x:c r="L708" s="2" t="str">
        <x:v>3</x:v>
      </x:c>
      <x:c r="M708" s="2" t="str">
        <x:v>3</x:v>
      </x:c>
      <x:c r="N708" s="2" t="str">
        <x:v>0</x:v>
      </x:c>
      <x:c r="O708" s="2" t="str">
        <x:v>0</x:v>
      </x:c>
      <x:c r="P708" s="2" t="str">
        <x:v>false</x:v>
      </x:c>
      <x:c r="Q708" s="2" t="str">
        <x:v>55.934503009;55.934503009;55.934503009</x:v>
      </x:c>
      <x:c r="R708" s="2" t="str">
        <x:v>13.764667004579678</x:v>
      </x:c>
      <x:c r="S708" s="2" t="str">
        <x:v>48.19521469147563</x:v>
      </x:c>
    </x:row>
    <x:row r="709">
      <x:c r="A709" s="2" t="str">
        <x:v>DE-CMP-01</x:v>
      </x:c>
      <x:c r="B709" s="2" t="str">
        <x:v>CFG-C01</x:v>
      </x:c>
      <x:c r="C709" s="2" t="n">
        <x:v>46227.70238086805</x:v>
      </x:c>
      <x:c r="D709" s="2" t="str">
        <x:v>adaptive</x:v>
      </x:c>
      <x:c r="E709" s="2" t="str">
        <x:v>multiple_carriers</x:v>
      </x:c>
      <x:c r="F709" s="2" t="str">
        <x:v>354</x:v>
      </x:c>
      <x:c r="G709" s="2" t="str">
        <x:v>3134257</x:v>
      </x:c>
      <x:c r="H709" s="2" t="str">
        <x:v>2048000.0</x:v>
      </x:c>
      <x:c r="I709" s="2" t="str">
        <x:v>8192</x:v>
      </x:c>
      <x:c r="J709" s="2" t="str">
        <x:v>250.0</x:v>
      </x:c>
      <x:c r="K709" s="2" t="str">
        <x:v>3</x:v>
      </x:c>
      <x:c r="L709" s="2" t="str">
        <x:v>3</x:v>
      </x:c>
      <x:c r="M709" s="2" t="str">
        <x:v>3</x:v>
      </x:c>
      <x:c r="N709" s="2" t="str">
        <x:v>0</x:v>
      </x:c>
      <x:c r="O709" s="2" t="str">
        <x:v>0</x:v>
      </x:c>
      <x:c r="P709" s="2" t="str">
        <x:v>false</x:v>
      </x:c>
      <x:c r="Q709" s="2" t="str">
        <x:v>55.934503009;55.934503009;55.934503009</x:v>
      </x:c>
      <x:c r="R709" s="2" t="str">
        <x:v>0.43520900362636894</x:v>
      </x:c>
      <x:c r="S709" s="2" t="str">
        <x:v>46.406295797967815</x:v>
      </x:c>
    </x:row>
    <x:row r="710">
      <x:c r="A710" s="2" t="str">
        <x:v>DE-CMP-01</x:v>
      </x:c>
      <x:c r="B710" s="2" t="str">
        <x:v>CFG-C01</x:v>
      </x:c>
      <x:c r="C710" s="2" t="n">
        <x:v>46227.70238086805</x:v>
      </x:c>
      <x:c r="D710" s="2" t="str">
        <x:v>adaptive</x:v>
      </x:c>
      <x:c r="E710" s="2" t="str">
        <x:v>multiple_carriers</x:v>
      </x:c>
      <x:c r="F710" s="2" t="str">
        <x:v>355</x:v>
      </x:c>
      <x:c r="G710" s="2" t="str">
        <x:v>3134258</x:v>
      </x:c>
      <x:c r="H710" s="2" t="str">
        <x:v>2048000.0</x:v>
      </x:c>
      <x:c r="I710" s="2" t="str">
        <x:v>8192</x:v>
      </x:c>
      <x:c r="J710" s="2" t="str">
        <x:v>250.0</x:v>
      </x:c>
      <x:c r="K710" s="2" t="str">
        <x:v>3</x:v>
      </x:c>
      <x:c r="L710" s="2" t="str">
        <x:v>3</x:v>
      </x:c>
      <x:c r="M710" s="2" t="str">
        <x:v>3</x:v>
      </x:c>
      <x:c r="N710" s="2" t="str">
        <x:v>0</x:v>
      </x:c>
      <x:c r="O710" s="2" t="str">
        <x:v>0</x:v>
      </x:c>
      <x:c r="P710" s="2" t="str">
        <x:v>false</x:v>
      </x:c>
      <x:c r="Q710" s="2" t="str">
        <x:v>-60.038604421;-60.038604421;-60.038604421</x:v>
      </x:c>
      <x:c r="R710" s="2" t="str">
        <x:v>0.45358399802353233</x:v>
      </x:c>
      <x:c r="S710" s="2" t="str">
        <x:v>46.322172603753856</x:v>
      </x:c>
    </x:row>
    <x:row r="711">
      <x:c r="A711" s="2" t="str">
        <x:v>DE-CMP-01</x:v>
      </x:c>
      <x:c r="B711" s="2" t="str">
        <x:v>CFG-C01</x:v>
      </x:c>
      <x:c r="C711" s="2" t="n">
        <x:v>46227.70238086805</x:v>
      </x:c>
      <x:c r="D711" s="2" t="str">
        <x:v>os_cfar</x:v>
      </x:c>
      <x:c r="E711" s="2" t="str">
        <x:v>multiple_carriers</x:v>
      </x:c>
      <x:c r="F711" s="2" t="str">
        <x:v>355</x:v>
      </x:c>
      <x:c r="G711" s="2" t="str">
        <x:v>3134258</x:v>
      </x:c>
      <x:c r="H711" s="2" t="str">
        <x:v>2048000.0</x:v>
      </x:c>
      <x:c r="I711" s="2" t="str">
        <x:v>8192</x:v>
      </x:c>
      <x:c r="J711" s="2" t="str">
        <x:v>250.0</x:v>
      </x:c>
      <x:c r="K711" s="2" t="str">
        <x:v>3</x:v>
      </x:c>
      <x:c r="L711" s="2" t="str">
        <x:v>3</x:v>
      </x:c>
      <x:c r="M711" s="2" t="str">
        <x:v>3</x:v>
      </x:c>
      <x:c r="N711" s="2" t="str">
        <x:v>0</x:v>
      </x:c>
      <x:c r="O711" s="2" t="str">
        <x:v>0</x:v>
      </x:c>
      <x:c r="P711" s="2" t="str">
        <x:v>false</x:v>
      </x:c>
      <x:c r="Q711" s="2" t="str">
        <x:v>-60.038604421;-60.038604421;-60.038604421</x:v>
      </x:c>
      <x:c r="R711" s="2" t="str">
        <x:v>13.711042003706098</x:v>
      </x:c>
      <x:c r="S711" s="2" t="str">
        <x:v>48.328383680205704</x:v>
      </x:c>
    </x:row>
    <x:row r="712">
      <x:c r="A712" s="2" t="str">
        <x:v>DE-CMP-01</x:v>
      </x:c>
      <x:c r="B712" s="2" t="str">
        <x:v>CFG-C01</x:v>
      </x:c>
      <x:c r="C712" s="2" t="n">
        <x:v>46227.70238086805</x:v>
      </x:c>
      <x:c r="D712" s="2" t="str">
        <x:v>os_cfar</x:v>
      </x:c>
      <x:c r="E712" s="2" t="str">
        <x:v>multiple_carriers</x:v>
      </x:c>
      <x:c r="F712" s="2" t="str">
        <x:v>356</x:v>
      </x:c>
      <x:c r="G712" s="2" t="str">
        <x:v>3134259</x:v>
      </x:c>
      <x:c r="H712" s="2" t="str">
        <x:v>2048000.0</x:v>
      </x:c>
      <x:c r="I712" s="2" t="str">
        <x:v>8192</x:v>
      </x:c>
      <x:c r="J712" s="2" t="str">
        <x:v>250.0</x:v>
      </x:c>
      <x:c r="K712" s="2" t="str">
        <x:v>3</x:v>
      </x:c>
      <x:c r="L712" s="2" t="str">
        <x:v>3</x:v>
      </x:c>
      <x:c r="M712" s="2" t="str">
        <x:v>3</x:v>
      </x:c>
      <x:c r="N712" s="2" t="str">
        <x:v>0</x:v>
      </x:c>
      <x:c r="O712" s="2" t="str">
        <x:v>0</x:v>
      </x:c>
      <x:c r="P712" s="2" t="str">
        <x:v>false</x:v>
      </x:c>
      <x:c r="Q712" s="2" t="str">
        <x:v>-52.345633272;-52.345633272;-52.345633272</x:v>
      </x:c>
      <x:c r="R712" s="2" t="str">
        <x:v>13.595708005595952</x:v>
      </x:c>
      <x:c r="S712" s="2" t="str">
        <x:v>48.21787420121693</x:v>
      </x:c>
    </x:row>
    <x:row r="713">
      <x:c r="A713" s="2" t="str">
        <x:v>DE-CMP-01</x:v>
      </x:c>
      <x:c r="B713" s="2" t="str">
        <x:v>CFG-C01</x:v>
      </x:c>
      <x:c r="C713" s="2" t="n">
        <x:v>46227.70238086805</x:v>
      </x:c>
      <x:c r="D713" s="2" t="str">
        <x:v>adaptive</x:v>
      </x:c>
      <x:c r="E713" s="2" t="str">
        <x:v>multiple_carriers</x:v>
      </x:c>
      <x:c r="F713" s="2" t="str">
        <x:v>356</x:v>
      </x:c>
      <x:c r="G713" s="2" t="str">
        <x:v>3134259</x:v>
      </x:c>
      <x:c r="H713" s="2" t="str">
        <x:v>2048000.0</x:v>
      </x:c>
      <x:c r="I713" s="2" t="str">
        <x:v>8192</x:v>
      </x:c>
      <x:c r="J713" s="2" t="str">
        <x:v>250.0</x:v>
      </x:c>
      <x:c r="K713" s="2" t="str">
        <x:v>3</x:v>
      </x:c>
      <x:c r="L713" s="2" t="str">
        <x:v>3</x:v>
      </x:c>
      <x:c r="M713" s="2" t="str">
        <x:v>3</x:v>
      </x:c>
      <x:c r="N713" s="2" t="str">
        <x:v>0</x:v>
      </x:c>
      <x:c r="O713" s="2" t="str">
        <x:v>0</x:v>
      </x:c>
      <x:c r="P713" s="2" t="str">
        <x:v>false</x:v>
      </x:c>
      <x:c r="Q713" s="2" t="str">
        <x:v>-52.345633272;-52.345633272;-52.345633272</x:v>
      </x:c>
      <x:c r="R713" s="2" t="str">
        <x:v>0.4284169990569353</x:v>
      </x:c>
      <x:c r="S713" s="2" t="str">
        <x:v>46.417253664091675</x:v>
      </x:c>
    </x:row>
    <x:row r="714">
      <x:c r="A714" s="2" t="str">
        <x:v>DE-CMP-01</x:v>
      </x:c>
      <x:c r="B714" s="2" t="str">
        <x:v>CFG-C01</x:v>
      </x:c>
      <x:c r="C714" s="2" t="n">
        <x:v>46227.70238086805</x:v>
      </x:c>
      <x:c r="D714" s="2" t="str">
        <x:v>adaptive</x:v>
      </x:c>
      <x:c r="E714" s="2" t="str">
        <x:v>multiple_carriers</x:v>
      </x:c>
      <x:c r="F714" s="2" t="str">
        <x:v>357</x:v>
      </x:c>
      <x:c r="G714" s="2" t="str">
        <x:v>3134260</x:v>
      </x:c>
      <x:c r="H714" s="2" t="str">
        <x:v>2048000.0</x:v>
      </x:c>
      <x:c r="I714" s="2" t="str">
        <x:v>8192</x:v>
      </x:c>
      <x:c r="J714" s="2" t="str">
        <x:v>250.0</x:v>
      </x:c>
      <x:c r="K714" s="2" t="str">
        <x:v>3</x:v>
      </x:c>
      <x:c r="L714" s="2" t="str">
        <x:v>3</x:v>
      </x:c>
      <x:c r="M714" s="2" t="str">
        <x:v>3</x:v>
      </x:c>
      <x:c r="N714" s="2" t="str">
        <x:v>0</x:v>
      </x:c>
      <x:c r="O714" s="2" t="str">
        <x:v>0</x:v>
      </x:c>
      <x:c r="P714" s="2" t="str">
        <x:v>false</x:v>
      </x:c>
      <x:c r="Q714" s="2" t="str">
        <x:v>-57.091729489;-57.091729489;-57.091729489</x:v>
      </x:c>
      <x:c r="R714" s="2" t="str">
        <x:v>0.4207500023767352</x:v>
      </x:c>
      <x:c r="S714" s="2" t="str">
        <x:v>46.33323097702641</x:v>
      </x:c>
    </x:row>
    <x:row r="715">
      <x:c r="A715" s="2" t="str">
        <x:v>DE-CMP-01</x:v>
      </x:c>
      <x:c r="B715" s="2" t="str">
        <x:v>CFG-C01</x:v>
      </x:c>
      <x:c r="C715" s="2" t="n">
        <x:v>46227.70238086805</x:v>
      </x:c>
      <x:c r="D715" s="2" t="str">
        <x:v>os_cfar</x:v>
      </x:c>
      <x:c r="E715" s="2" t="str">
        <x:v>multiple_carriers</x:v>
      </x:c>
      <x:c r="F715" s="2" t="str">
        <x:v>357</x:v>
      </x:c>
      <x:c r="G715" s="2" t="str">
        <x:v>3134260</x:v>
      </x:c>
      <x:c r="H715" s="2" t="str">
        <x:v>2048000.0</x:v>
      </x:c>
      <x:c r="I715" s="2" t="str">
        <x:v>8192</x:v>
      </x:c>
      <x:c r="J715" s="2" t="str">
        <x:v>250.0</x:v>
      </x:c>
      <x:c r="K715" s="2" t="str">
        <x:v>3</x:v>
      </x:c>
      <x:c r="L715" s="2" t="str">
        <x:v>3</x:v>
      </x:c>
      <x:c r="M715" s="2" t="str">
        <x:v>3</x:v>
      </x:c>
      <x:c r="N715" s="2" t="str">
        <x:v>0</x:v>
      </x:c>
      <x:c r="O715" s="2" t="str">
        <x:v>0</x:v>
      </x:c>
      <x:c r="P715" s="2" t="str">
        <x:v>false</x:v>
      </x:c>
      <x:c r="Q715" s="2" t="str">
        <x:v>-57.091729489;-57.091729489;-57.091729489</x:v>
      </x:c>
      <x:c r="R715" s="2" t="str">
        <x:v>13.737000001128763</x:v>
      </x:c>
      <x:c r="S715" s="2" t="str">
        <x:v>48.18125571785731</x:v>
      </x:c>
    </x:row>
    <x:row r="716">
      <x:c r="A716" s="2" t="str">
        <x:v>DE-CMP-01</x:v>
      </x:c>
      <x:c r="B716" s="2" t="str">
        <x:v>CFG-C01</x:v>
      </x:c>
      <x:c r="C716" s="2" t="n">
        <x:v>46227.70238086805</x:v>
      </x:c>
      <x:c r="D716" s="2" t="str">
        <x:v>os_cfar</x:v>
      </x:c>
      <x:c r="E716" s="2" t="str">
        <x:v>multiple_carriers</x:v>
      </x:c>
      <x:c r="F716" s="2" t="str">
        <x:v>358</x:v>
      </x:c>
      <x:c r="G716" s="2" t="str">
        <x:v>3134261</x:v>
      </x:c>
      <x:c r="H716" s="2" t="str">
        <x:v>2048000.0</x:v>
      </x:c>
      <x:c r="I716" s="2" t="str">
        <x:v>8192</x:v>
      </x:c>
      <x:c r="J716" s="2" t="str">
        <x:v>250.0</x:v>
      </x:c>
      <x:c r="K716" s="2" t="str">
        <x:v>3</x:v>
      </x:c>
      <x:c r="L716" s="2" t="str">
        <x:v>3</x:v>
      </x:c>
      <x:c r="M716" s="2" t="str">
        <x:v>3</x:v>
      </x:c>
      <x:c r="N716" s="2" t="str">
        <x:v>0</x:v>
      </x:c>
      <x:c r="O716" s="2" t="str">
        <x:v>0</x:v>
      </x:c>
      <x:c r="P716" s="2" t="str">
        <x:v>false</x:v>
      </x:c>
      <x:c r="Q716" s="2" t="str">
        <x:v>111.720255362;111.720255362;111.720255362</x:v>
      </x:c>
      <x:c r="R716" s="2" t="str">
        <x:v>13.823916990077123</x:v>
      </x:c>
      <x:c r="S716" s="2" t="str">
        <x:v>48.28856979592359</x:v>
      </x:c>
    </x:row>
    <x:row r="717">
      <x:c r="A717" s="2" t="str">
        <x:v>DE-CMP-01</x:v>
      </x:c>
      <x:c r="B717" s="2" t="str">
        <x:v>CFG-C01</x:v>
      </x:c>
      <x:c r="C717" s="2" t="n">
        <x:v>46227.70238086805</x:v>
      </x:c>
      <x:c r="D717" s="2" t="str">
        <x:v>adaptive</x:v>
      </x:c>
      <x:c r="E717" s="2" t="str">
        <x:v>multiple_carriers</x:v>
      </x:c>
      <x:c r="F717" s="2" t="str">
        <x:v>358</x:v>
      </x:c>
      <x:c r="G717" s="2" t="str">
        <x:v>3134261</x:v>
      </x:c>
      <x:c r="H717" s="2" t="str">
        <x:v>2048000.0</x:v>
      </x:c>
      <x:c r="I717" s="2" t="str">
        <x:v>8192</x:v>
      </x:c>
      <x:c r="J717" s="2" t="str">
        <x:v>250.0</x:v>
      </x:c>
      <x:c r="K717" s="2" t="str">
        <x:v>3</x:v>
      </x:c>
      <x:c r="L717" s="2" t="str">
        <x:v>3</x:v>
      </x:c>
      <x:c r="M717" s="2" t="str">
        <x:v>3</x:v>
      </x:c>
      <x:c r="N717" s="2" t="str">
        <x:v>0</x:v>
      </x:c>
      <x:c r="O717" s="2" t="str">
        <x:v>0</x:v>
      </x:c>
      <x:c r="P717" s="2" t="str">
        <x:v>false</x:v>
      </x:c>
      <x:c r="Q717" s="2" t="str">
        <x:v>111.720255362;111.720255362;111.720255362</x:v>
      </x:c>
      <x:c r="R717" s="2" t="str">
        <x:v>0.4160840035183355</x:v>
      </x:c>
      <x:c r="S717" s="2" t="str">
        <x:v>46.44632383092211</x:v>
      </x:c>
    </x:row>
    <x:row r="718">
      <x:c r="A718" s="2" t="str">
        <x:v>DE-CMP-01</x:v>
      </x:c>
      <x:c r="B718" s="2" t="str">
        <x:v>CFG-C01</x:v>
      </x:c>
      <x:c r="C718" s="2" t="n">
        <x:v>46227.70238086805</x:v>
      </x:c>
      <x:c r="D718" s="2" t="str">
        <x:v>adaptive</x:v>
      </x:c>
      <x:c r="E718" s="2" t="str">
        <x:v>multiple_carriers</x:v>
      </x:c>
      <x:c r="F718" s="2" t="str">
        <x:v>359</x:v>
      </x:c>
      <x:c r="G718" s="2" t="str">
        <x:v>3134262</x:v>
      </x:c>
      <x:c r="H718" s="2" t="str">
        <x:v>2048000.0</x:v>
      </x:c>
      <x:c r="I718" s="2" t="str">
        <x:v>8192</x:v>
      </x:c>
      <x:c r="J718" s="2" t="str">
        <x:v>250.0</x:v>
      </x:c>
      <x:c r="K718" s="2" t="str">
        <x:v>3</x:v>
      </x:c>
      <x:c r="L718" s="2" t="str">
        <x:v>3</x:v>
      </x:c>
      <x:c r="M718" s="2" t="str">
        <x:v>3</x:v>
      </x:c>
      <x:c r="N718" s="2" t="str">
        <x:v>0</x:v>
      </x:c>
      <x:c r="O718" s="2" t="str">
        <x:v>0</x:v>
      </x:c>
      <x:c r="P718" s="2" t="str">
        <x:v>false</x:v>
      </x:c>
      <x:c r="Q718" s="2" t="str">
        <x:v>52.161440266;52.161440266;52.161440266</x:v>
      </x:c>
      <x:c r="R718" s="2" t="str">
        <x:v>0.39858299714978784</x:v>
      </x:c>
      <x:c r="S718" s="2" t="str">
        <x:v>46.29485522273681</x:v>
      </x:c>
    </x:row>
    <x:row r="719">
      <x:c r="A719" s="2" t="str">
        <x:v>DE-CMP-01</x:v>
      </x:c>
      <x:c r="B719" s="2" t="str">
        <x:v>CFG-C01</x:v>
      </x:c>
      <x:c r="C719" s="2" t="n">
        <x:v>46227.70238086805</x:v>
      </x:c>
      <x:c r="D719" s="2" t="str">
        <x:v>os_cfar</x:v>
      </x:c>
      <x:c r="E719" s="2" t="str">
        <x:v>multiple_carriers</x:v>
      </x:c>
      <x:c r="F719" s="2" t="str">
        <x:v>359</x:v>
      </x:c>
      <x:c r="G719" s="2" t="str">
        <x:v>3134262</x:v>
      </x:c>
      <x:c r="H719" s="2" t="str">
        <x:v>2048000.0</x:v>
      </x:c>
      <x:c r="I719" s="2" t="str">
        <x:v>8192</x:v>
      </x:c>
      <x:c r="J719" s="2" t="str">
        <x:v>250.0</x:v>
      </x:c>
      <x:c r="K719" s="2" t="str">
        <x:v>3</x:v>
      </x:c>
      <x:c r="L719" s="2" t="str">
        <x:v>3</x:v>
      </x:c>
      <x:c r="M719" s="2" t="str">
        <x:v>3</x:v>
      </x:c>
      <x:c r="N719" s="2" t="str">
        <x:v>0</x:v>
      </x:c>
      <x:c r="O719" s="2" t="str">
        <x:v>0</x:v>
      </x:c>
      <x:c r="P719" s="2" t="str">
        <x:v>false</x:v>
      </x:c>
      <x:c r="Q719" s="2" t="str">
        <x:v>52.161440266;52.161440266;52.161440266</x:v>
      </x:c>
      <x:c r="R719" s="2" t="str">
        <x:v>13.623083010315895</x:v>
      </x:c>
      <x:c r="S719" s="2" t="str">
        <x:v>48.1840936424554</x:v>
      </x:c>
    </x:row>
    <x:row r="720">
      <x:c r="A720" s="2" t="str">
        <x:v>DE-CMP-01</x:v>
      </x:c>
      <x:c r="B720" s="2" t="str">
        <x:v>CFG-C01</x:v>
      </x:c>
      <x:c r="C720" s="2" t="n">
        <x:v>46227.70238086805</x:v>
      </x:c>
      <x:c r="D720" s="2" t="str">
        <x:v>os_cfar</x:v>
      </x:c>
      <x:c r="E720" s="2" t="str">
        <x:v>multiple_carriers</x:v>
      </x:c>
      <x:c r="F720" s="2" t="str">
        <x:v>360</x:v>
      </x:c>
      <x:c r="G720" s="2" t="str">
        <x:v>3134263</x:v>
      </x:c>
      <x:c r="H720" s="2" t="str">
        <x:v>2048000.0</x:v>
      </x:c>
      <x:c r="I720" s="2" t="str">
        <x:v>8192</x:v>
      </x:c>
      <x:c r="J720" s="2" t="str">
        <x:v>250.0</x:v>
      </x:c>
      <x:c r="K720" s="2" t="str">
        <x:v>3</x:v>
      </x:c>
      <x:c r="L720" s="2" t="str">
        <x:v>3</x:v>
      </x:c>
      <x:c r="M720" s="2" t="str">
        <x:v>3</x:v>
      </x:c>
      <x:c r="N720" s="2" t="str">
        <x:v>0</x:v>
      </x:c>
      <x:c r="O720" s="2" t="str">
        <x:v>0</x:v>
      </x:c>
      <x:c r="P720" s="2" t="str">
        <x:v>false</x:v>
      </x:c>
      <x:c r="Q720" s="2" t="str">
        <x:v>-76.662900946;-76.662900946;-76.662900946</x:v>
      </x:c>
      <x:c r="R720" s="2" t="str">
        <x:v>13.725084005272947</x:v>
      </x:c>
      <x:c r="S720" s="2" t="str">
        <x:v>48.25067816063399</x:v>
      </x:c>
    </x:row>
    <x:row r="721">
      <x:c r="A721" s="2" t="str">
        <x:v>DE-CMP-01</x:v>
      </x:c>
      <x:c r="B721" s="2" t="str">
        <x:v>CFG-C01</x:v>
      </x:c>
      <x:c r="C721" s="2" t="n">
        <x:v>46227.70238086805</x:v>
      </x:c>
      <x:c r="D721" s="2" t="str">
        <x:v>adaptive</x:v>
      </x:c>
      <x:c r="E721" s="2" t="str">
        <x:v>multiple_carriers</x:v>
      </x:c>
      <x:c r="F721" s="2" t="str">
        <x:v>360</x:v>
      </x:c>
      <x:c r="G721" s="2" t="str">
        <x:v>3134263</x:v>
      </x:c>
      <x:c r="H721" s="2" t="str">
        <x:v>2048000.0</x:v>
      </x:c>
      <x:c r="I721" s="2" t="str">
        <x:v>8192</x:v>
      </x:c>
      <x:c r="J721" s="2" t="str">
        <x:v>250.0</x:v>
      </x:c>
      <x:c r="K721" s="2" t="str">
        <x:v>3</x:v>
      </x:c>
      <x:c r="L721" s="2" t="str">
        <x:v>3</x:v>
      </x:c>
      <x:c r="M721" s="2" t="str">
        <x:v>3</x:v>
      </x:c>
      <x:c r="N721" s="2" t="str">
        <x:v>0</x:v>
      </x:c>
      <x:c r="O721" s="2" t="str">
        <x:v>0</x:v>
      </x:c>
      <x:c r="P721" s="2" t="str">
        <x:v>false</x:v>
      </x:c>
      <x:c r="Q721" s="2" t="str">
        <x:v>-76.662900946;-76.662900946;-76.662900946</x:v>
      </x:c>
      <x:c r="R721" s="2" t="str">
        <x:v>0.4072500014444813</x:v>
      </x:c>
      <x:c r="S721" s="2" t="str">
        <x:v>46.43633321329024</x:v>
      </x:c>
    </x:row>
    <x:row r="722">
      <x:c r="A722" s="2" t="str">
        <x:v>DE-CMP-01</x:v>
      </x:c>
      <x:c r="B722" s="2" t="str">
        <x:v>CFG-C01</x:v>
      </x:c>
      <x:c r="C722" s="2" t="n">
        <x:v>46227.70238086805</x:v>
      </x:c>
      <x:c r="D722" s="2" t="str">
        <x:v>adaptive</x:v>
      </x:c>
      <x:c r="E722" s="2" t="str">
        <x:v>multiple_carriers</x:v>
      </x:c>
      <x:c r="F722" s="2" t="str">
        <x:v>361</x:v>
      </x:c>
      <x:c r="G722" s="2" t="str">
        <x:v>3134264</x:v>
      </x:c>
      <x:c r="H722" s="2" t="str">
        <x:v>2048000.0</x:v>
      </x:c>
      <x:c r="I722" s="2" t="str">
        <x:v>8192</x:v>
      </x:c>
      <x:c r="J722" s="2" t="str">
        <x:v>250.0</x:v>
      </x:c>
      <x:c r="K722" s="2" t="str">
        <x:v>3</x:v>
      </x:c>
      <x:c r="L722" s="2" t="str">
        <x:v>3</x:v>
      </x:c>
      <x:c r="M722" s="2" t="str">
        <x:v>3</x:v>
      </x:c>
      <x:c r="N722" s="2" t="str">
        <x:v>0</x:v>
      </x:c>
      <x:c r="O722" s="2" t="str">
        <x:v>0</x:v>
      </x:c>
      <x:c r="P722" s="2" t="str">
        <x:v>false</x:v>
      </x:c>
      <x:c r="Q722" s="2" t="str">
        <x:v>-55.952523904;-55.952523904;-55.952523904</x:v>
      </x:c>
      <x:c r="R722" s="2" t="str">
        <x:v>0.4159579984843731</x:v>
      </x:c>
      <x:c r="S722" s="2" t="str">
        <x:v>46.54893156552558</x:v>
      </x:c>
    </x:row>
    <x:row r="723">
      <x:c r="A723" s="2" t="str">
        <x:v>DE-CMP-01</x:v>
      </x:c>
      <x:c r="B723" s="2" t="str">
        <x:v>CFG-C01</x:v>
      </x:c>
      <x:c r="C723" s="2" t="n">
        <x:v>46227.70238086805</x:v>
      </x:c>
      <x:c r="D723" s="2" t="str">
        <x:v>os_cfar</x:v>
      </x:c>
      <x:c r="E723" s="2" t="str">
        <x:v>multiple_carriers</x:v>
      </x:c>
      <x:c r="F723" s="2" t="str">
        <x:v>361</x:v>
      </x:c>
      <x:c r="G723" s="2" t="str">
        <x:v>3134264</x:v>
      </x:c>
      <x:c r="H723" s="2" t="str">
        <x:v>2048000.0</x:v>
      </x:c>
      <x:c r="I723" s="2" t="str">
        <x:v>8192</x:v>
      </x:c>
      <x:c r="J723" s="2" t="str">
        <x:v>250.0</x:v>
      </x:c>
      <x:c r="K723" s="2" t="str">
        <x:v>3</x:v>
      </x:c>
      <x:c r="L723" s="2" t="str">
        <x:v>3</x:v>
      </x:c>
      <x:c r="M723" s="2" t="str">
        <x:v>3</x:v>
      </x:c>
      <x:c r="N723" s="2" t="str">
        <x:v>0</x:v>
      </x:c>
      <x:c r="O723" s="2" t="str">
        <x:v>0</x:v>
      </x:c>
      <x:c r="P723" s="2" t="str">
        <x:v>false</x:v>
      </x:c>
      <x:c r="Q723" s="2" t="str">
        <x:v>-55.952523904;-55.952523904;-55.952523904</x:v>
      </x:c>
      <x:c r="R723" s="2" t="str">
        <x:v>13.858459002221934</x:v>
      </x:c>
      <x:c r="S723" s="2" t="str">
        <x:v>48.430868625003555</x:v>
      </x:c>
    </x:row>
    <x:row r="724">
      <x:c r="A724" s="2" t="str">
        <x:v>DE-CMP-01</x:v>
      </x:c>
      <x:c r="B724" s="2" t="str">
        <x:v>CFG-C01</x:v>
      </x:c>
      <x:c r="C724" s="2" t="n">
        <x:v>46227.70238086805</x:v>
      </x:c>
      <x:c r="D724" s="2" t="str">
        <x:v>os_cfar</x:v>
      </x:c>
      <x:c r="E724" s="2" t="str">
        <x:v>multiple_carriers</x:v>
      </x:c>
      <x:c r="F724" s="2" t="str">
        <x:v>362</x:v>
      </x:c>
      <x:c r="G724" s="2" t="str">
        <x:v>3134265</x:v>
      </x:c>
      <x:c r="H724" s="2" t="str">
        <x:v>2048000.0</x:v>
      </x:c>
      <x:c r="I724" s="2" t="str">
        <x:v>8192</x:v>
      </x:c>
      <x:c r="J724" s="2" t="str">
        <x:v>250.0</x:v>
      </x:c>
      <x:c r="K724" s="2" t="str">
        <x:v>3</x:v>
      </x:c>
      <x:c r="L724" s="2" t="str">
        <x:v>3</x:v>
      </x:c>
      <x:c r="M724" s="2" t="str">
        <x:v>3</x:v>
      </x:c>
      <x:c r="N724" s="2" t="str">
        <x:v>0</x:v>
      </x:c>
      <x:c r="O724" s="2" t="str">
        <x:v>0</x:v>
      </x:c>
      <x:c r="P724" s="2" t="str">
        <x:v>false</x:v>
      </x:c>
      <x:c r="Q724" s="2" t="str">
        <x:v>48.346859979;48.346859979;48.346859979</x:v>
      </x:c>
      <x:c r="R724" s="2" t="str">
        <x:v>13.86816700687632</x:v>
      </x:c>
      <x:c r="S724" s="2" t="str">
        <x:v>48.13052238158636</x:v>
      </x:c>
    </x:row>
    <x:row r="725">
      <x:c r="A725" s="2" t="str">
        <x:v>DE-CMP-01</x:v>
      </x:c>
      <x:c r="B725" s="2" t="str">
        <x:v>CFG-C01</x:v>
      </x:c>
      <x:c r="C725" s="2" t="n">
        <x:v>46227.70238086805</x:v>
      </x:c>
      <x:c r="D725" s="2" t="str">
        <x:v>adaptive</x:v>
      </x:c>
      <x:c r="E725" s="2" t="str">
        <x:v>multiple_carriers</x:v>
      </x:c>
      <x:c r="F725" s="2" t="str">
        <x:v>362</x:v>
      </x:c>
      <x:c r="G725" s="2" t="str">
        <x:v>3134265</x:v>
      </x:c>
      <x:c r="H725" s="2" t="str">
        <x:v>2048000.0</x:v>
      </x:c>
      <x:c r="I725" s="2" t="str">
        <x:v>8192</x:v>
      </x:c>
      <x:c r="J725" s="2" t="str">
        <x:v>250.0</x:v>
      </x:c>
      <x:c r="K725" s="2" t="str">
        <x:v>3</x:v>
      </x:c>
      <x:c r="L725" s="2" t="str">
        <x:v>3</x:v>
      </x:c>
      <x:c r="M725" s="2" t="str">
        <x:v>3</x:v>
      </x:c>
      <x:c r="N725" s="2" t="str">
        <x:v>0</x:v>
      </x:c>
      <x:c r="O725" s="2" t="str">
        <x:v>0</x:v>
      </x:c>
      <x:c r="P725" s="2" t="str">
        <x:v>false</x:v>
      </x:c>
      <x:c r="Q725" s="2" t="str">
        <x:v>48.346859979;48.346859979;48.346859979</x:v>
      </x:c>
      <x:c r="R725" s="2" t="str">
        <x:v>0.4163749981671572</x:v>
      </x:c>
      <x:c r="S725" s="2" t="str">
        <x:v>46.225791854200565</x:v>
      </x:c>
    </x:row>
    <x:row r="726">
      <x:c r="A726" s="2" t="str">
        <x:v>DE-CMP-01</x:v>
      </x:c>
      <x:c r="B726" s="2" t="str">
        <x:v>CFG-C01</x:v>
      </x:c>
      <x:c r="C726" s="2" t="n">
        <x:v>46227.70238086805</x:v>
      </x:c>
      <x:c r="D726" s="2" t="str">
        <x:v>adaptive</x:v>
      </x:c>
      <x:c r="E726" s="2" t="str">
        <x:v>multiple_carriers</x:v>
      </x:c>
      <x:c r="F726" s="2" t="str">
        <x:v>363</x:v>
      </x:c>
      <x:c r="G726" s="2" t="str">
        <x:v>3134266</x:v>
      </x:c>
      <x:c r="H726" s="2" t="str">
        <x:v>2048000.0</x:v>
      </x:c>
      <x:c r="I726" s="2" t="str">
        <x:v>8192</x:v>
      </x:c>
      <x:c r="J726" s="2" t="str">
        <x:v>250.0</x:v>
      </x:c>
      <x:c r="K726" s="2" t="str">
        <x:v>3</x:v>
      </x:c>
      <x:c r="L726" s="2" t="str">
        <x:v>3</x:v>
      </x:c>
      <x:c r="M726" s="2" t="str">
        <x:v>3</x:v>
      </x:c>
      <x:c r="N726" s="2" t="str">
        <x:v>0</x:v>
      </x:c>
      <x:c r="O726" s="2" t="str">
        <x:v>0</x:v>
      </x:c>
      <x:c r="P726" s="2" t="str">
        <x:v>false</x:v>
      </x:c>
      <x:c r="Q726" s="2" t="str">
        <x:v>44.122232131;44.122232131;44.122232131</x:v>
      </x:c>
      <x:c r="R726" s="2" t="str">
        <x:v>0.4092090093763545</x:v>
      </x:c>
      <x:c r="S726" s="2" t="str">
        <x:v>46.4397027395702</x:v>
      </x:c>
    </x:row>
    <x:row r="727">
      <x:c r="A727" s="2" t="str">
        <x:v>DE-CMP-01</x:v>
      </x:c>
      <x:c r="B727" s="2" t="str">
        <x:v>CFG-C01</x:v>
      </x:c>
      <x:c r="C727" s="2" t="n">
        <x:v>46227.70238086805</x:v>
      </x:c>
      <x:c r="D727" s="2" t="str">
        <x:v>os_cfar</x:v>
      </x:c>
      <x:c r="E727" s="2" t="str">
        <x:v>multiple_carriers</x:v>
      </x:c>
      <x:c r="F727" s="2" t="str">
        <x:v>363</x:v>
      </x:c>
      <x:c r="G727" s="2" t="str">
        <x:v>3134266</x:v>
      </x:c>
      <x:c r="H727" s="2" t="str">
        <x:v>2048000.0</x:v>
      </x:c>
      <x:c r="I727" s="2" t="str">
        <x:v>8192</x:v>
      </x:c>
      <x:c r="J727" s="2" t="str">
        <x:v>250.0</x:v>
      </x:c>
      <x:c r="K727" s="2" t="str">
        <x:v>3</x:v>
      </x:c>
      <x:c r="L727" s="2" t="str">
        <x:v>3</x:v>
      </x:c>
      <x:c r="M727" s="2" t="str">
        <x:v>3</x:v>
      </x:c>
      <x:c r="N727" s="2" t="str">
        <x:v>0</x:v>
      </x:c>
      <x:c r="O727" s="2" t="str">
        <x:v>0</x:v>
      </x:c>
      <x:c r="P727" s="2" t="str">
        <x:v>false</x:v>
      </x:c>
      <x:c r="Q727" s="2" t="str">
        <x:v>44.122232131;44.122232131;44.122232131</x:v>
      </x:c>
      <x:c r="R727" s="2" t="str">
        <x:v>13.693832996068522</x:v>
      </x:c>
      <x:c r="S727" s="2" t="str">
        <x:v>48.08987429072751</x:v>
      </x:c>
    </x:row>
    <x:row r="728">
      <x:c r="A728" s="2" t="str">
        <x:v>DE-CMP-01</x:v>
      </x:c>
      <x:c r="B728" s="2" t="str">
        <x:v>CFG-C01</x:v>
      </x:c>
      <x:c r="C728" s="2" t="n">
        <x:v>46227.70238086805</x:v>
      </x:c>
      <x:c r="D728" s="2" t="str">
        <x:v>os_cfar</x:v>
      </x:c>
      <x:c r="E728" s="2" t="str">
        <x:v>multiple_carriers</x:v>
      </x:c>
      <x:c r="F728" s="2" t="str">
        <x:v>364</x:v>
      </x:c>
      <x:c r="G728" s="2" t="str">
        <x:v>3134267</x:v>
      </x:c>
      <x:c r="H728" s="2" t="str">
        <x:v>2048000.0</x:v>
      </x:c>
      <x:c r="I728" s="2" t="str">
        <x:v>8192</x:v>
      </x:c>
      <x:c r="J728" s="2" t="str">
        <x:v>250.0</x:v>
      </x:c>
      <x:c r="K728" s="2" t="str">
        <x:v>3</x:v>
      </x:c>
      <x:c r="L728" s="2" t="str">
        <x:v>3</x:v>
      </x:c>
      <x:c r="M728" s="2" t="str">
        <x:v>3</x:v>
      </x:c>
      <x:c r="N728" s="2" t="str">
        <x:v>0</x:v>
      </x:c>
      <x:c r="O728" s="2" t="str">
        <x:v>0</x:v>
      </x:c>
      <x:c r="P728" s="2" t="str">
        <x:v>false</x:v>
      </x:c>
      <x:c r="Q728" s="2" t="str">
        <x:v>100.973974088;100.973974088;100.973974088</x:v>
      </x:c>
      <x:c r="R728" s="2" t="str">
        <x:v>13.69074999820441</x:v>
      </x:c>
      <x:c r="S728" s="2" t="str">
        <x:v>48.2576342754554</x:v>
      </x:c>
    </x:row>
    <x:row r="729">
      <x:c r="A729" s="2" t="str">
        <x:v>DE-CMP-01</x:v>
      </x:c>
      <x:c r="B729" s="2" t="str">
        <x:v>CFG-C01</x:v>
      </x:c>
      <x:c r="C729" s="2" t="n">
        <x:v>46227.70238086805</x:v>
      </x:c>
      <x:c r="D729" s="2" t="str">
        <x:v>adaptive</x:v>
      </x:c>
      <x:c r="E729" s="2" t="str">
        <x:v>multiple_carriers</x:v>
      </x:c>
      <x:c r="F729" s="2" t="str">
        <x:v>364</x:v>
      </x:c>
      <x:c r="G729" s="2" t="str">
        <x:v>3134267</x:v>
      </x:c>
      <x:c r="H729" s="2" t="str">
        <x:v>2048000.0</x:v>
      </x:c>
      <x:c r="I729" s="2" t="str">
        <x:v>8192</x:v>
      </x:c>
      <x:c r="J729" s="2" t="str">
        <x:v>250.0</x:v>
      </x:c>
      <x:c r="K729" s="2" t="str">
        <x:v>3</x:v>
      </x:c>
      <x:c r="L729" s="2" t="str">
        <x:v>3</x:v>
      </x:c>
      <x:c r="M729" s="2" t="str">
        <x:v>3</x:v>
      </x:c>
      <x:c r="N729" s="2" t="str">
        <x:v>0</x:v>
      </x:c>
      <x:c r="O729" s="2" t="str">
        <x:v>0</x:v>
      </x:c>
      <x:c r="P729" s="2" t="str">
        <x:v>false</x:v>
      </x:c>
      <x:c r="Q729" s="2" t="str">
        <x:v>100.973974088;100.973974088;100.973974088</x:v>
      </x:c>
      <x:c r="R729" s="2" t="str">
        <x:v>0.4196659865556285</x:v>
      </x:c>
      <x:c r="S729" s="2" t="str">
        <x:v>46.39590284541622</x:v>
      </x:c>
    </x:row>
    <x:row r="730">
      <x:c r="A730" s="2" t="str">
        <x:v>DE-CMP-01</x:v>
      </x:c>
      <x:c r="B730" s="2" t="str">
        <x:v>CFG-C01</x:v>
      </x:c>
      <x:c r="C730" s="2" t="n">
        <x:v>46227.70238086805</x:v>
      </x:c>
      <x:c r="D730" s="2" t="str">
        <x:v>adaptive</x:v>
      </x:c>
      <x:c r="E730" s="2" t="str">
        <x:v>multiple_carriers</x:v>
      </x:c>
      <x:c r="F730" s="2" t="str">
        <x:v>365</x:v>
      </x:c>
      <x:c r="G730" s="2" t="str">
        <x:v>3134268</x:v>
      </x:c>
      <x:c r="H730" s="2" t="str">
        <x:v>2048000.0</x:v>
      </x:c>
      <x:c r="I730" s="2" t="str">
        <x:v>8192</x:v>
      </x:c>
      <x:c r="J730" s="2" t="str">
        <x:v>250.0</x:v>
      </x:c>
      <x:c r="K730" s="2" t="str">
        <x:v>3</x:v>
      </x:c>
      <x:c r="L730" s="2" t="str">
        <x:v>3</x:v>
      </x:c>
      <x:c r="M730" s="2" t="str">
        <x:v>3</x:v>
      </x:c>
      <x:c r="N730" s="2" t="str">
        <x:v>0</x:v>
      </x:c>
      <x:c r="O730" s="2" t="str">
        <x:v>0</x:v>
      </x:c>
      <x:c r="P730" s="2" t="str">
        <x:v>false</x:v>
      </x:c>
      <x:c r="Q730" s="2" t="str">
        <x:v>97.667380975;97.667380975;97.667380975</x:v>
      </x:c>
      <x:c r="R730" s="2" t="str">
        <x:v>0.3999580076197162</x:v>
      </x:c>
      <x:c r="S730" s="2" t="str">
        <x:v>46.53071262952204</x:v>
      </x:c>
    </x:row>
    <x:row r="731">
      <x:c r="A731" s="2" t="str">
        <x:v>DE-CMP-01</x:v>
      </x:c>
      <x:c r="B731" s="2" t="str">
        <x:v>CFG-C01</x:v>
      </x:c>
      <x:c r="C731" s="2" t="n">
        <x:v>46227.70238086805</x:v>
      </x:c>
      <x:c r="D731" s="2" t="str">
        <x:v>os_cfar</x:v>
      </x:c>
      <x:c r="E731" s="2" t="str">
        <x:v>multiple_carriers</x:v>
      </x:c>
      <x:c r="F731" s="2" t="str">
        <x:v>365</x:v>
      </x:c>
      <x:c r="G731" s="2" t="str">
        <x:v>3134268</x:v>
      </x:c>
      <x:c r="H731" s="2" t="str">
        <x:v>2048000.0</x:v>
      </x:c>
      <x:c r="I731" s="2" t="str">
        <x:v>8192</x:v>
      </x:c>
      <x:c r="J731" s="2" t="str">
        <x:v>250.0</x:v>
      </x:c>
      <x:c r="K731" s="2" t="str">
        <x:v>3</x:v>
      </x:c>
      <x:c r="L731" s="2" t="str">
        <x:v>3</x:v>
      </x:c>
      <x:c r="M731" s="2" t="str">
        <x:v>3</x:v>
      </x:c>
      <x:c r="N731" s="2" t="str">
        <x:v>0</x:v>
      </x:c>
      <x:c r="O731" s="2" t="str">
        <x:v>0</x:v>
      </x:c>
      <x:c r="P731" s="2" t="str">
        <x:v>false</x:v>
      </x:c>
      <x:c r="Q731" s="2" t="str">
        <x:v>97.667380975;97.667380975;97.667380975</x:v>
      </x:c>
      <x:c r="R731" s="2" t="str">
        <x:v>13.95933300955221</x:v>
      </x:c>
      <x:c r="S731" s="2" t="str">
        <x:v>48.41229382208499</x:v>
      </x:c>
    </x:row>
    <x:row r="732">
      <x:c r="A732" s="2" t="str">
        <x:v>DE-CMP-01</x:v>
      </x:c>
      <x:c r="B732" s="2" t="str">
        <x:v>CFG-C01</x:v>
      </x:c>
      <x:c r="C732" s="2" t="n">
        <x:v>46227.70238086805</x:v>
      </x:c>
      <x:c r="D732" s="2" t="str">
        <x:v>os_cfar</x:v>
      </x:c>
      <x:c r="E732" s="2" t="str">
        <x:v>multiple_carriers</x:v>
      </x:c>
      <x:c r="F732" s="2" t="str">
        <x:v>366</x:v>
      </x:c>
      <x:c r="G732" s="2" t="str">
        <x:v>3134269</x:v>
      </x:c>
      <x:c r="H732" s="2" t="str">
        <x:v>2048000.0</x:v>
      </x:c>
      <x:c r="I732" s="2" t="str">
        <x:v>8192</x:v>
      </x:c>
      <x:c r="J732" s="2" t="str">
        <x:v>250.0</x:v>
      </x:c>
      <x:c r="K732" s="2" t="str">
        <x:v>3</x:v>
      </x:c>
      <x:c r="L732" s="2" t="str">
        <x:v>3</x:v>
      </x:c>
      <x:c r="M732" s="2" t="str">
        <x:v>3</x:v>
      </x:c>
      <x:c r="N732" s="2" t="str">
        <x:v>0</x:v>
      </x:c>
      <x:c r="O732" s="2" t="str">
        <x:v>0</x:v>
      </x:c>
      <x:c r="P732" s="2" t="str">
        <x:v>false</x:v>
      </x:c>
      <x:c r="Q732" s="2" t="str">
        <x:v>36.790029044;36.790029044;36.790029044</x:v>
      </x:c>
      <x:c r="R732" s="2" t="str">
        <x:v>13.831417003530078</x:v>
      </x:c>
      <x:c r="S732" s="2" t="str">
        <x:v>48.20992141564311</x:v>
      </x:c>
    </x:row>
    <x:row r="733">
      <x:c r="A733" s="2" t="str">
        <x:v>DE-CMP-01</x:v>
      </x:c>
      <x:c r="B733" s="2" t="str">
        <x:v>CFG-C01</x:v>
      </x:c>
      <x:c r="C733" s="2" t="n">
        <x:v>46227.70238086805</x:v>
      </x:c>
      <x:c r="D733" s="2" t="str">
        <x:v>adaptive</x:v>
      </x:c>
      <x:c r="E733" s="2" t="str">
        <x:v>multiple_carriers</x:v>
      </x:c>
      <x:c r="F733" s="2" t="str">
        <x:v>366</x:v>
      </x:c>
      <x:c r="G733" s="2" t="str">
        <x:v>3134269</x:v>
      </x:c>
      <x:c r="H733" s="2" t="str">
        <x:v>2048000.0</x:v>
      </x:c>
      <x:c r="I733" s="2" t="str">
        <x:v>8192</x:v>
      </x:c>
      <x:c r="J733" s="2" t="str">
        <x:v>250.0</x:v>
      </x:c>
      <x:c r="K733" s="2" t="str">
        <x:v>3</x:v>
      </x:c>
      <x:c r="L733" s="2" t="str">
        <x:v>3</x:v>
      </x:c>
      <x:c r="M733" s="2" t="str">
        <x:v>3</x:v>
      </x:c>
      <x:c r="N733" s="2" t="str">
        <x:v>0</x:v>
      </x:c>
      <x:c r="O733" s="2" t="str">
        <x:v>0</x:v>
      </x:c>
      <x:c r="P733" s="2" t="str">
        <x:v>false</x:v>
      </x:c>
      <x:c r="Q733" s="2" t="str">
        <x:v>36.790029044;36.790029044;36.790029044</x:v>
      </x:c>
      <x:c r="R733" s="2" t="str">
        <x:v>0.4038339975522831</x:v>
      </x:c>
      <x:c r="S733" s="2" t="str">
        <x:v>46.49031699575492</x:v>
      </x:c>
    </x:row>
    <x:row r="734">
      <x:c r="A734" s="2" t="str">
        <x:v>DE-CMP-01</x:v>
      </x:c>
      <x:c r="B734" s="2" t="str">
        <x:v>CFG-C01</x:v>
      </x:c>
      <x:c r="C734" s="2" t="n">
        <x:v>46227.70238086805</x:v>
      </x:c>
      <x:c r="D734" s="2" t="str">
        <x:v>adaptive</x:v>
      </x:c>
      <x:c r="E734" s="2" t="str">
        <x:v>multiple_carriers</x:v>
      </x:c>
      <x:c r="F734" s="2" t="str">
        <x:v>367</x:v>
      </x:c>
      <x:c r="G734" s="2" t="str">
        <x:v>3134270</x:v>
      </x:c>
      <x:c r="H734" s="2" t="str">
        <x:v>2048000.0</x:v>
      </x:c>
      <x:c r="I734" s="2" t="str">
        <x:v>8192</x:v>
      </x:c>
      <x:c r="J734" s="2" t="str">
        <x:v>250.0</x:v>
      </x:c>
      <x:c r="K734" s="2" t="str">
        <x:v>3</x:v>
      </x:c>
      <x:c r="L734" s="2" t="str">
        <x:v>3</x:v>
      </x:c>
      <x:c r="M734" s="2" t="str">
        <x:v>3</x:v>
      </x:c>
      <x:c r="N734" s="2" t="str">
        <x:v>0</x:v>
      </x:c>
      <x:c r="O734" s="2" t="str">
        <x:v>0</x:v>
      </x:c>
      <x:c r="P734" s="2" t="str">
        <x:v>false</x:v>
      </x:c>
      <x:c r="Q734" s="2" t="str">
        <x:v>16.023574104;16.023574104;16.023574104</x:v>
      </x:c>
      <x:c r="R734" s="2" t="str">
        <x:v>0.425124992034398</x:v>
      </x:c>
      <x:c r="S734" s="2" t="str">
        <x:v>46.35906775632623</x:v>
      </x:c>
    </x:row>
    <x:row r="735">
      <x:c r="A735" s="2" t="str">
        <x:v>DE-CMP-01</x:v>
      </x:c>
      <x:c r="B735" s="2" t="str">
        <x:v>CFG-C01</x:v>
      </x:c>
      <x:c r="C735" s="2" t="n">
        <x:v>46227.70238086805</x:v>
      </x:c>
      <x:c r="D735" s="2" t="str">
        <x:v>os_cfar</x:v>
      </x:c>
      <x:c r="E735" s="2" t="str">
        <x:v>multiple_carriers</x:v>
      </x:c>
      <x:c r="F735" s="2" t="str">
        <x:v>367</x:v>
      </x:c>
      <x:c r="G735" s="2" t="str">
        <x:v>3134270</x:v>
      </x:c>
      <x:c r="H735" s="2" t="str">
        <x:v>2048000.0</x:v>
      </x:c>
      <x:c r="I735" s="2" t="str">
        <x:v>8192</x:v>
      </x:c>
      <x:c r="J735" s="2" t="str">
        <x:v>250.0</x:v>
      </x:c>
      <x:c r="K735" s="2" t="str">
        <x:v>3</x:v>
      </x:c>
      <x:c r="L735" s="2" t="str">
        <x:v>3</x:v>
      </x:c>
      <x:c r="M735" s="2" t="str">
        <x:v>3</x:v>
      </x:c>
      <x:c r="N735" s="2" t="str">
        <x:v>0</x:v>
      </x:c>
      <x:c r="O735" s="2" t="str">
        <x:v>0</x:v>
      </x:c>
      <x:c r="P735" s="2" t="str">
        <x:v>false</x:v>
      </x:c>
      <x:c r="Q735" s="2" t="str">
        <x:v>16.023574104;16.023574104;16.023574104</x:v>
      </x:c>
      <x:c r="R735" s="2" t="str">
        <x:v>13.867750007193536</x:v>
      </x:c>
      <x:c r="S735" s="2" t="str">
        <x:v>48.22501941640298</x:v>
      </x:c>
    </x:row>
    <x:row r="736">
      <x:c r="A736" s="2" t="str">
        <x:v>DE-CMP-01</x:v>
      </x:c>
      <x:c r="B736" s="2" t="str">
        <x:v>CFG-C01</x:v>
      </x:c>
      <x:c r="C736" s="2" t="n">
        <x:v>46227.70238086805</x:v>
      </x:c>
      <x:c r="D736" s="2" t="str">
        <x:v>os_cfar</x:v>
      </x:c>
      <x:c r="E736" s="2" t="str">
        <x:v>multiple_carriers</x:v>
      </x:c>
      <x:c r="F736" s="2" t="str">
        <x:v>368</x:v>
      </x:c>
      <x:c r="G736" s="2" t="str">
        <x:v>3134271</x:v>
      </x:c>
      <x:c r="H736" s="2" t="str">
        <x:v>2048000.0</x:v>
      </x:c>
      <x:c r="I736" s="2" t="str">
        <x:v>8192</x:v>
      </x:c>
      <x:c r="J736" s="2" t="str">
        <x:v>250.0</x:v>
      </x:c>
      <x:c r="K736" s="2" t="str">
        <x:v>3</x:v>
      </x:c>
      <x:c r="L736" s="2" t="str">
        <x:v>3</x:v>
      </x:c>
      <x:c r="M736" s="2" t="str">
        <x:v>3</x:v>
      </x:c>
      <x:c r="N736" s="2" t="str">
        <x:v>0</x:v>
      </x:c>
      <x:c r="O736" s="2" t="str">
        <x:v>0</x:v>
      </x:c>
      <x:c r="P736" s="2" t="str">
        <x:v>false</x:v>
      </x:c>
      <x:c r="Q736" s="2" t="str">
        <x:v>-125.727654491;-125.727654491;-125.727654491</x:v>
      </x:c>
      <x:c r="R736" s="2" t="str">
        <x:v>13.844500004779547</x:v>
      </x:c>
      <x:c r="S736" s="2" t="str">
        <x:v>48.34381066753142</x:v>
      </x:c>
    </x:row>
    <x:row r="737">
      <x:c r="A737" s="2" t="str">
        <x:v>DE-CMP-01</x:v>
      </x:c>
      <x:c r="B737" s="2" t="str">
        <x:v>CFG-C01</x:v>
      </x:c>
      <x:c r="C737" s="2" t="n">
        <x:v>46227.70238086805</x:v>
      </x:c>
      <x:c r="D737" s="2" t="str">
        <x:v>adaptive</x:v>
      </x:c>
      <x:c r="E737" s="2" t="str">
        <x:v>multiple_carriers</x:v>
      </x:c>
      <x:c r="F737" s="2" t="str">
        <x:v>368</x:v>
      </x:c>
      <x:c r="G737" s="2" t="str">
        <x:v>3134271</x:v>
      </x:c>
      <x:c r="H737" s="2" t="str">
        <x:v>2048000.0</x:v>
      </x:c>
      <x:c r="I737" s="2" t="str">
        <x:v>8192</x:v>
      </x:c>
      <x:c r="J737" s="2" t="str">
        <x:v>250.0</x:v>
      </x:c>
      <x:c r="K737" s="2" t="str">
        <x:v>3</x:v>
      </x:c>
      <x:c r="L737" s="2" t="str">
        <x:v>3</x:v>
      </x:c>
      <x:c r="M737" s="2" t="str">
        <x:v>3</x:v>
      </x:c>
      <x:c r="N737" s="2" t="str">
        <x:v>0</x:v>
      </x:c>
      <x:c r="O737" s="2" t="str">
        <x:v>0</x:v>
      </x:c>
      <x:c r="P737" s="2" t="str">
        <x:v>false</x:v>
      </x:c>
      <x:c r="Q737" s="2" t="str">
        <x:v>-125.727654491;-125.727654491;-125.727654491</x:v>
      </x:c>
      <x:c r="R737" s="2" t="str">
        <x:v>0.4936250043101609</x:v>
      </x:c>
      <x:c r="S737" s="2" t="str">
        <x:v>46.41498154851853</x:v>
      </x:c>
    </x:row>
    <x:row r="738">
      <x:c r="A738" s="2" t="str">
        <x:v>DE-CMP-01</x:v>
      </x:c>
      <x:c r="B738" s="2" t="str">
        <x:v>CFG-C01</x:v>
      </x:c>
      <x:c r="C738" s="2" t="n">
        <x:v>46227.70238086805</x:v>
      </x:c>
      <x:c r="D738" s="2" t="str">
        <x:v>adaptive</x:v>
      </x:c>
      <x:c r="E738" s="2" t="str">
        <x:v>multiple_carriers</x:v>
      </x:c>
      <x:c r="F738" s="2" t="str">
        <x:v>369</x:v>
      </x:c>
      <x:c r="G738" s="2" t="str">
        <x:v>3134272</x:v>
      </x:c>
      <x:c r="H738" s="2" t="str">
        <x:v>2048000.0</x:v>
      </x:c>
      <x:c r="I738" s="2" t="str">
        <x:v>8192</x:v>
      </x:c>
      <x:c r="J738" s="2" t="str">
        <x:v>250.0</x:v>
      </x:c>
      <x:c r="K738" s="2" t="str">
        <x:v>3</x:v>
      </x:c>
      <x:c r="L738" s="2" t="str">
        <x:v>3</x:v>
      </x:c>
      <x:c r="M738" s="2" t="str">
        <x:v>3</x:v>
      </x:c>
      <x:c r="N738" s="2" t="str">
        <x:v>0</x:v>
      </x:c>
      <x:c r="O738" s="2" t="str">
        <x:v>0</x:v>
      </x:c>
      <x:c r="P738" s="2" t="str">
        <x:v>false</x:v>
      </x:c>
      <x:c r="Q738" s="2" t="str">
        <x:v>23.386990707;23.386990707;23.386990707</x:v>
      </x:c>
      <x:c r="R738" s="2" t="str">
        <x:v>0.41612499626353383</x:v>
      </x:c>
      <x:c r="S738" s="2" t="str">
        <x:v>46.39168205641018</x:v>
      </x:c>
    </x:row>
    <x:row r="739">
      <x:c r="A739" s="2" t="str">
        <x:v>DE-CMP-01</x:v>
      </x:c>
      <x:c r="B739" s="2" t="str">
        <x:v>CFG-C01</x:v>
      </x:c>
      <x:c r="C739" s="2" t="n">
        <x:v>46227.70238086805</x:v>
      </x:c>
      <x:c r="D739" s="2" t="str">
        <x:v>os_cfar</x:v>
      </x:c>
      <x:c r="E739" s="2" t="str">
        <x:v>multiple_carriers</x:v>
      </x:c>
      <x:c r="F739" s="2" t="str">
        <x:v>369</x:v>
      </x:c>
      <x:c r="G739" s="2" t="str">
        <x:v>3134272</x:v>
      </x:c>
      <x:c r="H739" s="2" t="str">
        <x:v>2048000.0</x:v>
      </x:c>
      <x:c r="I739" s="2" t="str">
        <x:v>8192</x:v>
      </x:c>
      <x:c r="J739" s="2" t="str">
        <x:v>250.0</x:v>
      </x:c>
      <x:c r="K739" s="2" t="str">
        <x:v>3</x:v>
      </x:c>
      <x:c r="L739" s="2" t="str">
        <x:v>3</x:v>
      </x:c>
      <x:c r="M739" s="2" t="str">
        <x:v>3</x:v>
      </x:c>
      <x:c r="N739" s="2" t="str">
        <x:v>0</x:v>
      </x:c>
      <x:c r="O739" s="2" t="str">
        <x:v>0</x:v>
      </x:c>
      <x:c r="P739" s="2" t="str">
        <x:v>false</x:v>
      </x:c>
      <x:c r="Q739" s="2" t="str">
        <x:v>23.386990707;23.386990707;23.386990707</x:v>
      </x:c>
      <x:c r="R739" s="2" t="str">
        <x:v>13.818042003549635</x:v>
      </x:c>
      <x:c r="S739" s="2" t="str">
        <x:v>48.123488013350155</x:v>
      </x:c>
    </x:row>
    <x:row r="740">
      <x:c r="A740" s="2" t="str">
        <x:v>DE-CMP-01</x:v>
      </x:c>
      <x:c r="B740" s="2" t="str">
        <x:v>CFG-C01</x:v>
      </x:c>
      <x:c r="C740" s="2" t="n">
        <x:v>46227.70238086805</x:v>
      </x:c>
      <x:c r="D740" s="2" t="str">
        <x:v>os_cfar</x:v>
      </x:c>
      <x:c r="E740" s="2" t="str">
        <x:v>multiple_carriers</x:v>
      </x:c>
      <x:c r="F740" s="2" t="str">
        <x:v>370</x:v>
      </x:c>
      <x:c r="G740" s="2" t="str">
        <x:v>3134273</x:v>
      </x:c>
      <x:c r="H740" s="2" t="str">
        <x:v>2048000.0</x:v>
      </x:c>
      <x:c r="I740" s="2" t="str">
        <x:v>8192</x:v>
      </x:c>
      <x:c r="J740" s="2" t="str">
        <x:v>250.0</x:v>
      </x:c>
      <x:c r="K740" s="2" t="str">
        <x:v>3</x:v>
      </x:c>
      <x:c r="L740" s="2" t="str">
        <x:v>3</x:v>
      </x:c>
      <x:c r="M740" s="2" t="str">
        <x:v>3</x:v>
      </x:c>
      <x:c r="N740" s="2" t="str">
        <x:v>0</x:v>
      </x:c>
      <x:c r="O740" s="2" t="str">
        <x:v>0</x:v>
      </x:c>
      <x:c r="P740" s="2" t="str">
        <x:v>false</x:v>
      </x:c>
      <x:c r="Q740" s="2" t="str">
        <x:v>-35.832548981;-35.832548981;-35.832548981</x:v>
      </x:c>
      <x:c r="R740" s="2" t="str">
        <x:v>13.831499993102625</x:v>
      </x:c>
      <x:c r="S740" s="2" t="str">
        <x:v>48.30620190951934</x:v>
      </x:c>
    </x:row>
    <x:row r="741">
      <x:c r="A741" s="2" t="str">
        <x:v>DE-CMP-01</x:v>
      </x:c>
      <x:c r="B741" s="2" t="str">
        <x:v>CFG-C01</x:v>
      </x:c>
      <x:c r="C741" s="2" t="n">
        <x:v>46227.70238086805</x:v>
      </x:c>
      <x:c r="D741" s="2" t="str">
        <x:v>adaptive</x:v>
      </x:c>
      <x:c r="E741" s="2" t="str">
        <x:v>multiple_carriers</x:v>
      </x:c>
      <x:c r="F741" s="2" t="str">
        <x:v>370</x:v>
      </x:c>
      <x:c r="G741" s="2" t="str">
        <x:v>3134273</x:v>
      </x:c>
      <x:c r="H741" s="2" t="str">
        <x:v>2048000.0</x:v>
      </x:c>
      <x:c r="I741" s="2" t="str">
        <x:v>8192</x:v>
      </x:c>
      <x:c r="J741" s="2" t="str">
        <x:v>250.0</x:v>
      </x:c>
      <x:c r="K741" s="2" t="str">
        <x:v>3</x:v>
      </x:c>
      <x:c r="L741" s="2" t="str">
        <x:v>3</x:v>
      </x:c>
      <x:c r="M741" s="2" t="str">
        <x:v>3</x:v>
      </x:c>
      <x:c r="N741" s="2" t="str">
        <x:v>0</x:v>
      </x:c>
      <x:c r="O741" s="2" t="str">
        <x:v>0</x:v>
      </x:c>
      <x:c r="P741" s="2" t="str">
        <x:v>false</x:v>
      </x:c>
      <x:c r="Q741" s="2" t="str">
        <x:v>-35.832548981;-35.832548981;-35.832548981</x:v>
      </x:c>
      <x:c r="R741" s="2" t="str">
        <x:v>0.45204200432635844</x:v>
      </x:c>
      <x:c r="S741" s="2" t="str">
        <x:v>46.24746825924308</x:v>
      </x:c>
    </x:row>
    <x:row r="742">
      <x:c r="A742" s="2" t="str">
        <x:v>DE-CMP-01</x:v>
      </x:c>
      <x:c r="B742" s="2" t="str">
        <x:v>CFG-C01</x:v>
      </x:c>
      <x:c r="C742" s="2" t="n">
        <x:v>46227.70238086805</x:v>
      </x:c>
      <x:c r="D742" s="2" t="str">
        <x:v>adaptive</x:v>
      </x:c>
      <x:c r="E742" s="2" t="str">
        <x:v>multiple_carriers</x:v>
      </x:c>
      <x:c r="F742" s="2" t="str">
        <x:v>371</x:v>
      </x:c>
      <x:c r="G742" s="2" t="str">
        <x:v>3134274</x:v>
      </x:c>
      <x:c r="H742" s="2" t="str">
        <x:v>2048000.0</x:v>
      </x:c>
      <x:c r="I742" s="2" t="str">
        <x:v>8192</x:v>
      </x:c>
      <x:c r="J742" s="2" t="str">
        <x:v>250.0</x:v>
      </x:c>
      <x:c r="K742" s="2" t="str">
        <x:v>3</x:v>
      </x:c>
      <x:c r="L742" s="2" t="str">
        <x:v>3</x:v>
      </x:c>
      <x:c r="M742" s="2" t="str">
        <x:v>3</x:v>
      </x:c>
      <x:c r="N742" s="2" t="str">
        <x:v>0</x:v>
      </x:c>
      <x:c r="O742" s="2" t="str">
        <x:v>0</x:v>
      </x:c>
      <x:c r="P742" s="2" t="str">
        <x:v>false</x:v>
      </x:c>
      <x:c r="Q742" s="2" t="str">
        <x:v>-55.808719903;-55.808719903;-55.808719903</x:v>
      </x:c>
      <x:c r="R742" s="2" t="str">
        <x:v>0.4257079999661073</x:v>
      </x:c>
      <x:c r="S742" s="2" t="str">
        <x:v>46.269207249808474</x:v>
      </x:c>
    </x:row>
    <x:row r="743">
      <x:c r="A743" s="2" t="str">
        <x:v>DE-CMP-01</x:v>
      </x:c>
      <x:c r="B743" s="2" t="str">
        <x:v>CFG-C01</x:v>
      </x:c>
      <x:c r="C743" s="2" t="n">
        <x:v>46227.70238086805</x:v>
      </x:c>
      <x:c r="D743" s="2" t="str">
        <x:v>os_cfar</x:v>
      </x:c>
      <x:c r="E743" s="2" t="str">
        <x:v>multiple_carriers</x:v>
      </x:c>
      <x:c r="F743" s="2" t="str">
        <x:v>371</x:v>
      </x:c>
      <x:c r="G743" s="2" t="str">
        <x:v>3134274</x:v>
      </x:c>
      <x:c r="H743" s="2" t="str">
        <x:v>2048000.0</x:v>
      </x:c>
      <x:c r="I743" s="2" t="str">
        <x:v>8192</x:v>
      </x:c>
      <x:c r="J743" s="2" t="str">
        <x:v>250.0</x:v>
      </x:c>
      <x:c r="K743" s="2" t="str">
        <x:v>3</x:v>
      </x:c>
      <x:c r="L743" s="2" t="str">
        <x:v>3</x:v>
      </x:c>
      <x:c r="M743" s="2" t="str">
        <x:v>3</x:v>
      </x:c>
      <x:c r="N743" s="2" t="str">
        <x:v>0</x:v>
      </x:c>
      <x:c r="O743" s="2" t="str">
        <x:v>0</x:v>
      </x:c>
      <x:c r="P743" s="2" t="str">
        <x:v>false</x:v>
      </x:c>
      <x:c r="Q743" s="2" t="str">
        <x:v>-55.808719903;-55.808719903;-55.808719903</x:v>
      </x:c>
      <x:c r="R743" s="2" t="str">
        <x:v>14.006917001097463</x:v>
      </x:c>
      <x:c r="S743" s="2" t="str">
        <x:v>48.11597356424075</x:v>
      </x:c>
    </x:row>
    <x:row r="744">
      <x:c r="A744" s="2" t="str">
        <x:v>DE-CMP-01</x:v>
      </x:c>
      <x:c r="B744" s="2" t="str">
        <x:v>CFG-C01</x:v>
      </x:c>
      <x:c r="C744" s="2" t="n">
        <x:v>46227.70238086805</x:v>
      </x:c>
      <x:c r="D744" s="2" t="str">
        <x:v>os_cfar</x:v>
      </x:c>
      <x:c r="E744" s="2" t="str">
        <x:v>multiple_carriers</x:v>
      </x:c>
      <x:c r="F744" s="2" t="str">
        <x:v>372</x:v>
      </x:c>
      <x:c r="G744" s="2" t="str">
        <x:v>3134275</x:v>
      </x:c>
      <x:c r="H744" s="2" t="str">
        <x:v>2048000.0</x:v>
      </x:c>
      <x:c r="I744" s="2" t="str">
        <x:v>8192</x:v>
      </x:c>
      <x:c r="J744" s="2" t="str">
        <x:v>250.0</x:v>
      </x:c>
      <x:c r="K744" s="2" t="str">
        <x:v>3</x:v>
      </x:c>
      <x:c r="L744" s="2" t="str">
        <x:v>3</x:v>
      </x:c>
      <x:c r="M744" s="2" t="str">
        <x:v>3</x:v>
      </x:c>
      <x:c r="N744" s="2" t="str">
        <x:v>0</x:v>
      </x:c>
      <x:c r="O744" s="2" t="str">
        <x:v>0</x:v>
      </x:c>
      <x:c r="P744" s="2" t="str">
        <x:v>false</x:v>
      </x:c>
      <x:c r="Q744" s="2" t="str">
        <x:v>-109.440218719;-109.440218719;-109.440218719</x:v>
      </x:c>
      <x:c r="R744" s="2" t="str">
        <x:v>13.844458007952198</x:v>
      </x:c>
      <x:c r="S744" s="2" t="str">
        <x:v>48.219047840809</x:v>
      </x:c>
    </x:row>
    <x:row r="745">
      <x:c r="A745" s="2" t="str">
        <x:v>DE-CMP-01</x:v>
      </x:c>
      <x:c r="B745" s="2" t="str">
        <x:v>CFG-C01</x:v>
      </x:c>
      <x:c r="C745" s="2" t="n">
        <x:v>46227.70238086805</x:v>
      </x:c>
      <x:c r="D745" s="2" t="str">
        <x:v>adaptive</x:v>
      </x:c>
      <x:c r="E745" s="2" t="str">
        <x:v>multiple_carriers</x:v>
      </x:c>
      <x:c r="F745" s="2" t="str">
        <x:v>372</x:v>
      </x:c>
      <x:c r="G745" s="2" t="str">
        <x:v>3134275</x:v>
      </x:c>
      <x:c r="H745" s="2" t="str">
        <x:v>2048000.0</x:v>
      </x:c>
      <x:c r="I745" s="2" t="str">
        <x:v>8192</x:v>
      </x:c>
      <x:c r="J745" s="2" t="str">
        <x:v>250.0</x:v>
      </x:c>
      <x:c r="K745" s="2" t="str">
        <x:v>3</x:v>
      </x:c>
      <x:c r="L745" s="2" t="str">
        <x:v>3</x:v>
      </x:c>
      <x:c r="M745" s="2" t="str">
        <x:v>3</x:v>
      </x:c>
      <x:c r="N745" s="2" t="str">
        <x:v>0</x:v>
      </x:c>
      <x:c r="O745" s="2" t="str">
        <x:v>0</x:v>
      </x:c>
      <x:c r="P745" s="2" t="str">
        <x:v>false</x:v>
      </x:c>
      <x:c r="Q745" s="2" t="str">
        <x:v>-109.440218719;-109.440218719;-109.440218719</x:v>
      </x:c>
      <x:c r="R745" s="2" t="str">
        <x:v>0.42008400487247854</x:v>
      </x:c>
      <x:c r="S745" s="2" t="str">
        <x:v>46.34620852936277</x:v>
      </x:c>
    </x:row>
    <x:row r="746">
      <x:c r="A746" s="2" t="str">
        <x:v>DE-CMP-01</x:v>
      </x:c>
      <x:c r="B746" s="2" t="str">
        <x:v>CFG-C01</x:v>
      </x:c>
      <x:c r="C746" s="2" t="n">
        <x:v>46227.70238086805</x:v>
      </x:c>
      <x:c r="D746" s="2" t="str">
        <x:v>adaptive</x:v>
      </x:c>
      <x:c r="E746" s="2" t="str">
        <x:v>multiple_carriers</x:v>
      </x:c>
      <x:c r="F746" s="2" t="str">
        <x:v>373</x:v>
      </x:c>
      <x:c r="G746" s="2" t="str">
        <x:v>3134276</x:v>
      </x:c>
      <x:c r="H746" s="2" t="str">
        <x:v>2048000.0</x:v>
      </x:c>
      <x:c r="I746" s="2" t="str">
        <x:v>8192</x:v>
      </x:c>
      <x:c r="J746" s="2" t="str">
        <x:v>250.0</x:v>
      </x:c>
      <x:c r="K746" s="2" t="str">
        <x:v>3</x:v>
      </x:c>
      <x:c r="L746" s="2" t="str">
        <x:v>3</x:v>
      </x:c>
      <x:c r="M746" s="2" t="str">
        <x:v>3</x:v>
      </x:c>
      <x:c r="N746" s="2" t="str">
        <x:v>0</x:v>
      </x:c>
      <x:c r="O746" s="2" t="str">
        <x:v>0</x:v>
      </x:c>
      <x:c r="P746" s="2" t="str">
        <x:v>false</x:v>
      </x:c>
      <x:c r="Q746" s="2" t="str">
        <x:v>-0.305572574;-0.305572574;-0.305572574</x:v>
      </x:c>
      <x:c r="R746" s="2" t="str">
        <x:v>0.41775000863708556</x:v>
      </x:c>
      <x:c r="S746" s="2" t="str">
        <x:v>46.60116187043972</x:v>
      </x:c>
    </x:row>
    <x:row r="747">
      <x:c r="A747" s="2" t="str">
        <x:v>DE-CMP-01</x:v>
      </x:c>
      <x:c r="B747" s="2" t="str">
        <x:v>CFG-C01</x:v>
      </x:c>
      <x:c r="C747" s="2" t="n">
        <x:v>46227.70238086805</x:v>
      </x:c>
      <x:c r="D747" s="2" t="str">
        <x:v>os_cfar</x:v>
      </x:c>
      <x:c r="E747" s="2" t="str">
        <x:v>multiple_carriers</x:v>
      </x:c>
      <x:c r="F747" s="2" t="str">
        <x:v>373</x:v>
      </x:c>
      <x:c r="G747" s="2" t="str">
        <x:v>3134276</x:v>
      </x:c>
      <x:c r="H747" s="2" t="str">
        <x:v>2048000.0</x:v>
      </x:c>
      <x:c r="I747" s="2" t="str">
        <x:v>8192</x:v>
      </x:c>
      <x:c r="J747" s="2" t="str">
        <x:v>250.0</x:v>
      </x:c>
      <x:c r="K747" s="2" t="str">
        <x:v>3</x:v>
      </x:c>
      <x:c r="L747" s="2" t="str">
        <x:v>3</x:v>
      </x:c>
      <x:c r="M747" s="2" t="str">
        <x:v>3</x:v>
      </x:c>
      <x:c r="N747" s="2" t="str">
        <x:v>0</x:v>
      </x:c>
      <x:c r="O747" s="2" t="str">
        <x:v>0</x:v>
      </x:c>
      <x:c r="P747" s="2" t="str">
        <x:v>false</x:v>
      </x:c>
      <x:c r="Q747" s="2" t="str">
        <x:v>-0.305572574;-0.305572574;-0.305572574</x:v>
      </x:c>
      <x:c r="R747" s="2" t="str">
        <x:v>13.791375007713214</x:v>
      </x:c>
      <x:c r="S747" s="2" t="str">
        <x:v>48.251505929793126</x:v>
      </x:c>
    </x:row>
    <x:row r="748">
      <x:c r="A748" s="2" t="str">
        <x:v>DE-CMP-01</x:v>
      </x:c>
      <x:c r="B748" s="2" t="str">
        <x:v>CFG-C01</x:v>
      </x:c>
      <x:c r="C748" s="2" t="n">
        <x:v>46227.70238086805</x:v>
      </x:c>
      <x:c r="D748" s="2" t="str">
        <x:v>os_cfar</x:v>
      </x:c>
      <x:c r="E748" s="2" t="str">
        <x:v>multiple_carriers</x:v>
      </x:c>
      <x:c r="F748" s="2" t="str">
        <x:v>374</x:v>
      </x:c>
      <x:c r="G748" s="2" t="str">
        <x:v>3134277</x:v>
      </x:c>
      <x:c r="H748" s="2" t="str">
        <x:v>2048000.0</x:v>
      </x:c>
      <x:c r="I748" s="2" t="str">
        <x:v>8192</x:v>
      </x:c>
      <x:c r="J748" s="2" t="str">
        <x:v>250.0</x:v>
      </x:c>
      <x:c r="K748" s="2" t="str">
        <x:v>3</x:v>
      </x:c>
      <x:c r="L748" s="2" t="str">
        <x:v>3</x:v>
      </x:c>
      <x:c r="M748" s="2" t="str">
        <x:v>3</x:v>
      </x:c>
      <x:c r="N748" s="2" t="str">
        <x:v>0</x:v>
      </x:c>
      <x:c r="O748" s="2" t="str">
        <x:v>0</x:v>
      </x:c>
      <x:c r="P748" s="2" t="str">
        <x:v>false</x:v>
      </x:c>
      <x:c r="Q748" s="2" t="str">
        <x:v>47.771742169;47.771742169;47.771742169</x:v>
      </x:c>
      <x:c r="R748" s="2" t="str">
        <x:v>13.891958005842753</x:v>
      </x:c>
      <x:c r="S748" s="2" t="str">
        <x:v>48.23989469245062</x:v>
      </x:c>
    </x:row>
    <x:row r="749">
      <x:c r="A749" s="2" t="str">
        <x:v>DE-CMP-01</x:v>
      </x:c>
      <x:c r="B749" s="2" t="str">
        <x:v>CFG-C01</x:v>
      </x:c>
      <x:c r="C749" s="2" t="n">
        <x:v>46227.70238086805</x:v>
      </x:c>
      <x:c r="D749" s="2" t="str">
        <x:v>adaptive</x:v>
      </x:c>
      <x:c r="E749" s="2" t="str">
        <x:v>multiple_carriers</x:v>
      </x:c>
      <x:c r="F749" s="2" t="str">
        <x:v>374</x:v>
      </x:c>
      <x:c r="G749" s="2" t="str">
        <x:v>3134277</x:v>
      </x:c>
      <x:c r="H749" s="2" t="str">
        <x:v>2048000.0</x:v>
      </x:c>
      <x:c r="I749" s="2" t="str">
        <x:v>8192</x:v>
      </x:c>
      <x:c r="J749" s="2" t="str">
        <x:v>250.0</x:v>
      </x:c>
      <x:c r="K749" s="2" t="str">
        <x:v>3</x:v>
      </x:c>
      <x:c r="L749" s="2" t="str">
        <x:v>3</x:v>
      </x:c>
      <x:c r="M749" s="2" t="str">
        <x:v>3</x:v>
      </x:c>
      <x:c r="N749" s="2" t="str">
        <x:v>0</x:v>
      </x:c>
      <x:c r="O749" s="2" t="str">
        <x:v>0</x:v>
      </x:c>
      <x:c r="P749" s="2" t="str">
        <x:v>false</x:v>
      </x:c>
      <x:c r="Q749" s="2" t="str">
        <x:v>47.771742169;47.771742169;47.771742169</x:v>
      </x:c>
      <x:c r="R749" s="2" t="str">
        <x:v>0.4182920092716813</x:v>
      </x:c>
      <x:c r="S749" s="2" t="str">
        <x:v>46.46801792412353</x:v>
      </x:c>
    </x:row>
    <x:row r="750">
      <x:c r="A750" s="2" t="str">
        <x:v>DE-CMP-01</x:v>
      </x:c>
      <x:c r="B750" s="2" t="str">
        <x:v>CFG-C01</x:v>
      </x:c>
      <x:c r="C750" s="2" t="n">
        <x:v>46227.70238086805</x:v>
      </x:c>
      <x:c r="D750" s="2" t="str">
        <x:v>adaptive</x:v>
      </x:c>
      <x:c r="E750" s="2" t="str">
        <x:v>multiple_carriers</x:v>
      </x:c>
      <x:c r="F750" s="2" t="str">
        <x:v>375</x:v>
      </x:c>
      <x:c r="G750" s="2" t="str">
        <x:v>3134278</x:v>
      </x:c>
      <x:c r="H750" s="2" t="str">
        <x:v>2048000.0</x:v>
      </x:c>
      <x:c r="I750" s="2" t="str">
        <x:v>8192</x:v>
      </x:c>
      <x:c r="J750" s="2" t="str">
        <x:v>250.0</x:v>
      </x:c>
      <x:c r="K750" s="2" t="str">
        <x:v>3</x:v>
      </x:c>
      <x:c r="L750" s="2" t="str">
        <x:v>3</x:v>
      </x:c>
      <x:c r="M750" s="2" t="str">
        <x:v>3</x:v>
      </x:c>
      <x:c r="N750" s="2" t="str">
        <x:v>0</x:v>
      </x:c>
      <x:c r="O750" s="2" t="str">
        <x:v>0</x:v>
      </x:c>
      <x:c r="P750" s="2" t="str">
        <x:v>false</x:v>
      </x:c>
      <x:c r="Q750" s="2" t="str">
        <x:v>8.573216834;8.573216834;8.573216834</x:v>
      </x:c>
      <x:c r="R750" s="2" t="str">
        <x:v>0.42754200694616884</x:v>
      </x:c>
      <x:c r="S750" s="2" t="str">
        <x:v>46.304844236371714</x:v>
      </x:c>
    </x:row>
    <x:row r="751">
      <x:c r="A751" s="2" t="str">
        <x:v>DE-CMP-01</x:v>
      </x:c>
      <x:c r="B751" s="2" t="str">
        <x:v>CFG-C01</x:v>
      </x:c>
      <x:c r="C751" s="2" t="n">
        <x:v>46227.70238086805</x:v>
      </x:c>
      <x:c r="D751" s="2" t="str">
        <x:v>os_cfar</x:v>
      </x:c>
      <x:c r="E751" s="2" t="str">
        <x:v>multiple_carriers</x:v>
      </x:c>
      <x:c r="F751" s="2" t="str">
        <x:v>375</x:v>
      </x:c>
      <x:c r="G751" s="2" t="str">
        <x:v>3134278</x:v>
      </x:c>
      <x:c r="H751" s="2" t="str">
        <x:v>2048000.0</x:v>
      </x:c>
      <x:c r="I751" s="2" t="str">
        <x:v>8192</x:v>
      </x:c>
      <x:c r="J751" s="2" t="str">
        <x:v>250.0</x:v>
      </x:c>
      <x:c r="K751" s="2" t="str">
        <x:v>3</x:v>
      </x:c>
      <x:c r="L751" s="2" t="str">
        <x:v>3</x:v>
      </x:c>
      <x:c r="M751" s="2" t="str">
        <x:v>3</x:v>
      </x:c>
      <x:c r="N751" s="2" t="str">
        <x:v>0</x:v>
      </x:c>
      <x:c r="O751" s="2" t="str">
        <x:v>0</x:v>
      </x:c>
      <x:c r="P751" s="2" t="str">
        <x:v>false</x:v>
      </x:c>
      <x:c r="Q751" s="2" t="str">
        <x:v>8.573216834;8.573216834;8.573216834</x:v>
      </x:c>
      <x:c r="R751" s="2" t="str">
        <x:v>13.905250001698732</x:v>
      </x:c>
      <x:c r="S751" s="2" t="str">
        <x:v>48.309475054077254</x:v>
      </x:c>
    </x:row>
    <x:row r="752">
      <x:c r="A752" s="2" t="str">
        <x:v>DE-CMP-01</x:v>
      </x:c>
      <x:c r="B752" s="2" t="str">
        <x:v>CFG-C01</x:v>
      </x:c>
      <x:c r="C752" s="2" t="n">
        <x:v>46227.70238086805</x:v>
      </x:c>
      <x:c r="D752" s="2" t="str">
        <x:v>os_cfar</x:v>
      </x:c>
      <x:c r="E752" s="2" t="str">
        <x:v>multiple_carriers</x:v>
      </x:c>
      <x:c r="F752" s="2" t="str">
        <x:v>376</x:v>
      </x:c>
      <x:c r="G752" s="2" t="str">
        <x:v>3134279</x:v>
      </x:c>
      <x:c r="H752" s="2" t="str">
        <x:v>2048000.0</x:v>
      </x:c>
      <x:c r="I752" s="2" t="str">
        <x:v>8192</x:v>
      </x:c>
      <x:c r="J752" s="2" t="str">
        <x:v>250.0</x:v>
      </x:c>
      <x:c r="K752" s="2" t="str">
        <x:v>3</x:v>
      </x:c>
      <x:c r="L752" s="2" t="str">
        <x:v>3</x:v>
      </x:c>
      <x:c r="M752" s="2" t="str">
        <x:v>3</x:v>
      </x:c>
      <x:c r="N752" s="2" t="str">
        <x:v>0</x:v>
      </x:c>
      <x:c r="O752" s="2" t="str">
        <x:v>0</x:v>
      </x:c>
      <x:c r="P752" s="2" t="str">
        <x:v>false</x:v>
      </x:c>
      <x:c r="Q752" s="2" t="str">
        <x:v>-6.332858216;-6.332858216;-6.332858216</x:v>
      </x:c>
      <x:c r="R752" s="2" t="str">
        <x:v>13.788333992124535</x:v>
      </x:c>
      <x:c r="S752" s="2" t="str">
        <x:v>48.16324383484313</x:v>
      </x:c>
    </x:row>
    <x:row r="753">
      <x:c r="A753" s="2" t="str">
        <x:v>DE-CMP-01</x:v>
      </x:c>
      <x:c r="B753" s="2" t="str">
        <x:v>CFG-C01</x:v>
      </x:c>
      <x:c r="C753" s="2" t="n">
        <x:v>46227.70238086805</x:v>
      </x:c>
      <x:c r="D753" s="2" t="str">
        <x:v>adaptive</x:v>
      </x:c>
      <x:c r="E753" s="2" t="str">
        <x:v>multiple_carriers</x:v>
      </x:c>
      <x:c r="F753" s="2" t="str">
        <x:v>376</x:v>
      </x:c>
      <x:c r="G753" s="2" t="str">
        <x:v>3134279</x:v>
      </x:c>
      <x:c r="H753" s="2" t="str">
        <x:v>2048000.0</x:v>
      </x:c>
      <x:c r="I753" s="2" t="str">
        <x:v>8192</x:v>
      </x:c>
      <x:c r="J753" s="2" t="str">
        <x:v>250.0</x:v>
      </x:c>
      <x:c r="K753" s="2" t="str">
        <x:v>3</x:v>
      </x:c>
      <x:c r="L753" s="2" t="str">
        <x:v>3</x:v>
      </x:c>
      <x:c r="M753" s="2" t="str">
        <x:v>3</x:v>
      </x:c>
      <x:c r="N753" s="2" t="str">
        <x:v>0</x:v>
      </x:c>
      <x:c r="O753" s="2" t="str">
        <x:v>0</x:v>
      </x:c>
      <x:c r="P753" s="2" t="str">
        <x:v>false</x:v>
      </x:c>
      <x:c r="Q753" s="2" t="str">
        <x:v>-6.332858216;-6.332858216;-6.332858216</x:v>
      </x:c>
      <x:c r="R753" s="2" t="str">
        <x:v>0.43533300049602985</x:v>
      </x:c>
      <x:c r="S753" s="2" t="str">
        <x:v>46.277069737588484</x:v>
      </x:c>
    </x:row>
    <x:row r="754">
      <x:c r="A754" s="2" t="str">
        <x:v>DE-CMP-01</x:v>
      </x:c>
      <x:c r="B754" s="2" t="str">
        <x:v>CFG-C01</x:v>
      </x:c>
      <x:c r="C754" s="2" t="n">
        <x:v>46227.70238086805</x:v>
      </x:c>
      <x:c r="D754" s="2" t="str">
        <x:v>adaptive</x:v>
      </x:c>
      <x:c r="E754" s="2" t="str">
        <x:v>multiple_carriers</x:v>
      </x:c>
      <x:c r="F754" s="2" t="str">
        <x:v>377</x:v>
      </x:c>
      <x:c r="G754" s="2" t="str">
        <x:v>3134280</x:v>
      </x:c>
      <x:c r="H754" s="2" t="str">
        <x:v>2048000.0</x:v>
      </x:c>
      <x:c r="I754" s="2" t="str">
        <x:v>8192</x:v>
      </x:c>
      <x:c r="J754" s="2" t="str">
        <x:v>250.0</x:v>
      </x:c>
      <x:c r="K754" s="2" t="str">
        <x:v>3</x:v>
      </x:c>
      <x:c r="L754" s="2" t="str">
        <x:v>3</x:v>
      </x:c>
      <x:c r="M754" s="2" t="str">
        <x:v>3</x:v>
      </x:c>
      <x:c r="N754" s="2" t="str">
        <x:v>0</x:v>
      </x:c>
      <x:c r="O754" s="2" t="str">
        <x:v>0</x:v>
      </x:c>
      <x:c r="P754" s="2" t="str">
        <x:v>false</x:v>
      </x:c>
      <x:c r="Q754" s="2" t="str">
        <x:v>-74.533725942;-74.533725942;-74.533725942</x:v>
      </x:c>
      <x:c r="R754" s="2" t="str">
        <x:v>0.42829199810512364</x:v>
      </x:c>
      <x:c r="S754" s="2" t="str">
        <x:v>46.45990236359782</x:v>
      </x:c>
    </x:row>
    <x:row r="755">
      <x:c r="A755" s="2" t="str">
        <x:v>DE-CMP-01</x:v>
      </x:c>
      <x:c r="B755" s="2" t="str">
        <x:v>CFG-C01</x:v>
      </x:c>
      <x:c r="C755" s="2" t="n">
        <x:v>46227.70238086805</x:v>
      </x:c>
      <x:c r="D755" s="2" t="str">
        <x:v>os_cfar</x:v>
      </x:c>
      <x:c r="E755" s="2" t="str">
        <x:v>multiple_carriers</x:v>
      </x:c>
      <x:c r="F755" s="2" t="str">
        <x:v>377</x:v>
      </x:c>
      <x:c r="G755" s="2" t="str">
        <x:v>3134280</x:v>
      </x:c>
      <x:c r="H755" s="2" t="str">
        <x:v>2048000.0</x:v>
      </x:c>
      <x:c r="I755" s="2" t="str">
        <x:v>8192</x:v>
      </x:c>
      <x:c r="J755" s="2" t="str">
        <x:v>250.0</x:v>
      </x:c>
      <x:c r="K755" s="2" t="str">
        <x:v>3</x:v>
      </x:c>
      <x:c r="L755" s="2" t="str">
        <x:v>3</x:v>
      </x:c>
      <x:c r="M755" s="2" t="str">
        <x:v>3</x:v>
      </x:c>
      <x:c r="N755" s="2" t="str">
        <x:v>0</x:v>
      </x:c>
      <x:c r="O755" s="2" t="str">
        <x:v>0</x:v>
      </x:c>
      <x:c r="P755" s="2" t="str">
        <x:v>false</x:v>
      </x:c>
      <x:c r="Q755" s="2" t="str">
        <x:v>-74.533725942;-74.533725942;-74.533725942</x:v>
      </x:c>
      <x:c r="R755" s="2" t="str">
        <x:v>13.92683299491182</x:v>
      </x:c>
      <x:c r="S755" s="2" t="str">
        <x:v>48.19917166353551</x:v>
      </x:c>
    </x:row>
    <x:row r="756">
      <x:c r="A756" s="2" t="str">
        <x:v>DE-CMP-01</x:v>
      </x:c>
      <x:c r="B756" s="2" t="str">
        <x:v>CFG-C01</x:v>
      </x:c>
      <x:c r="C756" s="2" t="n">
        <x:v>46227.70238086805</x:v>
      </x:c>
      <x:c r="D756" s="2" t="str">
        <x:v>os_cfar</x:v>
      </x:c>
      <x:c r="E756" s="2" t="str">
        <x:v>multiple_carriers</x:v>
      </x:c>
      <x:c r="F756" s="2" t="str">
        <x:v>378</x:v>
      </x:c>
      <x:c r="G756" s="2" t="str">
        <x:v>3134281</x:v>
      </x:c>
      <x:c r="H756" s="2" t="str">
        <x:v>2048000.0</x:v>
      </x:c>
      <x:c r="I756" s="2" t="str">
        <x:v>8192</x:v>
      </x:c>
      <x:c r="J756" s="2" t="str">
        <x:v>250.0</x:v>
      </x:c>
      <x:c r="K756" s="2" t="str">
        <x:v>3</x:v>
      </x:c>
      <x:c r="L756" s="2" t="str">
        <x:v>3</x:v>
      </x:c>
      <x:c r="M756" s="2" t="str">
        <x:v>3</x:v>
      </x:c>
      <x:c r="N756" s="2" t="str">
        <x:v>0</x:v>
      </x:c>
      <x:c r="O756" s="2" t="str">
        <x:v>0</x:v>
      </x:c>
      <x:c r="P756" s="2" t="str">
        <x:v>false</x:v>
      </x:c>
      <x:c r="Q756" s="2" t="str">
        <x:v>-35.844494648;-35.844494648;-35.844494648</x:v>
      </x:c>
      <x:c r="R756" s="2" t="str">
        <x:v>13.718582995352335</x:v>
      </x:c>
      <x:c r="S756" s="2" t="str">
        <x:v>48.22109707150762</x:v>
      </x:c>
    </x:row>
    <x:row r="757">
      <x:c r="A757" s="2" t="str">
        <x:v>DE-CMP-01</x:v>
      </x:c>
      <x:c r="B757" s="2" t="str">
        <x:v>CFG-C01</x:v>
      </x:c>
      <x:c r="C757" s="2" t="n">
        <x:v>46227.70238086805</x:v>
      </x:c>
      <x:c r="D757" s="2" t="str">
        <x:v>adaptive</x:v>
      </x:c>
      <x:c r="E757" s="2" t="str">
        <x:v>multiple_carriers</x:v>
      </x:c>
      <x:c r="F757" s="2" t="str">
        <x:v>378</x:v>
      </x:c>
      <x:c r="G757" s="2" t="str">
        <x:v>3134281</x:v>
      </x:c>
      <x:c r="H757" s="2" t="str">
        <x:v>2048000.0</x:v>
      </x:c>
      <x:c r="I757" s="2" t="str">
        <x:v>8192</x:v>
      </x:c>
      <x:c r="J757" s="2" t="str">
        <x:v>250.0</x:v>
      </x:c>
      <x:c r="K757" s="2" t="str">
        <x:v>3</x:v>
      </x:c>
      <x:c r="L757" s="2" t="str">
        <x:v>3</x:v>
      </x:c>
      <x:c r="M757" s="2" t="str">
        <x:v>3</x:v>
      </x:c>
      <x:c r="N757" s="2" t="str">
        <x:v>0</x:v>
      </x:c>
      <x:c r="O757" s="2" t="str">
        <x:v>0</x:v>
      </x:c>
      <x:c r="P757" s="2" t="str">
        <x:v>false</x:v>
      </x:c>
      <x:c r="Q757" s="2" t="str">
        <x:v>-35.844494648;-35.844494648;-35.844494648</x:v>
      </x:c>
      <x:c r="R757" s="2" t="str">
        <x:v>0.43983299110550433</x:v>
      </x:c>
      <x:c r="S757" s="2" t="str">
        <x:v>46.33495409723204</x:v>
      </x:c>
    </x:row>
    <x:row r="758">
      <x:c r="A758" s="2" t="str">
        <x:v>DE-CMP-01</x:v>
      </x:c>
      <x:c r="B758" s="2" t="str">
        <x:v>CFG-C01</x:v>
      </x:c>
      <x:c r="C758" s="2" t="n">
        <x:v>46227.70238086805</x:v>
      </x:c>
      <x:c r="D758" s="2" t="str">
        <x:v>adaptive</x:v>
      </x:c>
      <x:c r="E758" s="2" t="str">
        <x:v>multiple_carriers</x:v>
      </x:c>
      <x:c r="F758" s="2" t="str">
        <x:v>379</x:v>
      </x:c>
      <x:c r="G758" s="2" t="str">
        <x:v>3134282</x:v>
      </x:c>
      <x:c r="H758" s="2" t="str">
        <x:v>2048000.0</x:v>
      </x:c>
      <x:c r="I758" s="2" t="str">
        <x:v>8192</x:v>
      </x:c>
      <x:c r="J758" s="2" t="str">
        <x:v>250.0</x:v>
      </x:c>
      <x:c r="K758" s="2" t="str">
        <x:v>3</x:v>
      </x:c>
      <x:c r="L758" s="2" t="str">
        <x:v>3</x:v>
      </x:c>
      <x:c r="M758" s="2" t="str">
        <x:v>3</x:v>
      </x:c>
      <x:c r="N758" s="2" t="str">
        <x:v>0</x:v>
      </x:c>
      <x:c r="O758" s="2" t="str">
        <x:v>0</x:v>
      </x:c>
      <x:c r="P758" s="2" t="str">
        <x:v>false</x:v>
      </x:c>
      <x:c r="Q758" s="2" t="str">
        <x:v>93.191261899;93.191261899;93.191261899</x:v>
      </x:c>
      <x:c r="R758" s="2" t="str">
        <x:v>0.40779200207907706</x:v>
      </x:c>
      <x:c r="S758" s="2" t="str">
        <x:v>46.453507032431396</x:v>
      </x:c>
    </x:row>
    <x:row r="759">
      <x:c r="A759" s="2" t="str">
        <x:v>DE-CMP-01</x:v>
      </x:c>
      <x:c r="B759" s="2" t="str">
        <x:v>CFG-C01</x:v>
      </x:c>
      <x:c r="C759" s="2" t="n">
        <x:v>46227.70238086805</x:v>
      </x:c>
      <x:c r="D759" s="2" t="str">
        <x:v>os_cfar</x:v>
      </x:c>
      <x:c r="E759" s="2" t="str">
        <x:v>multiple_carriers</x:v>
      </x:c>
      <x:c r="F759" s="2" t="str">
        <x:v>379</x:v>
      </x:c>
      <x:c r="G759" s="2" t="str">
        <x:v>3134282</x:v>
      </x:c>
      <x:c r="H759" s="2" t="str">
        <x:v>2048000.0</x:v>
      </x:c>
      <x:c r="I759" s="2" t="str">
        <x:v>8192</x:v>
      </x:c>
      <x:c r="J759" s="2" t="str">
        <x:v>250.0</x:v>
      </x:c>
      <x:c r="K759" s="2" t="str">
        <x:v>3</x:v>
      </x:c>
      <x:c r="L759" s="2" t="str">
        <x:v>3</x:v>
      </x:c>
      <x:c r="M759" s="2" t="str">
        <x:v>3</x:v>
      </x:c>
      <x:c r="N759" s="2" t="str">
        <x:v>0</x:v>
      </x:c>
      <x:c r="O759" s="2" t="str">
        <x:v>0</x:v>
      </x:c>
      <x:c r="P759" s="2" t="str">
        <x:v>false</x:v>
      </x:c>
      <x:c r="Q759" s="2" t="str">
        <x:v>93.191261899;93.191261899;93.191261899</x:v>
      </x:c>
      <x:c r="R759" s="2" t="str">
        <x:v>13.763499999186024</x:v>
      </x:c>
      <x:c r="S759" s="2" t="str">
        <x:v>48.14244926687167</x:v>
      </x:c>
    </x:row>
    <x:row r="760">
      <x:c r="A760" s="2" t="str">
        <x:v>DE-CMP-01</x:v>
      </x:c>
      <x:c r="B760" s="2" t="str">
        <x:v>CFG-C01</x:v>
      </x:c>
      <x:c r="C760" s="2" t="n">
        <x:v>46227.70238086805</x:v>
      </x:c>
      <x:c r="D760" s="2" t="str">
        <x:v>os_cfar</x:v>
      </x:c>
      <x:c r="E760" s="2" t="str">
        <x:v>multiple_carriers</x:v>
      </x:c>
      <x:c r="F760" s="2" t="str">
        <x:v>380</x:v>
      </x:c>
      <x:c r="G760" s="2" t="str">
        <x:v>3134283</x:v>
      </x:c>
      <x:c r="H760" s="2" t="str">
        <x:v>2048000.0</x:v>
      </x:c>
      <x:c r="I760" s="2" t="str">
        <x:v>8192</x:v>
      </x:c>
      <x:c r="J760" s="2" t="str">
        <x:v>250.0</x:v>
      </x:c>
      <x:c r="K760" s="2" t="str">
        <x:v>3</x:v>
      </x:c>
      <x:c r="L760" s="2" t="str">
        <x:v>3</x:v>
      </x:c>
      <x:c r="M760" s="2" t="str">
        <x:v>3</x:v>
      </x:c>
      <x:c r="N760" s="2" t="str">
        <x:v>0</x:v>
      </x:c>
      <x:c r="O760" s="2" t="str">
        <x:v>0</x:v>
      </x:c>
      <x:c r="P760" s="2" t="str">
        <x:v>false</x:v>
      </x:c>
      <x:c r="Q760" s="2" t="str">
        <x:v>59.010111246;59.010111246;59.010111246</x:v>
      </x:c>
      <x:c r="R760" s="2" t="str">
        <x:v>13.80458399944473</x:v>
      </x:c>
      <x:c r="S760" s="2" t="str">
        <x:v>48.34816030160586</x:v>
      </x:c>
    </x:row>
    <x:row r="761">
      <x:c r="A761" s="2" t="str">
        <x:v>DE-CMP-01</x:v>
      </x:c>
      <x:c r="B761" s="2" t="str">
        <x:v>CFG-C01</x:v>
      </x:c>
      <x:c r="C761" s="2" t="n">
        <x:v>46227.70238086805</x:v>
      </x:c>
      <x:c r="D761" s="2" t="str">
        <x:v>adaptive</x:v>
      </x:c>
      <x:c r="E761" s="2" t="str">
        <x:v>multiple_carriers</x:v>
      </x:c>
      <x:c r="F761" s="2" t="str">
        <x:v>380</x:v>
      </x:c>
      <x:c r="G761" s="2" t="str">
        <x:v>3134283</x:v>
      </x:c>
      <x:c r="H761" s="2" t="str">
        <x:v>2048000.0</x:v>
      </x:c>
      <x:c r="I761" s="2" t="str">
        <x:v>8192</x:v>
      </x:c>
      <x:c r="J761" s="2" t="str">
        <x:v>250.0</x:v>
      </x:c>
      <x:c r="K761" s="2" t="str">
        <x:v>3</x:v>
      </x:c>
      <x:c r="L761" s="2" t="str">
        <x:v>3</x:v>
      </x:c>
      <x:c r="M761" s="2" t="str">
        <x:v>3</x:v>
      </x:c>
      <x:c r="N761" s="2" t="str">
        <x:v>0</x:v>
      </x:c>
      <x:c r="O761" s="2" t="str">
        <x:v>0</x:v>
      </x:c>
      <x:c r="P761" s="2" t="str">
        <x:v>false</x:v>
      </x:c>
      <x:c r="Q761" s="2" t="str">
        <x:v>59.010111246;59.010111246;59.010111246</x:v>
      </x:c>
      <x:c r="R761" s="2" t="str">
        <x:v>0.4024170048069209</x:v>
      </x:c>
      <x:c r="S761" s="2" t="str">
        <x:v>46.368419313292705</x:v>
      </x:c>
    </x:row>
    <x:row r="762">
      <x:c r="A762" s="2" t="str">
        <x:v>DE-CMP-01</x:v>
      </x:c>
      <x:c r="B762" s="2" t="str">
        <x:v>CFG-C01</x:v>
      </x:c>
      <x:c r="C762" s="2" t="n">
        <x:v>46227.70238086805</x:v>
      </x:c>
      <x:c r="D762" s="2" t="str">
        <x:v>adaptive</x:v>
      </x:c>
      <x:c r="E762" s="2" t="str">
        <x:v>multiple_carriers</x:v>
      </x:c>
      <x:c r="F762" s="2" t="str">
        <x:v>381</x:v>
      </x:c>
      <x:c r="G762" s="2" t="str">
        <x:v>3134284</x:v>
      </x:c>
      <x:c r="H762" s="2" t="str">
        <x:v>2048000.0</x:v>
      </x:c>
      <x:c r="I762" s="2" t="str">
        <x:v>8192</x:v>
      </x:c>
      <x:c r="J762" s="2" t="str">
        <x:v>250.0</x:v>
      </x:c>
      <x:c r="K762" s="2" t="str">
        <x:v>3</x:v>
      </x:c>
      <x:c r="L762" s="2" t="str">
        <x:v>3</x:v>
      </x:c>
      <x:c r="M762" s="2" t="str">
        <x:v>3</x:v>
      </x:c>
      <x:c r="N762" s="2" t="str">
        <x:v>0</x:v>
      </x:c>
      <x:c r="O762" s="2" t="str">
        <x:v>0</x:v>
      </x:c>
      <x:c r="P762" s="2" t="str">
        <x:v>false</x:v>
      </x:c>
      <x:c r="Q762" s="2" t="str">
        <x:v>124.330002328;-125.669997672;-125.669997672</x:v>
      </x:c>
      <x:c r="R762" s="2" t="str">
        <x:v>0.4124169936403632</x:v>
      </x:c>
      <x:c r="S762" s="2" t="str">
        <x:v>46.35520629425614</x:v>
      </x:c>
    </x:row>
    <x:row r="763">
      <x:c r="A763" s="2" t="str">
        <x:v>DE-CMP-01</x:v>
      </x:c>
      <x:c r="B763" s="2" t="str">
        <x:v>CFG-C01</x:v>
      </x:c>
      <x:c r="C763" s="2" t="n">
        <x:v>46227.70238086805</x:v>
      </x:c>
      <x:c r="D763" s="2" t="str">
        <x:v>os_cfar</x:v>
      </x:c>
      <x:c r="E763" s="2" t="str">
        <x:v>multiple_carriers</x:v>
      </x:c>
      <x:c r="F763" s="2" t="str">
        <x:v>381</x:v>
      </x:c>
      <x:c r="G763" s="2" t="str">
        <x:v>3134284</x:v>
      </x:c>
      <x:c r="H763" s="2" t="str">
        <x:v>2048000.0</x:v>
      </x:c>
      <x:c r="I763" s="2" t="str">
        <x:v>8192</x:v>
      </x:c>
      <x:c r="J763" s="2" t="str">
        <x:v>250.0</x:v>
      </x:c>
      <x:c r="K763" s="2" t="str">
        <x:v>3</x:v>
      </x:c>
      <x:c r="L763" s="2" t="str">
        <x:v>3</x:v>
      </x:c>
      <x:c r="M763" s="2" t="str">
        <x:v>3</x:v>
      </x:c>
      <x:c r="N763" s="2" t="str">
        <x:v>0</x:v>
      </x:c>
      <x:c r="O763" s="2" t="str">
        <x:v>0</x:v>
      </x:c>
      <x:c r="P763" s="2" t="str">
        <x:v>false</x:v>
      </x:c>
      <x:c r="Q763" s="2" t="str">
        <x:v>124.330002328;-125.669997672;-125.669997672</x:v>
      </x:c>
      <x:c r="R763" s="2" t="str">
        <x:v>13.785000002826564</x:v>
      </x:c>
      <x:c r="S763" s="2" t="str">
        <x:v>48.238829567837065</x:v>
      </x:c>
    </x:row>
    <x:row r="764">
      <x:c r="A764" s="2" t="str">
        <x:v>DE-CMP-01</x:v>
      </x:c>
      <x:c r="B764" s="2" t="str">
        <x:v>CFG-C01</x:v>
      </x:c>
      <x:c r="C764" s="2" t="n">
        <x:v>46227.70238086805</x:v>
      </x:c>
      <x:c r="D764" s="2" t="str">
        <x:v>os_cfar</x:v>
      </x:c>
      <x:c r="E764" s="2" t="str">
        <x:v>multiple_carriers</x:v>
      </x:c>
      <x:c r="F764" s="2" t="str">
        <x:v>382</x:v>
      </x:c>
      <x:c r="G764" s="2" t="str">
        <x:v>3134285</x:v>
      </x:c>
      <x:c r="H764" s="2" t="str">
        <x:v>2048000.0</x:v>
      </x:c>
      <x:c r="I764" s="2" t="str">
        <x:v>8192</x:v>
      </x:c>
      <x:c r="J764" s="2" t="str">
        <x:v>250.0</x:v>
      </x:c>
      <x:c r="K764" s="2" t="str">
        <x:v>3</x:v>
      </x:c>
      <x:c r="L764" s="2" t="str">
        <x:v>3</x:v>
      </x:c>
      <x:c r="M764" s="2" t="str">
        <x:v>3</x:v>
      </x:c>
      <x:c r="N764" s="2" t="str">
        <x:v>0</x:v>
      </x:c>
      <x:c r="O764" s="2" t="str">
        <x:v>0</x:v>
      </x:c>
      <x:c r="P764" s="2" t="str">
        <x:v>false</x:v>
      </x:c>
      <x:c r="Q764" s="2" t="str">
        <x:v>112.032149556;112.032149556;112.032149556</x:v>
      </x:c>
      <x:c r="R764" s="2" t="str">
        <x:v>13.936500006821007</x:v>
      </x:c>
      <x:c r="S764" s="2" t="str">
        <x:v>48.22584341991585</x:v>
      </x:c>
    </x:row>
    <x:row r="765">
      <x:c r="A765" s="2" t="str">
        <x:v>DE-CMP-01</x:v>
      </x:c>
      <x:c r="B765" s="2" t="str">
        <x:v>CFG-C01</x:v>
      </x:c>
      <x:c r="C765" s="2" t="n">
        <x:v>46227.70238086805</x:v>
      </x:c>
      <x:c r="D765" s="2" t="str">
        <x:v>adaptive</x:v>
      </x:c>
      <x:c r="E765" s="2" t="str">
        <x:v>multiple_carriers</x:v>
      </x:c>
      <x:c r="F765" s="2" t="str">
        <x:v>382</x:v>
      </x:c>
      <x:c r="G765" s="2" t="str">
        <x:v>3134285</x:v>
      </x:c>
      <x:c r="H765" s="2" t="str">
        <x:v>2048000.0</x:v>
      </x:c>
      <x:c r="I765" s="2" t="str">
        <x:v>8192</x:v>
      </x:c>
      <x:c r="J765" s="2" t="str">
        <x:v>250.0</x:v>
      </x:c>
      <x:c r="K765" s="2" t="str">
        <x:v>3</x:v>
      </x:c>
      <x:c r="L765" s="2" t="str">
        <x:v>3</x:v>
      </x:c>
      <x:c r="M765" s="2" t="str">
        <x:v>3</x:v>
      </x:c>
      <x:c r="N765" s="2" t="str">
        <x:v>0</x:v>
      </x:c>
      <x:c r="O765" s="2" t="str">
        <x:v>0</x:v>
      </x:c>
      <x:c r="P765" s="2" t="str">
        <x:v>false</x:v>
      </x:c>
      <x:c r="Q765" s="2" t="str">
        <x:v>112.032149556;112.032149556;112.032149556</x:v>
      </x:c>
      <x:c r="R765" s="2" t="str">
        <x:v>0.37533299473579973</x:v>
      </x:c>
      <x:c r="S765" s="2" t="str">
        <x:v>46.362694821107205</x:v>
      </x:c>
    </x:row>
    <x:row r="766">
      <x:c r="A766" s="2" t="str">
        <x:v>DE-CMP-01</x:v>
      </x:c>
      <x:c r="B766" s="2" t="str">
        <x:v>CFG-C01</x:v>
      </x:c>
      <x:c r="C766" s="2" t="n">
        <x:v>46227.70238086805</x:v>
      </x:c>
      <x:c r="D766" s="2" t="str">
        <x:v>adaptive</x:v>
      </x:c>
      <x:c r="E766" s="2" t="str">
        <x:v>multiple_carriers</x:v>
      </x:c>
      <x:c r="F766" s="2" t="str">
        <x:v>383</x:v>
      </x:c>
      <x:c r="G766" s="2" t="str">
        <x:v>3134286</x:v>
      </x:c>
      <x:c r="H766" s="2" t="str">
        <x:v>2048000.0</x:v>
      </x:c>
      <x:c r="I766" s="2" t="str">
        <x:v>8192</x:v>
      </x:c>
      <x:c r="J766" s="2" t="str">
        <x:v>250.0</x:v>
      </x:c>
      <x:c r="K766" s="2" t="str">
        <x:v>3</x:v>
      </x:c>
      <x:c r="L766" s="2" t="str">
        <x:v>3</x:v>
      </x:c>
      <x:c r="M766" s="2" t="str">
        <x:v>3</x:v>
      </x:c>
      <x:c r="N766" s="2" t="str">
        <x:v>0</x:v>
      </x:c>
      <x:c r="O766" s="2" t="str">
        <x:v>0</x:v>
      </x:c>
      <x:c r="P766" s="2" t="str">
        <x:v>false</x:v>
      </x:c>
      <x:c r="Q766" s="2" t="str">
        <x:v>118.315987168;118.315987168;118.315987168</x:v>
      </x:c>
      <x:c r="R766" s="2" t="str">
        <x:v>0.4049580020364374</x:v>
      </x:c>
      <x:c r="S766" s="2" t="str">
        <x:v>46.465090069466385</x:v>
      </x:c>
    </x:row>
    <x:row r="767">
      <x:c r="A767" s="2" t="str">
        <x:v>DE-CMP-01</x:v>
      </x:c>
      <x:c r="B767" s="2" t="str">
        <x:v>CFG-C01</x:v>
      </x:c>
      <x:c r="C767" s="2" t="n">
        <x:v>46227.70238086805</x:v>
      </x:c>
      <x:c r="D767" s="2" t="str">
        <x:v>os_cfar</x:v>
      </x:c>
      <x:c r="E767" s="2" t="str">
        <x:v>multiple_carriers</x:v>
      </x:c>
      <x:c r="F767" s="2" t="str">
        <x:v>383</x:v>
      </x:c>
      <x:c r="G767" s="2" t="str">
        <x:v>3134286</x:v>
      </x:c>
      <x:c r="H767" s="2" t="str">
        <x:v>2048000.0</x:v>
      </x:c>
      <x:c r="I767" s="2" t="str">
        <x:v>8192</x:v>
      </x:c>
      <x:c r="J767" s="2" t="str">
        <x:v>250.0</x:v>
      </x:c>
      <x:c r="K767" s="2" t="str">
        <x:v>3</x:v>
      </x:c>
      <x:c r="L767" s="2" t="str">
        <x:v>3</x:v>
      </x:c>
      <x:c r="M767" s="2" t="str">
        <x:v>3</x:v>
      </x:c>
      <x:c r="N767" s="2" t="str">
        <x:v>0</x:v>
      </x:c>
      <x:c r="O767" s="2" t="str">
        <x:v>0</x:v>
      </x:c>
      <x:c r="P767" s="2" t="str">
        <x:v>false</x:v>
      </x:c>
      <x:c r="Q767" s="2" t="str">
        <x:v>118.315987168;118.315987168;118.315987168</x:v>
      </x:c>
      <x:c r="R767" s="2" t="str">
        <x:v>13.820583000779152</x:v>
      </x:c>
      <x:c r="S767" s="2" t="str">
        <x:v>48.2150832275638</x:v>
      </x:c>
    </x:row>
    <x:row r="768">
      <x:c r="A768" s="2" t="str">
        <x:v>DE-CMP-01</x:v>
      </x:c>
      <x:c r="B768" s="2" t="str">
        <x:v>CFG-C01</x:v>
      </x:c>
      <x:c r="C768" s="2" t="n">
        <x:v>46227.70238086805</x:v>
      </x:c>
      <x:c r="D768" s="2" t="str">
        <x:v>os_cfar</x:v>
      </x:c>
      <x:c r="E768" s="2" t="str">
        <x:v>multiple_carriers</x:v>
      </x:c>
      <x:c r="F768" s="2" t="str">
        <x:v>384</x:v>
      </x:c>
      <x:c r="G768" s="2" t="str">
        <x:v>3134287</x:v>
      </x:c>
      <x:c r="H768" s="2" t="str">
        <x:v>2048000.0</x:v>
      </x:c>
      <x:c r="I768" s="2" t="str">
        <x:v>8192</x:v>
      </x:c>
      <x:c r="J768" s="2" t="str">
        <x:v>250.0</x:v>
      </x:c>
      <x:c r="K768" s="2" t="str">
        <x:v>3</x:v>
      </x:c>
      <x:c r="L768" s="2" t="str">
        <x:v>3</x:v>
      </x:c>
      <x:c r="M768" s="2" t="str">
        <x:v>3</x:v>
      </x:c>
      <x:c r="N768" s="2" t="str">
        <x:v>0</x:v>
      </x:c>
      <x:c r="O768" s="2" t="str">
        <x:v>0</x:v>
      </x:c>
      <x:c r="P768" s="2" t="str">
        <x:v>false</x:v>
      </x:c>
      <x:c r="Q768" s="2" t="str">
        <x:v>-20.218485502;-20.218485502;-20.218485502</x:v>
      </x:c>
      <x:c r="R768" s="2" t="str">
        <x:v>13.760375004494563</x:v>
      </x:c>
      <x:c r="S768" s="2" t="str">
        <x:v>48.1731675689648</x:v>
      </x:c>
    </x:row>
    <x:row r="769">
      <x:c r="A769" s="2" t="str">
        <x:v>DE-CMP-01</x:v>
      </x:c>
      <x:c r="B769" s="2" t="str">
        <x:v>CFG-C01</x:v>
      </x:c>
      <x:c r="C769" s="2" t="n">
        <x:v>46227.70238086805</x:v>
      </x:c>
      <x:c r="D769" s="2" t="str">
        <x:v>adaptive</x:v>
      </x:c>
      <x:c r="E769" s="2" t="str">
        <x:v>multiple_carriers</x:v>
      </x:c>
      <x:c r="F769" s="2" t="str">
        <x:v>384</x:v>
      </x:c>
      <x:c r="G769" s="2" t="str">
        <x:v>3134287</x:v>
      </x:c>
      <x:c r="H769" s="2" t="str">
        <x:v>2048000.0</x:v>
      </x:c>
      <x:c r="I769" s="2" t="str">
        <x:v>8192</x:v>
      </x:c>
      <x:c r="J769" s="2" t="str">
        <x:v>250.0</x:v>
      </x:c>
      <x:c r="K769" s="2" t="str">
        <x:v>3</x:v>
      </x:c>
      <x:c r="L769" s="2" t="str">
        <x:v>3</x:v>
      </x:c>
      <x:c r="M769" s="2" t="str">
        <x:v>3</x:v>
      </x:c>
      <x:c r="N769" s="2" t="str">
        <x:v>0</x:v>
      </x:c>
      <x:c r="O769" s="2" t="str">
        <x:v>0</x:v>
      </x:c>
      <x:c r="P769" s="2" t="str">
        <x:v>false</x:v>
      </x:c>
      <x:c r="Q769" s="2" t="str">
        <x:v>-20.218485502;-20.218485502;-20.218485502</x:v>
      </x:c>
      <x:c r="R769" s="2" t="str">
        <x:v>0.4341669991845265</x:v>
      </x:c>
      <x:c r="S769" s="2" t="str">
        <x:v>46.34986649651842</x:v>
      </x:c>
    </x:row>
    <x:row r="770">
      <x:c r="A770" s="2" t="str">
        <x:v>DE-CMP-01</x:v>
      </x:c>
      <x:c r="B770" s="2" t="str">
        <x:v>CFG-C01</x:v>
      </x:c>
      <x:c r="C770" s="2" t="n">
        <x:v>46227.70238086805</x:v>
      </x:c>
      <x:c r="D770" s="2" t="str">
        <x:v>adaptive</x:v>
      </x:c>
      <x:c r="E770" s="2" t="str">
        <x:v>multiple_carriers</x:v>
      </x:c>
      <x:c r="F770" s="2" t="str">
        <x:v>385</x:v>
      </x:c>
      <x:c r="G770" s="2" t="str">
        <x:v>3134288</x:v>
      </x:c>
      <x:c r="H770" s="2" t="str">
        <x:v>2048000.0</x:v>
      </x:c>
      <x:c r="I770" s="2" t="str">
        <x:v>8192</x:v>
      </x:c>
      <x:c r="J770" s="2" t="str">
        <x:v>250.0</x:v>
      </x:c>
      <x:c r="K770" s="2" t="str">
        <x:v>3</x:v>
      </x:c>
      <x:c r="L770" s="2" t="str">
        <x:v>3</x:v>
      </x:c>
      <x:c r="M770" s="2" t="str">
        <x:v>3</x:v>
      </x:c>
      <x:c r="N770" s="2" t="str">
        <x:v>0</x:v>
      </x:c>
      <x:c r="O770" s="2" t="str">
        <x:v>0</x:v>
      </x:c>
      <x:c r="P770" s="2" t="str">
        <x:v>false</x:v>
      </x:c>
      <x:c r="Q770" s="2" t="str">
        <x:v>-11.021427424;-11.021427424;-11.021427424</x:v>
      </x:c>
      <x:c r="R770" s="2" t="str">
        <x:v>0.4012499994132668</x:v>
      </x:c>
      <x:c r="S770" s="2" t="str">
        <x:v>46.55366455514495</x:v>
      </x:c>
    </x:row>
    <x:row r="771">
      <x:c r="A771" s="2" t="str">
        <x:v>DE-CMP-01</x:v>
      </x:c>
      <x:c r="B771" s="2" t="str">
        <x:v>CFG-C01</x:v>
      </x:c>
      <x:c r="C771" s="2" t="n">
        <x:v>46227.70238086805</x:v>
      </x:c>
      <x:c r="D771" s="2" t="str">
        <x:v>os_cfar</x:v>
      </x:c>
      <x:c r="E771" s="2" t="str">
        <x:v>multiple_carriers</x:v>
      </x:c>
      <x:c r="F771" s="2" t="str">
        <x:v>385</x:v>
      </x:c>
      <x:c r="G771" s="2" t="str">
        <x:v>3134288</x:v>
      </x:c>
      <x:c r="H771" s="2" t="str">
        <x:v>2048000.0</x:v>
      </x:c>
      <x:c r="I771" s="2" t="str">
        <x:v>8192</x:v>
      </x:c>
      <x:c r="J771" s="2" t="str">
        <x:v>250.0</x:v>
      </x:c>
      <x:c r="K771" s="2" t="str">
        <x:v>3</x:v>
      </x:c>
      <x:c r="L771" s="2" t="str">
        <x:v>3</x:v>
      </x:c>
      <x:c r="M771" s="2" t="str">
        <x:v>3</x:v>
      </x:c>
      <x:c r="N771" s="2" t="str">
        <x:v>0</x:v>
      </x:c>
      <x:c r="O771" s="2" t="str">
        <x:v>0</x:v>
      </x:c>
      <x:c r="P771" s="2" t="str">
        <x:v>false</x:v>
      </x:c>
      <x:c r="Q771" s="2" t="str">
        <x:v>-11.021427424;-11.021427424;-11.021427424</x:v>
      </x:c>
      <x:c r="R771" s="2" t="str">
        <x:v>13.81745800608769</x:v>
      </x:c>
      <x:c r="S771" s="2" t="str">
        <x:v>48.300948434357764</x:v>
      </x:c>
    </x:row>
    <x:row r="772">
      <x:c r="A772" s="2" t="str">
        <x:v>DE-CMP-01</x:v>
      </x:c>
      <x:c r="B772" s="2" t="str">
        <x:v>CFG-C01</x:v>
      </x:c>
      <x:c r="C772" s="2" t="n">
        <x:v>46227.70238086805</x:v>
      </x:c>
      <x:c r="D772" s="2" t="str">
        <x:v>os_cfar</x:v>
      </x:c>
      <x:c r="E772" s="2" t="str">
        <x:v>multiple_carriers</x:v>
      </x:c>
      <x:c r="F772" s="2" t="str">
        <x:v>386</x:v>
      </x:c>
      <x:c r="G772" s="2" t="str">
        <x:v>3134289</x:v>
      </x:c>
      <x:c r="H772" s="2" t="str">
        <x:v>2048000.0</x:v>
      </x:c>
      <x:c r="I772" s="2" t="str">
        <x:v>8192</x:v>
      </x:c>
      <x:c r="J772" s="2" t="str">
        <x:v>250.0</x:v>
      </x:c>
      <x:c r="K772" s="2" t="str">
        <x:v>3</x:v>
      </x:c>
      <x:c r="L772" s="2" t="str">
        <x:v>3</x:v>
      </x:c>
      <x:c r="M772" s="2" t="str">
        <x:v>3</x:v>
      </x:c>
      <x:c r="N772" s="2" t="str">
        <x:v>0</x:v>
      </x:c>
      <x:c r="O772" s="2" t="str">
        <x:v>0</x:v>
      </x:c>
      <x:c r="P772" s="2" t="str">
        <x:v>false</x:v>
      </x:c>
      <x:c r="Q772" s="2" t="str">
        <x:v>-88.756474531;-88.756474531;-88.756474531</x:v>
      </x:c>
      <x:c r="R772" s="2" t="str">
        <x:v>14.13541700458154</x:v>
      </x:c>
      <x:c r="S772" s="2" t="str">
        <x:v>48.222915284303056</x:v>
      </x:c>
    </x:row>
    <x:row r="773">
      <x:c r="A773" s="2" t="str">
        <x:v>DE-CMP-01</x:v>
      </x:c>
      <x:c r="B773" s="2" t="str">
        <x:v>CFG-C01</x:v>
      </x:c>
      <x:c r="C773" s="2" t="n">
        <x:v>46227.70238086805</x:v>
      </x:c>
      <x:c r="D773" s="2" t="str">
        <x:v>adaptive</x:v>
      </x:c>
      <x:c r="E773" s="2" t="str">
        <x:v>multiple_carriers</x:v>
      </x:c>
      <x:c r="F773" s="2" t="str">
        <x:v>386</x:v>
      </x:c>
      <x:c r="G773" s="2" t="str">
        <x:v>3134289</x:v>
      </x:c>
      <x:c r="H773" s="2" t="str">
        <x:v>2048000.0</x:v>
      </x:c>
      <x:c r="I773" s="2" t="str">
        <x:v>8192</x:v>
      </x:c>
      <x:c r="J773" s="2" t="str">
        <x:v>250.0</x:v>
      </x:c>
      <x:c r="K773" s="2" t="str">
        <x:v>3</x:v>
      </x:c>
      <x:c r="L773" s="2" t="str">
        <x:v>3</x:v>
      </x:c>
      <x:c r="M773" s="2" t="str">
        <x:v>3</x:v>
      </x:c>
      <x:c r="N773" s="2" t="str">
        <x:v>0</x:v>
      </x:c>
      <x:c r="O773" s="2" t="str">
        <x:v>0</x:v>
      </x:c>
      <x:c r="P773" s="2" t="str">
        <x:v>false</x:v>
      </x:c>
      <x:c r="Q773" s="2" t="str">
        <x:v>-88.756474531;-88.756474531;-88.756474531</x:v>
      </x:c>
      <x:c r="R773" s="2" t="str">
        <x:v>0.4320419975556433</x:v>
      </x:c>
      <x:c r="S773" s="2" t="str">
        <x:v>46.259661498754106</x:v>
      </x:c>
    </x:row>
    <x:row r="774">
      <x:c r="A774" s="2" t="str">
        <x:v>DE-CMP-01</x:v>
      </x:c>
      <x:c r="B774" s="2" t="str">
        <x:v>CFG-C01</x:v>
      </x:c>
      <x:c r="C774" s="2" t="n">
        <x:v>46227.70238086805</x:v>
      </x:c>
      <x:c r="D774" s="2" t="str">
        <x:v>adaptive</x:v>
      </x:c>
      <x:c r="E774" s="2" t="str">
        <x:v>multiple_carriers</x:v>
      </x:c>
      <x:c r="F774" s="2" t="str">
        <x:v>387</x:v>
      </x:c>
      <x:c r="G774" s="2" t="str">
        <x:v>3134290</x:v>
      </x:c>
      <x:c r="H774" s="2" t="str">
        <x:v>2048000.0</x:v>
      </x:c>
      <x:c r="I774" s="2" t="str">
        <x:v>8192</x:v>
      </x:c>
      <x:c r="J774" s="2" t="str">
        <x:v>250.0</x:v>
      </x:c>
      <x:c r="K774" s="2" t="str">
        <x:v>3</x:v>
      </x:c>
      <x:c r="L774" s="2" t="str">
        <x:v>3</x:v>
      </x:c>
      <x:c r="M774" s="2" t="str">
        <x:v>3</x:v>
      </x:c>
      <x:c r="N774" s="2" t="str">
        <x:v>0</x:v>
      </x:c>
      <x:c r="O774" s="2" t="str">
        <x:v>0</x:v>
      </x:c>
      <x:c r="P774" s="2" t="str">
        <x:v>false</x:v>
      </x:c>
      <x:c r="Q774" s="2" t="str">
        <x:v>-51.330836494;-51.330836494;-51.330836494</x:v>
      </x:c>
      <x:c r="R774" s="2" t="str">
        <x:v>0.42666700028348714</x:v>
      </x:c>
      <x:c r="S774" s="2" t="str">
        <x:v>46.56936894313985</x:v>
      </x:c>
    </x:row>
    <x:row r="775">
      <x:c r="A775" s="2" t="str">
        <x:v>DE-CMP-01</x:v>
      </x:c>
      <x:c r="B775" s="2" t="str">
        <x:v>CFG-C01</x:v>
      </x:c>
      <x:c r="C775" s="2" t="n">
        <x:v>46227.70238086805</x:v>
      </x:c>
      <x:c r="D775" s="2" t="str">
        <x:v>os_cfar</x:v>
      </x:c>
      <x:c r="E775" s="2" t="str">
        <x:v>multiple_carriers</x:v>
      </x:c>
      <x:c r="F775" s="2" t="str">
        <x:v>387</x:v>
      </x:c>
      <x:c r="G775" s="2" t="str">
        <x:v>3134290</x:v>
      </x:c>
      <x:c r="H775" s="2" t="str">
        <x:v>2048000.0</x:v>
      </x:c>
      <x:c r="I775" s="2" t="str">
        <x:v>8192</x:v>
      </x:c>
      <x:c r="J775" s="2" t="str">
        <x:v>250.0</x:v>
      </x:c>
      <x:c r="K775" s="2" t="str">
        <x:v>3</x:v>
      </x:c>
      <x:c r="L775" s="2" t="str">
        <x:v>3</x:v>
      </x:c>
      <x:c r="M775" s="2" t="str">
        <x:v>3</x:v>
      </x:c>
      <x:c r="N775" s="2" t="str">
        <x:v>0</x:v>
      </x:c>
      <x:c r="O775" s="2" t="str">
        <x:v>0</x:v>
      </x:c>
      <x:c r="P775" s="2" t="str">
        <x:v>false</x:v>
      </x:c>
      <x:c r="Q775" s="2" t="str">
        <x:v>-51.330836494;-51.330836494;-51.330836494</x:v>
      </x:c>
      <x:c r="R775" s="2" t="str">
        <x:v>13.809416996082291</x:v>
      </x:c>
      <x:c r="S775" s="2" t="str">
        <x:v>48.24947167299982</x:v>
      </x:c>
    </x:row>
    <x:row r="776">
      <x:c r="A776" s="2" t="str">
        <x:v>DE-CMP-01</x:v>
      </x:c>
      <x:c r="B776" s="2" t="str">
        <x:v>CFG-C01</x:v>
      </x:c>
      <x:c r="C776" s="2" t="n">
        <x:v>46227.70238086805</x:v>
      </x:c>
      <x:c r="D776" s="2" t="str">
        <x:v>os_cfar</x:v>
      </x:c>
      <x:c r="E776" s="2" t="str">
        <x:v>multiple_carriers</x:v>
      </x:c>
      <x:c r="F776" s="2" t="str">
        <x:v>388</x:v>
      </x:c>
      <x:c r="G776" s="2" t="str">
        <x:v>3134291</x:v>
      </x:c>
      <x:c r="H776" s="2" t="str">
        <x:v>2048000.0</x:v>
      </x:c>
      <x:c r="I776" s="2" t="str">
        <x:v>8192</x:v>
      </x:c>
      <x:c r="J776" s="2" t="str">
        <x:v>250.0</x:v>
      </x:c>
      <x:c r="K776" s="2" t="str">
        <x:v>3</x:v>
      </x:c>
      <x:c r="L776" s="2" t="str">
        <x:v>3</x:v>
      </x:c>
      <x:c r="M776" s="2" t="str">
        <x:v>3</x:v>
      </x:c>
      <x:c r="N776" s="2" t="str">
        <x:v>0</x:v>
      </x:c>
      <x:c r="O776" s="2" t="str">
        <x:v>0</x:v>
      </x:c>
      <x:c r="P776" s="2" t="str">
        <x:v>false</x:v>
      </x:c>
      <x:c r="Q776" s="2" t="str">
        <x:v>27.182585477;27.182585477;27.182585477</x:v>
      </x:c>
      <x:c r="R776" s="2" t="str">
        <x:v>13.951458007795736</x:v>
      </x:c>
      <x:c r="S776" s="2" t="str">
        <x:v>48.36310820959447</x:v>
      </x:c>
    </x:row>
    <x:row r="777">
      <x:c r="A777" s="2" t="str">
        <x:v>DE-CMP-01</x:v>
      </x:c>
      <x:c r="B777" s="2" t="str">
        <x:v>CFG-C01</x:v>
      </x:c>
      <x:c r="C777" s="2" t="n">
        <x:v>46227.70238086805</x:v>
      </x:c>
      <x:c r="D777" s="2" t="str">
        <x:v>adaptive</x:v>
      </x:c>
      <x:c r="E777" s="2" t="str">
        <x:v>multiple_carriers</x:v>
      </x:c>
      <x:c r="F777" s="2" t="str">
        <x:v>388</x:v>
      </x:c>
      <x:c r="G777" s="2" t="str">
        <x:v>3134291</x:v>
      </x:c>
      <x:c r="H777" s="2" t="str">
        <x:v>2048000.0</x:v>
      </x:c>
      <x:c r="I777" s="2" t="str">
        <x:v>8192</x:v>
      </x:c>
      <x:c r="J777" s="2" t="str">
        <x:v>250.0</x:v>
      </x:c>
      <x:c r="K777" s="2" t="str">
        <x:v>3</x:v>
      </x:c>
      <x:c r="L777" s="2" t="str">
        <x:v>3</x:v>
      </x:c>
      <x:c r="M777" s="2" t="str">
        <x:v>3</x:v>
      </x:c>
      <x:c r="N777" s="2" t="str">
        <x:v>0</x:v>
      </x:c>
      <x:c r="O777" s="2" t="str">
        <x:v>0</x:v>
      </x:c>
      <x:c r="P777" s="2" t="str">
        <x:v>false</x:v>
      </x:c>
      <x:c r="Q777" s="2" t="str">
        <x:v>27.182585477;27.182585477;27.182585477</x:v>
      </x:c>
      <x:c r="R777" s="2" t="str">
        <x:v>0.40712500049266964</x:v>
      </x:c>
      <x:c r="S777" s="2" t="str">
        <x:v>46.620285361031186</x:v>
      </x:c>
    </x:row>
    <x:row r="778">
      <x:c r="A778" s="2" t="str">
        <x:v>DE-CMP-01</x:v>
      </x:c>
      <x:c r="B778" s="2" t="str">
        <x:v>CFG-C01</x:v>
      </x:c>
      <x:c r="C778" s="2" t="n">
        <x:v>46227.70238086805</x:v>
      </x:c>
      <x:c r="D778" s="2" t="str">
        <x:v>adaptive</x:v>
      </x:c>
      <x:c r="E778" s="2" t="str">
        <x:v>multiple_carriers</x:v>
      </x:c>
      <x:c r="F778" s="2" t="str">
        <x:v>389</x:v>
      </x:c>
      <x:c r="G778" s="2" t="str">
        <x:v>3134292</x:v>
      </x:c>
      <x:c r="H778" s="2" t="str">
        <x:v>2048000.0</x:v>
      </x:c>
      <x:c r="I778" s="2" t="str">
        <x:v>8192</x:v>
      </x:c>
      <x:c r="J778" s="2" t="str">
        <x:v>250.0</x:v>
      </x:c>
      <x:c r="K778" s="2" t="str">
        <x:v>3</x:v>
      </x:c>
      <x:c r="L778" s="2" t="str">
        <x:v>3</x:v>
      </x:c>
      <x:c r="M778" s="2" t="str">
        <x:v>3</x:v>
      </x:c>
      <x:c r="N778" s="2" t="str">
        <x:v>0</x:v>
      </x:c>
      <x:c r="O778" s="2" t="str">
        <x:v>0</x:v>
      </x:c>
      <x:c r="P778" s="2" t="str">
        <x:v>false</x:v>
      </x:c>
      <x:c r="Q778" s="2" t="str">
        <x:v>124.901435183;124.901435183;-125.098564817</x:v>
      </x:c>
      <x:c r="R778" s="2" t="str">
        <x:v>0.4216249944875017</x:v>
      </x:c>
      <x:c r="S778" s="2" t="str">
        <x:v>46.23430454246912</x:v>
      </x:c>
    </x:row>
    <x:row r="779">
      <x:c r="A779" s="2" t="str">
        <x:v>DE-CMP-01</x:v>
      </x:c>
      <x:c r="B779" s="2" t="str">
        <x:v>CFG-C01</x:v>
      </x:c>
      <x:c r="C779" s="2" t="n">
        <x:v>46227.70238086805</x:v>
      </x:c>
      <x:c r="D779" s="2" t="str">
        <x:v>os_cfar</x:v>
      </x:c>
      <x:c r="E779" s="2" t="str">
        <x:v>multiple_carriers</x:v>
      </x:c>
      <x:c r="F779" s="2" t="str">
        <x:v>389</x:v>
      </x:c>
      <x:c r="G779" s="2" t="str">
        <x:v>3134292</x:v>
      </x:c>
      <x:c r="H779" s="2" t="str">
        <x:v>2048000.0</x:v>
      </x:c>
      <x:c r="I779" s="2" t="str">
        <x:v>8192</x:v>
      </x:c>
      <x:c r="J779" s="2" t="str">
        <x:v>250.0</x:v>
      </x:c>
      <x:c r="K779" s="2" t="str">
        <x:v>3</x:v>
      </x:c>
      <x:c r="L779" s="2" t="str">
        <x:v>3</x:v>
      </x:c>
      <x:c r="M779" s="2" t="str">
        <x:v>3</x:v>
      </x:c>
      <x:c r="N779" s="2" t="str">
        <x:v>0</x:v>
      </x:c>
      <x:c r="O779" s="2" t="str">
        <x:v>0</x:v>
      </x:c>
      <x:c r="P779" s="2" t="str">
        <x:v>false</x:v>
      </x:c>
      <x:c r="Q779" s="2" t="str">
        <x:v>124.901435183;124.901435183;-125.098564817</x:v>
      </x:c>
      <x:c r="R779" s="2" t="str">
        <x:v>13.820583000779152</x:v>
      </x:c>
      <x:c r="S779" s="2" t="str">
        <x:v>48.07718995727952</x:v>
      </x:c>
    </x:row>
    <x:row r="780">
      <x:c r="A780" s="2" t="str">
        <x:v>DE-CMP-01</x:v>
      </x:c>
      <x:c r="B780" s="2" t="str">
        <x:v>CFG-C01</x:v>
      </x:c>
      <x:c r="C780" s="2" t="n">
        <x:v>46227.70238086805</x:v>
      </x:c>
      <x:c r="D780" s="2" t="str">
        <x:v>os_cfar</x:v>
      </x:c>
      <x:c r="E780" s="2" t="str">
        <x:v>multiple_carriers</x:v>
      </x:c>
      <x:c r="F780" s="2" t="str">
        <x:v>390</x:v>
      </x:c>
      <x:c r="G780" s="2" t="str">
        <x:v>3134293</x:v>
      </x:c>
      <x:c r="H780" s="2" t="str">
        <x:v>2048000.0</x:v>
      </x:c>
      <x:c r="I780" s="2" t="str">
        <x:v>8192</x:v>
      </x:c>
      <x:c r="J780" s="2" t="str">
        <x:v>250.0</x:v>
      </x:c>
      <x:c r="K780" s="2" t="str">
        <x:v>3</x:v>
      </x:c>
      <x:c r="L780" s="2" t="str">
        <x:v>3</x:v>
      </x:c>
      <x:c r="M780" s="2" t="str">
        <x:v>3</x:v>
      </x:c>
      <x:c r="N780" s="2" t="str">
        <x:v>0</x:v>
      </x:c>
      <x:c r="O780" s="2" t="str">
        <x:v>0</x:v>
      </x:c>
      <x:c r="P780" s="2" t="str">
        <x:v>false</x:v>
      </x:c>
      <x:c r="Q780" s="2" t="str">
        <x:v>110.113964217;110.113964217;-139.886035783</x:v>
      </x:c>
      <x:c r="R780" s="2" t="str">
        <x:v>13.80641599826049</x:v>
      </x:c>
      <x:c r="S780" s="2" t="str">
        <x:v>48.27547050260855</x:v>
      </x:c>
    </x:row>
    <x:row r="781">
      <x:c r="A781" s="2" t="str">
        <x:v>DE-CMP-01</x:v>
      </x:c>
      <x:c r="B781" s="2" t="str">
        <x:v>CFG-C01</x:v>
      </x:c>
      <x:c r="C781" s="2" t="n">
        <x:v>46227.70238086805</x:v>
      </x:c>
      <x:c r="D781" s="2" t="str">
        <x:v>adaptive</x:v>
      </x:c>
      <x:c r="E781" s="2" t="str">
        <x:v>multiple_carriers</x:v>
      </x:c>
      <x:c r="F781" s="2" t="str">
        <x:v>390</x:v>
      </x:c>
      <x:c r="G781" s="2" t="str">
        <x:v>3134293</x:v>
      </x:c>
      <x:c r="H781" s="2" t="str">
        <x:v>2048000.0</x:v>
      </x:c>
      <x:c r="I781" s="2" t="str">
        <x:v>8192</x:v>
      </x:c>
      <x:c r="J781" s="2" t="str">
        <x:v>250.0</x:v>
      </x:c>
      <x:c r="K781" s="2" t="str">
        <x:v>3</x:v>
      </x:c>
      <x:c r="L781" s="2" t="str">
        <x:v>3</x:v>
      </x:c>
      <x:c r="M781" s="2" t="str">
        <x:v>3</x:v>
      </x:c>
      <x:c r="N781" s="2" t="str">
        <x:v>0</x:v>
      </x:c>
      <x:c r="O781" s="2" t="str">
        <x:v>0</x:v>
      </x:c>
      <x:c r="P781" s="2" t="str">
        <x:v>false</x:v>
      </x:c>
      <x:c r="Q781" s="2" t="str">
        <x:v>110.113964217;110.113964217;-139.886035783</x:v>
      </x:c>
      <x:c r="R781" s="2" t="str">
        <x:v>0.4228750040056184</x:v>
      </x:c>
      <x:c r="S781" s="2" t="str">
        <x:v>46.581060487741816</x:v>
      </x:c>
    </x:row>
    <x:row r="782">
      <x:c r="A782" s="2" t="str">
        <x:v>DE-CMP-01</x:v>
      </x:c>
      <x:c r="B782" s="2" t="str">
        <x:v>CFG-C01</x:v>
      </x:c>
      <x:c r="C782" s="2" t="n">
        <x:v>46227.70238086805</x:v>
      </x:c>
      <x:c r="D782" s="2" t="str">
        <x:v>adaptive</x:v>
      </x:c>
      <x:c r="E782" s="2" t="str">
        <x:v>multiple_carriers</x:v>
      </x:c>
      <x:c r="F782" s="2" t="str">
        <x:v>391</x:v>
      </x:c>
      <x:c r="G782" s="2" t="str">
        <x:v>3134294</x:v>
      </x:c>
      <x:c r="H782" s="2" t="str">
        <x:v>2048000.0</x:v>
      </x:c>
      <x:c r="I782" s="2" t="str">
        <x:v>8192</x:v>
      </x:c>
      <x:c r="J782" s="2" t="str">
        <x:v>250.0</x:v>
      </x:c>
      <x:c r="K782" s="2" t="str">
        <x:v>3</x:v>
      </x:c>
      <x:c r="L782" s="2" t="str">
        <x:v>3</x:v>
      </x:c>
      <x:c r="M782" s="2" t="str">
        <x:v>3</x:v>
      </x:c>
      <x:c r="N782" s="2" t="str">
        <x:v>0</x:v>
      </x:c>
      <x:c r="O782" s="2" t="str">
        <x:v>0</x:v>
      </x:c>
      <x:c r="P782" s="2" t="str">
        <x:v>false</x:v>
      </x:c>
      <x:c r="Q782" s="2" t="str">
        <x:v>84.106169427;84.106169427;84.106169427</x:v>
      </x:c>
      <x:c r="R782" s="2" t="str">
        <x:v>0.4378749872557819</x:v>
      </x:c>
      <x:c r="S782" s="2" t="str">
        <x:v>46.528747801911756</x:v>
      </x:c>
    </x:row>
    <x:row r="783">
      <x:c r="A783" s="2" t="str">
        <x:v>DE-CMP-01</x:v>
      </x:c>
      <x:c r="B783" s="2" t="str">
        <x:v>CFG-C01</x:v>
      </x:c>
      <x:c r="C783" s="2" t="n">
        <x:v>46227.70238086805</x:v>
      </x:c>
      <x:c r="D783" s="2" t="str">
        <x:v>os_cfar</x:v>
      </x:c>
      <x:c r="E783" s="2" t="str">
        <x:v>multiple_carriers</x:v>
      </x:c>
      <x:c r="F783" s="2" t="str">
        <x:v>391</x:v>
      </x:c>
      <x:c r="G783" s="2" t="str">
        <x:v>3134294</x:v>
      </x:c>
      <x:c r="H783" s="2" t="str">
        <x:v>2048000.0</x:v>
      </x:c>
      <x:c r="I783" s="2" t="str">
        <x:v>8192</x:v>
      </x:c>
      <x:c r="J783" s="2" t="str">
        <x:v>250.0</x:v>
      </x:c>
      <x:c r="K783" s="2" t="str">
        <x:v>3</x:v>
      </x:c>
      <x:c r="L783" s="2" t="str">
        <x:v>3</x:v>
      </x:c>
      <x:c r="M783" s="2" t="str">
        <x:v>3</x:v>
      </x:c>
      <x:c r="N783" s="2" t="str">
        <x:v>0</x:v>
      </x:c>
      <x:c r="O783" s="2" t="str">
        <x:v>0</x:v>
      </x:c>
      <x:c r="P783" s="2" t="str">
        <x:v>false</x:v>
      </x:c>
      <x:c r="Q783" s="2" t="str">
        <x:v>84.106169427;84.106169427;84.106169427</x:v>
      </x:c>
      <x:c r="R783" s="2" t="str">
        <x:v>13.714708999032155</x:v>
      </x:c>
      <x:c r="S783" s="2" t="str">
        <x:v>48.20727788710982</x:v>
      </x:c>
    </x:row>
    <x:row r="784">
      <x:c r="A784" s="2" t="str">
        <x:v>DE-CMP-01</x:v>
      </x:c>
      <x:c r="B784" s="2" t="str">
        <x:v>CFG-C01</x:v>
      </x:c>
      <x:c r="C784" s="2" t="n">
        <x:v>46227.70238086805</x:v>
      </x:c>
      <x:c r="D784" s="2" t="str">
        <x:v>os_cfar</x:v>
      </x:c>
      <x:c r="E784" s="2" t="str">
        <x:v>multiple_carriers</x:v>
      </x:c>
      <x:c r="F784" s="2" t="str">
        <x:v>392</x:v>
      </x:c>
      <x:c r="G784" s="2" t="str">
        <x:v>3134295</x:v>
      </x:c>
      <x:c r="H784" s="2" t="str">
        <x:v>2048000.0</x:v>
      </x:c>
      <x:c r="I784" s="2" t="str">
        <x:v>8192</x:v>
      </x:c>
      <x:c r="J784" s="2" t="str">
        <x:v>250.0</x:v>
      </x:c>
      <x:c r="K784" s="2" t="str">
        <x:v>3</x:v>
      </x:c>
      <x:c r="L784" s="2" t="str">
        <x:v>3</x:v>
      </x:c>
      <x:c r="M784" s="2" t="str">
        <x:v>3</x:v>
      </x:c>
      <x:c r="N784" s="2" t="str">
        <x:v>0</x:v>
      </x:c>
      <x:c r="O784" s="2" t="str">
        <x:v>0</x:v>
      </x:c>
      <x:c r="P784" s="2" t="str">
        <x:v>false</x:v>
      </x:c>
      <x:c r="Q784" s="2" t="str">
        <x:v>36.700727758;36.700727758;36.700727758</x:v>
      </x:c>
      <x:c r="R784" s="2" t="str">
        <x:v>13.792541009024717</x:v>
      </x:c>
      <x:c r="S784" s="2" t="str">
        <x:v>48.27768081877586</x:v>
      </x:c>
    </x:row>
    <x:row r="785">
      <x:c r="A785" s="2" t="str">
        <x:v>DE-CMP-01</x:v>
      </x:c>
      <x:c r="B785" s="2" t="str">
        <x:v>CFG-C01</x:v>
      </x:c>
      <x:c r="C785" s="2" t="n">
        <x:v>46227.70238086805</x:v>
      </x:c>
      <x:c r="D785" s="2" t="str">
        <x:v>adaptive</x:v>
      </x:c>
      <x:c r="E785" s="2" t="str">
        <x:v>multiple_carriers</x:v>
      </x:c>
      <x:c r="F785" s="2" t="str">
        <x:v>392</x:v>
      </x:c>
      <x:c r="G785" s="2" t="str">
        <x:v>3134295</x:v>
      </x:c>
      <x:c r="H785" s="2" t="str">
        <x:v>2048000.0</x:v>
      </x:c>
      <x:c r="I785" s="2" t="str">
        <x:v>8192</x:v>
      </x:c>
      <x:c r="J785" s="2" t="str">
        <x:v>250.0</x:v>
      </x:c>
      <x:c r="K785" s="2" t="str">
        <x:v>3</x:v>
      </x:c>
      <x:c r="L785" s="2" t="str">
        <x:v>3</x:v>
      </x:c>
      <x:c r="M785" s="2" t="str">
        <x:v>3</x:v>
      </x:c>
      <x:c r="N785" s="2" t="str">
        <x:v>0</x:v>
      </x:c>
      <x:c r="O785" s="2" t="str">
        <x:v>0</x:v>
      </x:c>
      <x:c r="P785" s="2" t="str">
        <x:v>false</x:v>
      </x:c>
      <x:c r="Q785" s="2" t="str">
        <x:v>36.700727758;36.700727758;36.700727758</x:v>
      </x:c>
      <x:c r="R785" s="2" t="str">
        <x:v>0.41516700002830476</x:v>
      </x:c>
      <x:c r="S785" s="2" t="str">
        <x:v>46.678006395212186</x:v>
      </x:c>
    </x:row>
    <x:row r="786">
      <x:c r="A786" s="2" t="str">
        <x:v>DE-CMP-01</x:v>
      </x:c>
      <x:c r="B786" s="2" t="str">
        <x:v>CFG-C01</x:v>
      </x:c>
      <x:c r="C786" s="2" t="n">
        <x:v>46227.70238086805</x:v>
      </x:c>
      <x:c r="D786" s="2" t="str">
        <x:v>adaptive</x:v>
      </x:c>
      <x:c r="E786" s="2" t="str">
        <x:v>multiple_carriers</x:v>
      </x:c>
      <x:c r="F786" s="2" t="str">
        <x:v>393</x:v>
      </x:c>
      <x:c r="G786" s="2" t="str">
        <x:v>3134296</x:v>
      </x:c>
      <x:c r="H786" s="2" t="str">
        <x:v>2048000.0</x:v>
      </x:c>
      <x:c r="I786" s="2" t="str">
        <x:v>8192</x:v>
      </x:c>
      <x:c r="J786" s="2" t="str">
        <x:v>250.0</x:v>
      </x:c>
      <x:c r="K786" s="2" t="str">
        <x:v>3</x:v>
      </x:c>
      <x:c r="L786" s="2" t="str">
        <x:v>3</x:v>
      </x:c>
      <x:c r="M786" s="2" t="str">
        <x:v>3</x:v>
      </x:c>
      <x:c r="N786" s="2" t="str">
        <x:v>0</x:v>
      </x:c>
      <x:c r="O786" s="2" t="str">
        <x:v>0</x:v>
      </x:c>
      <x:c r="P786" s="2" t="str">
        <x:v>false</x:v>
      </x:c>
      <x:c r="Q786" s="2" t="str">
        <x:v>107.910994281;107.910994281;107.910994281</x:v>
      </x:c>
      <x:c r="R786" s="2" t="str">
        <x:v>0.41420801426284015</x:v>
      </x:c>
      <x:c r="S786" s="2" t="str">
        <x:v>46.25606351749819</x:v>
      </x:c>
    </x:row>
    <x:row r="787">
      <x:c r="A787" s="2" t="str">
        <x:v>DE-CMP-01</x:v>
      </x:c>
      <x:c r="B787" s="2" t="str">
        <x:v>CFG-C01</x:v>
      </x:c>
      <x:c r="C787" s="2" t="n">
        <x:v>46227.70238086805</x:v>
      </x:c>
      <x:c r="D787" s="2" t="str">
        <x:v>os_cfar</x:v>
      </x:c>
      <x:c r="E787" s="2" t="str">
        <x:v>multiple_carriers</x:v>
      </x:c>
      <x:c r="F787" s="2" t="str">
        <x:v>393</x:v>
      </x:c>
      <x:c r="G787" s="2" t="str">
        <x:v>3134296</x:v>
      </x:c>
      <x:c r="H787" s="2" t="str">
        <x:v>2048000.0</x:v>
      </x:c>
      <x:c r="I787" s="2" t="str">
        <x:v>8192</x:v>
      </x:c>
      <x:c r="J787" s="2" t="str">
        <x:v>250.0</x:v>
      </x:c>
      <x:c r="K787" s="2" t="str">
        <x:v>3</x:v>
      </x:c>
      <x:c r="L787" s="2" t="str">
        <x:v>3</x:v>
      </x:c>
      <x:c r="M787" s="2" t="str">
        <x:v>3</x:v>
      </x:c>
      <x:c r="N787" s="2" t="str">
        <x:v>0</x:v>
      </x:c>
      <x:c r="O787" s="2" t="str">
        <x:v>0</x:v>
      </x:c>
      <x:c r="P787" s="2" t="str">
        <x:v>false</x:v>
      </x:c>
      <x:c r="Q787" s="2" t="str">
        <x:v>107.910994281;107.910994281;107.910994281</x:v>
      </x:c>
      <x:c r="R787" s="2" t="str">
        <x:v>13.765291994786821</x:v>
      </x:c>
      <x:c r="S787" s="2" t="str">
        <x:v>48.161495237050545</x:v>
      </x:c>
    </x:row>
    <x:row r="788">
      <x:c r="A788" s="2" t="str">
        <x:v>DE-CMP-01</x:v>
      </x:c>
      <x:c r="B788" s="2" t="str">
        <x:v>CFG-C01</x:v>
      </x:c>
      <x:c r="C788" s="2" t="n">
        <x:v>46227.70238086805</x:v>
      </x:c>
      <x:c r="D788" s="2" t="str">
        <x:v>os_cfar</x:v>
      </x:c>
      <x:c r="E788" s="2" t="str">
        <x:v>multiple_carriers</x:v>
      </x:c>
      <x:c r="F788" s="2" t="str">
        <x:v>394</x:v>
      </x:c>
      <x:c r="G788" s="2" t="str">
        <x:v>3134297</x:v>
      </x:c>
      <x:c r="H788" s="2" t="str">
        <x:v>2048000.0</x:v>
      </x:c>
      <x:c r="I788" s="2" t="str">
        <x:v>8192</x:v>
      </x:c>
      <x:c r="J788" s="2" t="str">
        <x:v>250.0</x:v>
      </x:c>
      <x:c r="K788" s="2" t="str">
        <x:v>3</x:v>
      </x:c>
      <x:c r="L788" s="2" t="str">
        <x:v>3</x:v>
      </x:c>
      <x:c r="M788" s="2" t="str">
        <x:v>3</x:v>
      </x:c>
      <x:c r="N788" s="2" t="str">
        <x:v>0</x:v>
      </x:c>
      <x:c r="O788" s="2" t="str">
        <x:v>0</x:v>
      </x:c>
      <x:c r="P788" s="2" t="str">
        <x:v>false</x:v>
      </x:c>
      <x:c r="Q788" s="2" t="str">
        <x:v>55.376855311;55.376855311;55.376855311</x:v>
      </x:c>
      <x:c r="R788" s="2" t="str">
        <x:v>13.89729100628756</x:v>
      </x:c>
      <x:c r="S788" s="2" t="str">
        <x:v>48.27731469324511</x:v>
      </x:c>
    </x:row>
    <x:row r="789">
      <x:c r="A789" s="2" t="str">
        <x:v>DE-CMP-01</x:v>
      </x:c>
      <x:c r="B789" s="2" t="str">
        <x:v>CFG-C01</x:v>
      </x:c>
      <x:c r="C789" s="2" t="n">
        <x:v>46227.70238086805</x:v>
      </x:c>
      <x:c r="D789" s="2" t="str">
        <x:v>adaptive</x:v>
      </x:c>
      <x:c r="E789" s="2" t="str">
        <x:v>multiple_carriers</x:v>
      </x:c>
      <x:c r="F789" s="2" t="str">
        <x:v>394</x:v>
      </x:c>
      <x:c r="G789" s="2" t="str">
        <x:v>3134297</x:v>
      </x:c>
      <x:c r="H789" s="2" t="str">
        <x:v>2048000.0</x:v>
      </x:c>
      <x:c r="I789" s="2" t="str">
        <x:v>8192</x:v>
      </x:c>
      <x:c r="J789" s="2" t="str">
        <x:v>250.0</x:v>
      </x:c>
      <x:c r="K789" s="2" t="str">
        <x:v>3</x:v>
      </x:c>
      <x:c r="L789" s="2" t="str">
        <x:v>3</x:v>
      </x:c>
      <x:c r="M789" s="2" t="str">
        <x:v>3</x:v>
      </x:c>
      <x:c r="N789" s="2" t="str">
        <x:v>0</x:v>
      </x:c>
      <x:c r="O789" s="2" t="str">
        <x:v>0</x:v>
      </x:c>
      <x:c r="P789" s="2" t="str">
        <x:v>false</x:v>
      </x:c>
      <x:c r="Q789" s="2" t="str">
        <x:v>55.376855311;55.376855311;55.376855311</x:v>
      </x:c>
      <x:c r="R789" s="2" t="str">
        <x:v>0.4317089915275574</x:v>
      </x:c>
      <x:c r="S789" s="2" t="str">
        <x:v>46.53041068444412</x:v>
      </x:c>
    </x:row>
    <x:row r="790">
      <x:c r="A790" s="2" t="str">
        <x:v>DE-CMP-01</x:v>
      </x:c>
      <x:c r="B790" s="2" t="str">
        <x:v>CFG-C01</x:v>
      </x:c>
      <x:c r="C790" s="2" t="n">
        <x:v>46227.70238086805</x:v>
      </x:c>
      <x:c r="D790" s="2" t="str">
        <x:v>adaptive</x:v>
      </x:c>
      <x:c r="E790" s="2" t="str">
        <x:v>multiple_carriers</x:v>
      </x:c>
      <x:c r="F790" s="2" t="str">
        <x:v>395</x:v>
      </x:c>
      <x:c r="G790" s="2" t="str">
        <x:v>3134298</x:v>
      </x:c>
      <x:c r="H790" s="2" t="str">
        <x:v>2048000.0</x:v>
      </x:c>
      <x:c r="I790" s="2" t="str">
        <x:v>8192</x:v>
      </x:c>
      <x:c r="J790" s="2" t="str">
        <x:v>250.0</x:v>
      </x:c>
      <x:c r="K790" s="2" t="str">
        <x:v>3</x:v>
      </x:c>
      <x:c r="L790" s="2" t="str">
        <x:v>3</x:v>
      </x:c>
      <x:c r="M790" s="2" t="str">
        <x:v>3</x:v>
      </x:c>
      <x:c r="N790" s="2" t="str">
        <x:v>0</x:v>
      </x:c>
      <x:c r="O790" s="2" t="str">
        <x:v>0</x:v>
      </x:c>
      <x:c r="P790" s="2" t="str">
        <x:v>false</x:v>
      </x:c>
      <x:c r="Q790" s="2" t="str">
        <x:v>73.465828414;73.465828414;73.465828414</x:v>
      </x:c>
      <x:c r="R790" s="2" t="str">
        <x:v>0.40487501246389</x:v>
      </x:c>
      <x:c r="S790" s="2" t="str">
        <x:v>46.348440545371</x:v>
      </x:c>
    </x:row>
    <x:row r="791">
      <x:c r="A791" s="2" t="str">
        <x:v>DE-CMP-01</x:v>
      </x:c>
      <x:c r="B791" s="2" t="str">
        <x:v>CFG-C01</x:v>
      </x:c>
      <x:c r="C791" s="2" t="n">
        <x:v>46227.70238086805</x:v>
      </x:c>
      <x:c r="D791" s="2" t="str">
        <x:v>os_cfar</x:v>
      </x:c>
      <x:c r="E791" s="2" t="str">
        <x:v>multiple_carriers</x:v>
      </x:c>
      <x:c r="F791" s="2" t="str">
        <x:v>395</x:v>
      </x:c>
      <x:c r="G791" s="2" t="str">
        <x:v>3134298</x:v>
      </x:c>
      <x:c r="H791" s="2" t="str">
        <x:v>2048000.0</x:v>
      </x:c>
      <x:c r="I791" s="2" t="str">
        <x:v>8192</x:v>
      </x:c>
      <x:c r="J791" s="2" t="str">
        <x:v>250.0</x:v>
      </x:c>
      <x:c r="K791" s="2" t="str">
        <x:v>3</x:v>
      </x:c>
      <x:c r="L791" s="2" t="str">
        <x:v>3</x:v>
      </x:c>
      <x:c r="M791" s="2" t="str">
        <x:v>3</x:v>
      </x:c>
      <x:c r="N791" s="2" t="str">
        <x:v>0</x:v>
      </x:c>
      <x:c r="O791" s="2" t="str">
        <x:v>0</x:v>
      </x:c>
      <x:c r="P791" s="2" t="str">
        <x:v>false</x:v>
      </x:c>
      <x:c r="Q791" s="2" t="str">
        <x:v>73.465828414;73.465828414;73.465828414</x:v>
      </x:c>
      <x:c r="R791" s="2" t="str">
        <x:v>13.925374994869344</x:v>
      </x:c>
      <x:c r="S791" s="2" t="str">
        <x:v>48.120563507487745</x:v>
      </x:c>
    </x:row>
    <x:row r="792">
      <x:c r="A792" s="2" t="str">
        <x:v>DE-CMP-01</x:v>
      </x:c>
      <x:c r="B792" s="2" t="str">
        <x:v>CFG-C01</x:v>
      </x:c>
      <x:c r="C792" s="2" t="n">
        <x:v>46227.70238086805</x:v>
      </x:c>
      <x:c r="D792" s="2" t="str">
        <x:v>os_cfar</x:v>
      </x:c>
      <x:c r="E792" s="2" t="str">
        <x:v>multiple_carriers</x:v>
      </x:c>
      <x:c r="F792" s="2" t="str">
        <x:v>396</x:v>
      </x:c>
      <x:c r="G792" s="2" t="str">
        <x:v>3134299</x:v>
      </x:c>
      <x:c r="H792" s="2" t="str">
        <x:v>2048000.0</x:v>
      </x:c>
      <x:c r="I792" s="2" t="str">
        <x:v>8192</x:v>
      </x:c>
      <x:c r="J792" s="2" t="str">
        <x:v>250.0</x:v>
      </x:c>
      <x:c r="K792" s="2" t="str">
        <x:v>3</x:v>
      </x:c>
      <x:c r="L792" s="2" t="str">
        <x:v>3</x:v>
      </x:c>
      <x:c r="M792" s="2" t="str">
        <x:v>3</x:v>
      </x:c>
      <x:c r="N792" s="2" t="str">
        <x:v>0</x:v>
      </x:c>
      <x:c r="O792" s="2" t="str">
        <x:v>0</x:v>
      </x:c>
      <x:c r="P792" s="2" t="str">
        <x:v>false</x:v>
      </x:c>
      <x:c r="Q792" s="2" t="str">
        <x:v>-122.189303576;127.810696424;127.810696424</x:v>
      </x:c>
      <x:c r="R792" s="2" t="str">
        <x:v>13.933249996625818</x:v>
      </x:c>
      <x:c r="S792" s="2" t="str">
        <x:v>48.27732294239552</x:v>
      </x:c>
    </x:row>
    <x:row r="793">
      <x:c r="A793" s="2" t="str">
        <x:v>DE-CMP-01</x:v>
      </x:c>
      <x:c r="B793" s="2" t="str">
        <x:v>CFG-C01</x:v>
      </x:c>
      <x:c r="C793" s="2" t="n">
        <x:v>46227.70238086805</x:v>
      </x:c>
      <x:c r="D793" s="2" t="str">
        <x:v>adaptive</x:v>
      </x:c>
      <x:c r="E793" s="2" t="str">
        <x:v>multiple_carriers</x:v>
      </x:c>
      <x:c r="F793" s="2" t="str">
        <x:v>396</x:v>
      </x:c>
      <x:c r="G793" s="2" t="str">
        <x:v>3134299</x:v>
      </x:c>
      <x:c r="H793" s="2" t="str">
        <x:v>2048000.0</x:v>
      </x:c>
      <x:c r="I793" s="2" t="str">
        <x:v>8192</x:v>
      </x:c>
      <x:c r="J793" s="2" t="str">
        <x:v>250.0</x:v>
      </x:c>
      <x:c r="K793" s="2" t="str">
        <x:v>3</x:v>
      </x:c>
      <x:c r="L793" s="2" t="str">
        <x:v>3</x:v>
      </x:c>
      <x:c r="M793" s="2" t="str">
        <x:v>3</x:v>
      </x:c>
      <x:c r="N793" s="2" t="str">
        <x:v>0</x:v>
      </x:c>
      <x:c r="O793" s="2" t="str">
        <x:v>0</x:v>
      </x:c>
      <x:c r="P793" s="2" t="str">
        <x:v>false</x:v>
      </x:c>
      <x:c r="Q793" s="2" t="str">
        <x:v>-122.189303576;127.810696424;127.810696424</x:v>
      </x:c>
      <x:c r="R793" s="2" t="str">
        <x:v>0.40295900544151664</x:v>
      </x:c>
      <x:c r="S793" s="2" t="str">
        <x:v>46.52914584439045</x:v>
      </x:c>
    </x:row>
    <x:row r="794">
      <x:c r="A794" s="2" t="str">
        <x:v>DE-CMP-01</x:v>
      </x:c>
      <x:c r="B794" s="2" t="str">
        <x:v>CFG-C01</x:v>
      </x:c>
      <x:c r="C794" s="2" t="n">
        <x:v>46227.70238086805</x:v>
      </x:c>
      <x:c r="D794" s="2" t="str">
        <x:v>adaptive</x:v>
      </x:c>
      <x:c r="E794" s="2" t="str">
        <x:v>multiple_carriers</x:v>
      </x:c>
      <x:c r="F794" s="2" t="str">
        <x:v>397</x:v>
      </x:c>
      <x:c r="G794" s="2" t="str">
        <x:v>3134300</x:v>
      </x:c>
      <x:c r="H794" s="2" t="str">
        <x:v>2048000.0</x:v>
      </x:c>
      <x:c r="I794" s="2" t="str">
        <x:v>8192</x:v>
      </x:c>
      <x:c r="J794" s="2" t="str">
        <x:v>250.0</x:v>
      </x:c>
      <x:c r="K794" s="2" t="str">
        <x:v>3</x:v>
      </x:c>
      <x:c r="L794" s="2" t="str">
        <x:v>3</x:v>
      </x:c>
      <x:c r="M794" s="2" t="str">
        <x:v>3</x:v>
      </x:c>
      <x:c r="N794" s="2" t="str">
        <x:v>0</x:v>
      </x:c>
      <x:c r="O794" s="2" t="str">
        <x:v>0</x:v>
      </x:c>
      <x:c r="P794" s="2" t="str">
        <x:v>false</x:v>
      </x:c>
      <x:c r="Q794" s="2" t="str">
        <x:v>56.193142970;56.193142970;56.193142970</x:v>
      </x:c>
      <x:c r="R794" s="2" t="str">
        <x:v>0.4094159958185628</x:v>
      </x:c>
      <x:c r="S794" s="2" t="str">
        <x:v>46.47315210090345</x:v>
      </x:c>
    </x:row>
    <x:row r="795">
      <x:c r="A795" s="2" t="str">
        <x:v>DE-CMP-01</x:v>
      </x:c>
      <x:c r="B795" s="2" t="str">
        <x:v>CFG-C01</x:v>
      </x:c>
      <x:c r="C795" s="2" t="n">
        <x:v>46227.70238086805</x:v>
      </x:c>
      <x:c r="D795" s="2" t="str">
        <x:v>os_cfar</x:v>
      </x:c>
      <x:c r="E795" s="2" t="str">
        <x:v>multiple_carriers</x:v>
      </x:c>
      <x:c r="F795" s="2" t="str">
        <x:v>397</x:v>
      </x:c>
      <x:c r="G795" s="2" t="str">
        <x:v>3134300</x:v>
      </x:c>
      <x:c r="H795" s="2" t="str">
        <x:v>2048000.0</x:v>
      </x:c>
      <x:c r="I795" s="2" t="str">
        <x:v>8192</x:v>
      </x:c>
      <x:c r="J795" s="2" t="str">
        <x:v>250.0</x:v>
      </x:c>
      <x:c r="K795" s="2" t="str">
        <x:v>3</x:v>
      </x:c>
      <x:c r="L795" s="2" t="str">
        <x:v>3</x:v>
      </x:c>
      <x:c r="M795" s="2" t="str">
        <x:v>3</x:v>
      </x:c>
      <x:c r="N795" s="2" t="str">
        <x:v>0</x:v>
      </x:c>
      <x:c r="O795" s="2" t="str">
        <x:v>0</x:v>
      </x:c>
      <x:c r="P795" s="2" t="str">
        <x:v>false</x:v>
      </x:c>
      <x:c r="Q795" s="2" t="str">
        <x:v>56.193142970;56.193142970;56.193142970</x:v>
      </x:c>
      <x:c r="R795" s="2" t="str">
        <x:v>13.908332999562845</x:v>
      </x:c>
      <x:c r="S795" s="2" t="str">
        <x:v>48.39408264180011</x:v>
      </x:c>
    </x:row>
    <x:row r="796">
      <x:c r="A796" s="2" t="str">
        <x:v>DE-CMP-01</x:v>
      </x:c>
      <x:c r="B796" s="2" t="str">
        <x:v>CFG-C01</x:v>
      </x:c>
      <x:c r="C796" s="2" t="n">
        <x:v>46227.70238086805</x:v>
      </x:c>
      <x:c r="D796" s="2" t="str">
        <x:v>os_cfar</x:v>
      </x:c>
      <x:c r="E796" s="2" t="str">
        <x:v>multiple_carriers</x:v>
      </x:c>
      <x:c r="F796" s="2" t="str">
        <x:v>398</x:v>
      </x:c>
      <x:c r="G796" s="2" t="str">
        <x:v>3134301</x:v>
      </x:c>
      <x:c r="H796" s="2" t="str">
        <x:v>2048000.0</x:v>
      </x:c>
      <x:c r="I796" s="2" t="str">
        <x:v>8192</x:v>
      </x:c>
      <x:c r="J796" s="2" t="str">
        <x:v>250.0</x:v>
      </x:c>
      <x:c r="K796" s="2" t="str">
        <x:v>3</x:v>
      </x:c>
      <x:c r="L796" s="2" t="str">
        <x:v>3</x:v>
      </x:c>
      <x:c r="M796" s="2" t="str">
        <x:v>3</x:v>
      </x:c>
      <x:c r="N796" s="2" t="str">
        <x:v>0</x:v>
      </x:c>
      <x:c r="O796" s="2" t="str">
        <x:v>0</x:v>
      </x:c>
      <x:c r="P796" s="2" t="str">
        <x:v>false</x:v>
      </x:c>
      <x:c r="Q796" s="2" t="str">
        <x:v>21.734687344;21.734687344;21.734687344</x:v>
      </x:c>
      <x:c r="R796" s="2" t="str">
        <x:v>13.603166997199878</x:v>
      </x:c>
      <x:c r="S796" s="2" t="str">
        <x:v>48.26592940517312</x:v>
      </x:c>
    </x:row>
    <x:row r="797">
      <x:c r="A797" s="2" t="str">
        <x:v>DE-CMP-01</x:v>
      </x:c>
      <x:c r="B797" s="2" t="str">
        <x:v>CFG-C01</x:v>
      </x:c>
      <x:c r="C797" s="2" t="n">
        <x:v>46227.70238086805</x:v>
      </x:c>
      <x:c r="D797" s="2" t="str">
        <x:v>adaptive</x:v>
      </x:c>
      <x:c r="E797" s="2" t="str">
        <x:v>multiple_carriers</x:v>
      </x:c>
      <x:c r="F797" s="2" t="str">
        <x:v>398</x:v>
      </x:c>
      <x:c r="G797" s="2" t="str">
        <x:v>3134301</x:v>
      </x:c>
      <x:c r="H797" s="2" t="str">
        <x:v>2048000.0</x:v>
      </x:c>
      <x:c r="I797" s="2" t="str">
        <x:v>8192</x:v>
      </x:c>
      <x:c r="J797" s="2" t="str">
        <x:v>250.0</x:v>
      </x:c>
      <x:c r="K797" s="2" t="str">
        <x:v>3</x:v>
      </x:c>
      <x:c r="L797" s="2" t="str">
        <x:v>3</x:v>
      </x:c>
      <x:c r="M797" s="2" t="str">
        <x:v>3</x:v>
      </x:c>
      <x:c r="N797" s="2" t="str">
        <x:v>0</x:v>
      </x:c>
      <x:c r="O797" s="2" t="str">
        <x:v>0</x:v>
      </x:c>
      <x:c r="P797" s="2" t="str">
        <x:v>false</x:v>
      </x:c>
      <x:c r="Q797" s="2" t="str">
        <x:v>21.734687344;21.734687344;21.734687344</x:v>
      </x:c>
      <x:c r="R797" s="2" t="str">
        <x:v>0.4141249955864623</x:v>
      </x:c>
      <x:c r="S797" s="2" t="str">
        <x:v>46.42587090209717</x:v>
      </x:c>
    </x:row>
    <x:row r="798">
      <x:c r="A798" s="2" t="str">
        <x:v>DE-CMP-01</x:v>
      </x:c>
      <x:c r="B798" s="2" t="str">
        <x:v>CFG-C01</x:v>
      </x:c>
      <x:c r="C798" s="2" t="n">
        <x:v>46227.70238086805</x:v>
      </x:c>
      <x:c r="D798" s="2" t="str">
        <x:v>adaptive</x:v>
      </x:c>
      <x:c r="E798" s="2" t="str">
        <x:v>multiple_carriers</x:v>
      </x:c>
      <x:c r="F798" s="2" t="str">
        <x:v>399</x:v>
      </x:c>
      <x:c r="G798" s="2" t="str">
        <x:v>3134302</x:v>
      </x:c>
      <x:c r="H798" s="2" t="str">
        <x:v>2048000.0</x:v>
      </x:c>
      <x:c r="I798" s="2" t="str">
        <x:v>8192</x:v>
      </x:c>
      <x:c r="J798" s="2" t="str">
        <x:v>250.0</x:v>
      </x:c>
      <x:c r="K798" s="2" t="str">
        <x:v>3</x:v>
      </x:c>
      <x:c r="L798" s="2" t="str">
        <x:v>3</x:v>
      </x:c>
      <x:c r="M798" s="2" t="str">
        <x:v>3</x:v>
      </x:c>
      <x:c r="N798" s="2" t="str">
        <x:v>0</x:v>
      </x:c>
      <x:c r="O798" s="2" t="str">
        <x:v>0</x:v>
      </x:c>
      <x:c r="P798" s="2" t="str">
        <x:v>false</x:v>
      </x:c>
      <x:c r="Q798" s="2" t="str">
        <x:v>-86.489623237;-86.489623237;-86.489623237</x:v>
      </x:c>
      <x:c r="R798" s="2" t="str">
        <x:v>0.40624999382998794</x:v>
      </x:c>
      <x:c r="S798" s="2" t="str">
        <x:v>46.51822975595224</x:v>
      </x:c>
    </x:row>
    <x:row r="799">
      <x:c r="A799" s="2" t="str">
        <x:v>DE-CMP-01</x:v>
      </x:c>
      <x:c r="B799" s="2" t="str">
        <x:v>CFG-C01</x:v>
      </x:c>
      <x:c r="C799" s="2" t="n">
        <x:v>46227.70238086805</x:v>
      </x:c>
      <x:c r="D799" s="2" t="str">
        <x:v>os_cfar</x:v>
      </x:c>
      <x:c r="E799" s="2" t="str">
        <x:v>multiple_carriers</x:v>
      </x:c>
      <x:c r="F799" s="2" t="str">
        <x:v>399</x:v>
      </x:c>
      <x:c r="G799" s="2" t="str">
        <x:v>3134302</x:v>
      </x:c>
      <x:c r="H799" s="2" t="str">
        <x:v>2048000.0</x:v>
      </x:c>
      <x:c r="I799" s="2" t="str">
        <x:v>8192</x:v>
      </x:c>
      <x:c r="J799" s="2" t="str">
        <x:v>250.0</x:v>
      </x:c>
      <x:c r="K799" s="2" t="str">
        <x:v>3</x:v>
      </x:c>
      <x:c r="L799" s="2" t="str">
        <x:v>3</x:v>
      </x:c>
      <x:c r="M799" s="2" t="str">
        <x:v>3</x:v>
      </x:c>
      <x:c r="N799" s="2" t="str">
        <x:v>0</x:v>
      </x:c>
      <x:c r="O799" s="2" t="str">
        <x:v>0</x:v>
      </x:c>
      <x:c r="P799" s="2" t="str">
        <x:v>false</x:v>
      </x:c>
      <x:c r="Q799" s="2" t="str">
        <x:v>-86.489623237;-86.489623237;-86.489623237</x:v>
      </x:c>
      <x:c r="R799" s="2" t="str">
        <x:v>13.926333005656488</x:v>
      </x:c>
      <x:c r="S799" s="2" t="str">
        <x:v>48.3277749417549</x:v>
      </x:c>
    </x:row>
    <x:row r="800">
      <x:c r="A800" s="2" t="str">
        <x:v>DE-CMP-01</x:v>
      </x:c>
      <x:c r="B800" s="2" t="str">
        <x:v>CFG-C01</x:v>
      </x:c>
      <x:c r="C800" s="2" t="n">
        <x:v>46227.70238086805</x:v>
      </x:c>
      <x:c r="D800" s="2" t="str">
        <x:v>os_cfar</x:v>
      </x:c>
      <x:c r="E800" s="2" t="str">
        <x:v>multiple_carriers</x:v>
      </x:c>
      <x:c r="F800" s="2" t="str">
        <x:v>400</x:v>
      </x:c>
      <x:c r="G800" s="2" t="str">
        <x:v>3134303</x:v>
      </x:c>
      <x:c r="H800" s="2" t="str">
        <x:v>2048000.0</x:v>
      </x:c>
      <x:c r="I800" s="2" t="str">
        <x:v>8192</x:v>
      </x:c>
      <x:c r="J800" s="2" t="str">
        <x:v>250.0</x:v>
      </x:c>
      <x:c r="K800" s="2" t="str">
        <x:v>3</x:v>
      </x:c>
      <x:c r="L800" s="2" t="str">
        <x:v>3</x:v>
      </x:c>
      <x:c r="M800" s="2" t="str">
        <x:v>3</x:v>
      </x:c>
      <x:c r="N800" s="2" t="str">
        <x:v>0</x:v>
      </x:c>
      <x:c r="O800" s="2" t="str">
        <x:v>0</x:v>
      </x:c>
      <x:c r="P800" s="2" t="str">
        <x:v>false</x:v>
      </x:c>
      <x:c r="Q800" s="2" t="str">
        <x:v>-92.772678781;-92.772678781;-92.772678781</x:v>
      </x:c>
      <x:c r="R800" s="2" t="str">
        <x:v>13.747832999797538</x:v>
      </x:c>
      <x:c r="S800" s="2" t="str">
        <x:v>48.192012341139225</x:v>
      </x:c>
    </x:row>
    <x:row r="801">
      <x:c r="A801" s="2" t="str">
        <x:v>DE-CMP-01</x:v>
      </x:c>
      <x:c r="B801" s="2" t="str">
        <x:v>CFG-C01</x:v>
      </x:c>
      <x:c r="C801" s="2" t="n">
        <x:v>46227.70238086805</x:v>
      </x:c>
      <x:c r="D801" s="2" t="str">
        <x:v>adaptive</x:v>
      </x:c>
      <x:c r="E801" s="2" t="str">
        <x:v>multiple_carriers</x:v>
      </x:c>
      <x:c r="F801" s="2" t="str">
        <x:v>400</x:v>
      </x:c>
      <x:c r="G801" s="2" t="str">
        <x:v>3134303</x:v>
      </x:c>
      <x:c r="H801" s="2" t="str">
        <x:v>2048000.0</x:v>
      </x:c>
      <x:c r="I801" s="2" t="str">
        <x:v>8192</x:v>
      </x:c>
      <x:c r="J801" s="2" t="str">
        <x:v>250.0</x:v>
      </x:c>
      <x:c r="K801" s="2" t="str">
        <x:v>3</x:v>
      </x:c>
      <x:c r="L801" s="2" t="str">
        <x:v>3</x:v>
      </x:c>
      <x:c r="M801" s="2" t="str">
        <x:v>3</x:v>
      </x:c>
      <x:c r="N801" s="2" t="str">
        <x:v>0</x:v>
      </x:c>
      <x:c r="O801" s="2" t="str">
        <x:v>0</x:v>
      </x:c>
      <x:c r="P801" s="2" t="str">
        <x:v>false</x:v>
      </x:c>
      <x:c r="Q801" s="2" t="str">
        <x:v>-92.772678781;-92.772678781;-92.772678781</x:v>
      </x:c>
      <x:c r="R801" s="2" t="str">
        <x:v>0.4119580116821453</x:v>
      </x:c>
      <x:c r="S801" s="2" t="str">
        <x:v>46.49271566519327</x:v>
      </x:c>
    </x:row>
    <x:row r="802">
      <x:c r="A802" s="2" t="str">
        <x:v>DE-CMP-01</x:v>
      </x:c>
      <x:c r="B802" s="2" t="str">
        <x:v>CFG-C01</x:v>
      </x:c>
      <x:c r="C802" s="2" t="n">
        <x:v>46227.70238086805</x:v>
      </x:c>
      <x:c r="D802" s="2" t="str">
        <x:v>adaptive</x:v>
      </x:c>
      <x:c r="E802" s="2" t="str">
        <x:v>fft_edge</x:v>
      </x:c>
      <x:c r="F802" s="2" t="str">
        <x:v>401</x:v>
      </x:c>
      <x:c r="G802" s="2" t="str">
        <x:v>3144204</x:v>
      </x:c>
      <x:c r="H802" s="2" t="str">
        <x:v>2048000.0</x:v>
      </x:c>
      <x:c r="I802" s="2" t="str">
        <x:v>8192</x:v>
      </x:c>
      <x:c r="J802" s="2" t="str">
        <x:v>250.0</x:v>
      </x:c>
      <x:c r="K802" s="2" t="str">
        <x:v>1</x:v>
      </x:c>
      <x:c r="L802" s="2" t="str">
        <x:v>3</x:v>
      </x:c>
      <x:c r="M802" s="2" t="str">
        <x:v>1</x:v>
      </x:c>
      <x:c r="N802" s="2" t="str">
        <x:v>2</x:v>
      </x:c>
      <x:c r="O802" s="2" t="str">
        <x:v>0</x:v>
      </x:c>
      <x:c r="P802" s="2" t="str">
        <x:v>true</x:v>
      </x:c>
      <x:c r="Q802" s="2" t="str">
        <x:v>-54.093436002</x:v>
      </x:c>
      <x:c r="R802" s="2" t="str">
        <x:v>0.4132499889237806</x:v>
      </x:c>
      <x:c r="S802" s="2" t="str">
        <x:v>46.459238621656255</x:v>
      </x:c>
    </x:row>
    <x:row r="803">
      <x:c r="A803" s="2" t="str">
        <x:v>DE-CMP-01</x:v>
      </x:c>
      <x:c r="B803" s="2" t="str">
        <x:v>CFG-C01</x:v>
      </x:c>
      <x:c r="C803" s="2" t="n">
        <x:v>46227.70238086805</x:v>
      </x:c>
      <x:c r="D803" s="2" t="str">
        <x:v>os_cfar</x:v>
      </x:c>
      <x:c r="E803" s="2" t="str">
        <x:v>fft_edge</x:v>
      </x:c>
      <x:c r="F803" s="2" t="str">
        <x:v>401</x:v>
      </x:c>
      <x:c r="G803" s="2" t="str">
        <x:v>3144204</x:v>
      </x:c>
      <x:c r="H803" s="2" t="str">
        <x:v>2048000.0</x:v>
      </x:c>
      <x:c r="I803" s="2" t="str">
        <x:v>8192</x:v>
      </x:c>
      <x:c r="J803" s="2" t="str">
        <x:v>250.0</x:v>
      </x:c>
      <x:c r="K803" s="2" t="str">
        <x:v>1</x:v>
      </x:c>
      <x:c r="L803" s="2" t="str">
        <x:v>3</x:v>
      </x:c>
      <x:c r="M803" s="2" t="str">
        <x:v>1</x:v>
      </x:c>
      <x:c r="N803" s="2" t="str">
        <x:v>2</x:v>
      </x:c>
      <x:c r="O803" s="2" t="str">
        <x:v>0</x:v>
      </x:c>
      <x:c r="P803" s="2" t="str">
        <x:v>true</x:v>
      </x:c>
      <x:c r="Q803" s="2" t="str">
        <x:v>-54.093436002</x:v>
      </x:c>
      <x:c r="R803" s="2" t="str">
        <x:v>13.952334003988653</x:v>
      </x:c>
      <x:c r="S803" s="2" t="str">
        <x:v>48.19640540707984</x:v>
      </x:c>
    </x:row>
    <x:row r="804">
      <x:c r="A804" s="2" t="str">
        <x:v>DE-CMP-01</x:v>
      </x:c>
      <x:c r="B804" s="2" t="str">
        <x:v>CFG-C01</x:v>
      </x:c>
      <x:c r="C804" s="2" t="n">
        <x:v>46227.70238086805</x:v>
      </x:c>
      <x:c r="D804" s="2" t="str">
        <x:v>os_cfar</x:v>
      </x:c>
      <x:c r="E804" s="2" t="str">
        <x:v>fft_edge</x:v>
      </x:c>
      <x:c r="F804" s="2" t="str">
        <x:v>402</x:v>
      </x:c>
      <x:c r="G804" s="2" t="str">
        <x:v>3144205</x:v>
      </x:c>
      <x:c r="H804" s="2" t="str">
        <x:v>2048000.0</x:v>
      </x:c>
      <x:c r="I804" s="2" t="str">
        <x:v>8192</x:v>
      </x:c>
      <x:c r="J804" s="2" t="str">
        <x:v>250.0</x:v>
      </x:c>
      <x:c r="K804" s="2" t="str">
        <x:v>1</x:v>
      </x:c>
      <x:c r="L804" s="2" t="str">
        <x:v>3</x:v>
      </x:c>
      <x:c r="M804" s="2" t="str">
        <x:v>1</x:v>
      </x:c>
      <x:c r="N804" s="2" t="str">
        <x:v>2</x:v>
      </x:c>
      <x:c r="O804" s="2" t="str">
        <x:v>0</x:v>
      </x:c>
      <x:c r="P804" s="2" t="str">
        <x:v>true</x:v>
      </x:c>
      <x:c r="Q804" s="2" t="str">
        <x:v>-107.169793738</x:v>
      </x:c>
      <x:c r="R804" s="2" t="str">
        <x:v>14.01037500181701</x:v>
      </x:c>
      <x:c r="S804" s="2" t="str">
        <x:v>48.24026724022575</x:v>
      </x:c>
    </x:row>
    <x:row r="805">
      <x:c r="A805" s="2" t="str">
        <x:v>DE-CMP-01</x:v>
      </x:c>
      <x:c r="B805" s="2" t="str">
        <x:v>CFG-C01</x:v>
      </x:c>
      <x:c r="C805" s="2" t="n">
        <x:v>46227.70238086805</x:v>
      </x:c>
      <x:c r="D805" s="2" t="str">
        <x:v>adaptive</x:v>
      </x:c>
      <x:c r="E805" s="2" t="str">
        <x:v>fft_edge</x:v>
      </x:c>
      <x:c r="F805" s="2" t="str">
        <x:v>402</x:v>
      </x:c>
      <x:c r="G805" s="2" t="str">
        <x:v>3144205</x:v>
      </x:c>
      <x:c r="H805" s="2" t="str">
        <x:v>2048000.0</x:v>
      </x:c>
      <x:c r="I805" s="2" t="str">
        <x:v>8192</x:v>
      </x:c>
      <x:c r="J805" s="2" t="str">
        <x:v>250.0</x:v>
      </x:c>
      <x:c r="K805" s="2" t="str">
        <x:v>1</x:v>
      </x:c>
      <x:c r="L805" s="2" t="str">
        <x:v>3</x:v>
      </x:c>
      <x:c r="M805" s="2" t="str">
        <x:v>1</x:v>
      </x:c>
      <x:c r="N805" s="2" t="str">
        <x:v>2</x:v>
      </x:c>
      <x:c r="O805" s="2" t="str">
        <x:v>0</x:v>
      </x:c>
      <x:c r="P805" s="2" t="str">
        <x:v>true</x:v>
      </x:c>
      <x:c r="Q805" s="2" t="str">
        <x:v>-107.169793738</x:v>
      </x:c>
      <x:c r="R805" s="2" t="str">
        <x:v>0.4335420089773834</x:v>
      </x:c>
      <x:c r="S805" s="2" t="str">
        <x:v>46.652471446777156</x:v>
      </x:c>
    </x:row>
    <x:row r="806">
      <x:c r="A806" s="2" t="str">
        <x:v>DE-CMP-01</x:v>
      </x:c>
      <x:c r="B806" s="2" t="str">
        <x:v>CFG-C01</x:v>
      </x:c>
      <x:c r="C806" s="2" t="n">
        <x:v>46227.70238086805</x:v>
      </x:c>
      <x:c r="D806" s="2" t="str">
        <x:v>adaptive</x:v>
      </x:c>
      <x:c r="E806" s="2" t="str">
        <x:v>fft_edge</x:v>
      </x:c>
      <x:c r="F806" s="2" t="str">
        <x:v>403</x:v>
      </x:c>
      <x:c r="G806" s="2" t="str">
        <x:v>3144206</x:v>
      </x:c>
      <x:c r="H806" s="2" t="str">
        <x:v>2048000.0</x:v>
      </x:c>
      <x:c r="I806" s="2" t="str">
        <x:v>8192</x:v>
      </x:c>
      <x:c r="J806" s="2" t="str">
        <x:v>250.0</x:v>
      </x:c>
      <x:c r="K806" s="2" t="str">
        <x:v>1</x:v>
      </x:c>
      <x:c r="L806" s="2" t="str">
        <x:v>3</x:v>
      </x:c>
      <x:c r="M806" s="2" t="str">
        <x:v>1</x:v>
      </x:c>
      <x:c r="N806" s="2" t="str">
        <x:v>2</x:v>
      </x:c>
      <x:c r="O806" s="2" t="str">
        <x:v>0</x:v>
      </x:c>
      <x:c r="P806" s="2" t="str">
        <x:v>true</x:v>
      </x:c>
      <x:c r="Q806" s="2" t="str">
        <x:v>27.417137278</x:v>
      </x:c>
      <x:c r="R806" s="2" t="str">
        <x:v>0.4433329886524007</x:v>
      </x:c>
      <x:c r="S806" s="2" t="str">
        <x:v>46.41597579617976</x:v>
      </x:c>
    </x:row>
    <x:row r="807">
      <x:c r="A807" s="2" t="str">
        <x:v>DE-CMP-01</x:v>
      </x:c>
      <x:c r="B807" s="2" t="str">
        <x:v>CFG-C01</x:v>
      </x:c>
      <x:c r="C807" s="2" t="n">
        <x:v>46227.70238086805</x:v>
      </x:c>
      <x:c r="D807" s="2" t="str">
        <x:v>os_cfar</x:v>
      </x:c>
      <x:c r="E807" s="2" t="str">
        <x:v>fft_edge</x:v>
      </x:c>
      <x:c r="F807" s="2" t="str">
        <x:v>403</x:v>
      </x:c>
      <x:c r="G807" s="2" t="str">
        <x:v>3144206</x:v>
      </x:c>
      <x:c r="H807" s="2" t="str">
        <x:v>2048000.0</x:v>
      </x:c>
      <x:c r="I807" s="2" t="str">
        <x:v>8192</x:v>
      </x:c>
      <x:c r="J807" s="2" t="str">
        <x:v>250.0</x:v>
      </x:c>
      <x:c r="K807" s="2" t="str">
        <x:v>1</x:v>
      </x:c>
      <x:c r="L807" s="2" t="str">
        <x:v>3</x:v>
      </x:c>
      <x:c r="M807" s="2" t="str">
        <x:v>1</x:v>
      </x:c>
      <x:c r="N807" s="2" t="str">
        <x:v>2</x:v>
      </x:c>
      <x:c r="O807" s="2" t="str">
        <x:v>0</x:v>
      </x:c>
      <x:c r="P807" s="2" t="str">
        <x:v>true</x:v>
      </x:c>
      <x:c r="Q807" s="2" t="str">
        <x:v>27.417137278</x:v>
      </x:c>
      <x:c r="R807" s="2" t="str">
        <x:v>14.055708001251332</x:v>
      </x:c>
      <x:c r="S807" s="2" t="str">
        <x:v>48.1552978974841</x:v>
      </x:c>
    </x:row>
    <x:row r="808">
      <x:c r="A808" s="2" t="str">
        <x:v>DE-CMP-01</x:v>
      </x:c>
      <x:c r="B808" s="2" t="str">
        <x:v>CFG-C01</x:v>
      </x:c>
      <x:c r="C808" s="2" t="n">
        <x:v>46227.70238086805</x:v>
      </x:c>
      <x:c r="D808" s="2" t="str">
        <x:v>os_cfar</x:v>
      </x:c>
      <x:c r="E808" s="2" t="str">
        <x:v>fft_edge</x:v>
      </x:c>
      <x:c r="F808" s="2" t="str">
        <x:v>404</x:v>
      </x:c>
      <x:c r="G808" s="2" t="str">
        <x:v>3144207</x:v>
      </x:c>
      <x:c r="H808" s="2" t="str">
        <x:v>2048000.0</x:v>
      </x:c>
      <x:c r="I808" s="2" t="str">
        <x:v>8192</x:v>
      </x:c>
      <x:c r="J808" s="2" t="str">
        <x:v>250.0</x:v>
      </x:c>
      <x:c r="K808" s="2" t="str">
        <x:v>1</x:v>
      </x:c>
      <x:c r="L808" s="2" t="str">
        <x:v>3</x:v>
      </x:c>
      <x:c r="M808" s="2" t="str">
        <x:v>1</x:v>
      </x:c>
      <x:c r="N808" s="2" t="str">
        <x:v>2</x:v>
      </x:c>
      <x:c r="O808" s="2" t="str">
        <x:v>0</x:v>
      </x:c>
      <x:c r="P808" s="2" t="str">
        <x:v>true</x:v>
      </x:c>
      <x:c r="Q808" s="2" t="str">
        <x:v>50.481954863</x:v>
      </x:c>
      <x:c r="R808" s="2" t="str">
        <x:v>14.090708005824126</x:v>
      </x:c>
      <x:c r="S808" s="2" t="str">
        <x:v>48.18620785009639</x:v>
      </x:c>
    </x:row>
    <x:row r="809">
      <x:c r="A809" s="2" t="str">
        <x:v>DE-CMP-01</x:v>
      </x:c>
      <x:c r="B809" s="2" t="str">
        <x:v>CFG-C01</x:v>
      </x:c>
      <x:c r="C809" s="2" t="n">
        <x:v>46227.70238086805</x:v>
      </x:c>
      <x:c r="D809" s="2" t="str">
        <x:v>adaptive</x:v>
      </x:c>
      <x:c r="E809" s="2" t="str">
        <x:v>fft_edge</x:v>
      </x:c>
      <x:c r="F809" s="2" t="str">
        <x:v>404</x:v>
      </x:c>
      <x:c r="G809" s="2" t="str">
        <x:v>3144207</x:v>
      </x:c>
      <x:c r="H809" s="2" t="str">
        <x:v>2048000.0</x:v>
      </x:c>
      <x:c r="I809" s="2" t="str">
        <x:v>8192</x:v>
      </x:c>
      <x:c r="J809" s="2" t="str">
        <x:v>250.0</x:v>
      </x:c>
      <x:c r="K809" s="2" t="str">
        <x:v>1</x:v>
      </x:c>
      <x:c r="L809" s="2" t="str">
        <x:v>3</x:v>
      </x:c>
      <x:c r="M809" s="2" t="str">
        <x:v>1</x:v>
      </x:c>
      <x:c r="N809" s="2" t="str">
        <x:v>2</x:v>
      </x:c>
      <x:c r="O809" s="2" t="str">
        <x:v>0</x:v>
      </x:c>
      <x:c r="P809" s="2" t="str">
        <x:v>true</x:v>
      </x:c>
      <x:c r="Q809" s="2" t="str">
        <x:v>50.481954863</x:v>
      </x:c>
      <x:c r="R809" s="2" t="str">
        <x:v>0.4124999977648258</x:v>
      </x:c>
      <x:c r="S809" s="2" t="str">
        <x:v>46.532202280988606</x:v>
      </x:c>
    </x:row>
    <x:row r="810">
      <x:c r="A810" s="2" t="str">
        <x:v>DE-CMP-01</x:v>
      </x:c>
      <x:c r="B810" s="2" t="str">
        <x:v>CFG-C01</x:v>
      </x:c>
      <x:c r="C810" s="2" t="n">
        <x:v>46227.70238086805</x:v>
      </x:c>
      <x:c r="D810" s="2" t="str">
        <x:v>adaptive</x:v>
      </x:c>
      <x:c r="E810" s="2" t="str">
        <x:v>fft_edge</x:v>
      </x:c>
      <x:c r="F810" s="2" t="str">
        <x:v>405</x:v>
      </x:c>
      <x:c r="G810" s="2" t="str">
        <x:v>3144208</x:v>
      </x:c>
      <x:c r="H810" s="2" t="str">
        <x:v>2048000.0</x:v>
      </x:c>
      <x:c r="I810" s="2" t="str">
        <x:v>8192</x:v>
      </x:c>
      <x:c r="J810" s="2" t="str">
        <x:v>250.0</x:v>
      </x:c>
      <x:c r="K810" s="2" t="str">
        <x:v>1</x:v>
      </x:c>
      <x:c r="L810" s="2" t="str">
        <x:v>3</x:v>
      </x:c>
      <x:c r="M810" s="2" t="str">
        <x:v>1</x:v>
      </x:c>
      <x:c r="N810" s="2" t="str">
        <x:v>2</x:v>
      </x:c>
      <x:c r="O810" s="2" t="str">
        <x:v>0</x:v>
      </x:c>
      <x:c r="P810" s="2" t="str">
        <x:v>true</x:v>
      </x:c>
      <x:c r="Q810" s="2" t="str">
        <x:v>-91.654705931</x:v>
      </x:c>
      <x:c r="R810" s="2" t="str">
        <x:v>0.43524999637156725</x:v>
      </x:c>
      <x:c r="S810" s="2" t="str">
        <x:v>46.44249225369077</x:v>
      </x:c>
    </x:row>
    <x:row r="811">
      <x:c r="A811" s="2" t="str">
        <x:v>DE-CMP-01</x:v>
      </x:c>
      <x:c r="B811" s="2" t="str">
        <x:v>CFG-C01</x:v>
      </x:c>
      <x:c r="C811" s="2" t="n">
        <x:v>46227.70238086805</x:v>
      </x:c>
      <x:c r="D811" s="2" t="str">
        <x:v>os_cfar</x:v>
      </x:c>
      <x:c r="E811" s="2" t="str">
        <x:v>fft_edge</x:v>
      </x:c>
      <x:c r="F811" s="2" t="str">
        <x:v>405</x:v>
      </x:c>
      <x:c r="G811" s="2" t="str">
        <x:v>3144208</x:v>
      </x:c>
      <x:c r="H811" s="2" t="str">
        <x:v>2048000.0</x:v>
      </x:c>
      <x:c r="I811" s="2" t="str">
        <x:v>8192</x:v>
      </x:c>
      <x:c r="J811" s="2" t="str">
        <x:v>250.0</x:v>
      </x:c>
      <x:c r="K811" s="2" t="str">
        <x:v>1</x:v>
      </x:c>
      <x:c r="L811" s="2" t="str">
        <x:v>3</x:v>
      </x:c>
      <x:c r="M811" s="2" t="str">
        <x:v>1</x:v>
      </x:c>
      <x:c r="N811" s="2" t="str">
        <x:v>2</x:v>
      </x:c>
      <x:c r="O811" s="2" t="str">
        <x:v>0</x:v>
      </x:c>
      <x:c r="P811" s="2" t="str">
        <x:v>true</x:v>
      </x:c>
      <x:c r="Q811" s="2" t="str">
        <x:v>-91.654705931</x:v>
      </x:c>
      <x:c r="R811" s="2" t="str">
        <x:v>13.983541997731663</x:v>
      </x:c>
      <x:c r="S811" s="2" t="str">
        <x:v>48.19118982170647</x:v>
      </x:c>
    </x:row>
    <x:row r="812">
      <x:c r="A812" s="2" t="str">
        <x:v>DE-CMP-01</x:v>
      </x:c>
      <x:c r="B812" s="2" t="str">
        <x:v>CFG-C01</x:v>
      </x:c>
      <x:c r="C812" s="2" t="n">
        <x:v>46227.70238086805</x:v>
      </x:c>
      <x:c r="D812" s="2" t="str">
        <x:v>os_cfar</x:v>
      </x:c>
      <x:c r="E812" s="2" t="str">
        <x:v>fft_edge</x:v>
      </x:c>
      <x:c r="F812" s="2" t="str">
        <x:v>406</x:v>
      </x:c>
      <x:c r="G812" s="2" t="str">
        <x:v>3144209</x:v>
      </x:c>
      <x:c r="H812" s="2" t="str">
        <x:v>2048000.0</x:v>
      </x:c>
      <x:c r="I812" s="2" t="str">
        <x:v>8192</x:v>
      </x:c>
      <x:c r="J812" s="2" t="str">
        <x:v>250.0</x:v>
      </x:c>
      <x:c r="K812" s="2" t="str">
        <x:v>1</x:v>
      </x:c>
      <x:c r="L812" s="2" t="str">
        <x:v>3</x:v>
      </x:c>
      <x:c r="M812" s="2" t="str">
        <x:v>1</x:v>
      </x:c>
      <x:c r="N812" s="2" t="str">
        <x:v>2</x:v>
      </x:c>
      <x:c r="O812" s="2" t="str">
        <x:v>0</x:v>
      </x:c>
      <x:c r="P812" s="2" t="str">
        <x:v>true</x:v>
      </x:c>
      <x:c r="Q812" s="2" t="str">
        <x:v>-66.097177283</x:v>
      </x:c>
      <x:c r="R812" s="2" t="str">
        <x:v>14.091666991589591</x:v>
      </x:c>
      <x:c r="S812" s="2" t="str">
        <x:v>48.16968465396789</x:v>
      </x:c>
    </x:row>
    <x:row r="813">
      <x:c r="A813" s="2" t="str">
        <x:v>DE-CMP-01</x:v>
      </x:c>
      <x:c r="B813" s="2" t="str">
        <x:v>CFG-C01</x:v>
      </x:c>
      <x:c r="C813" s="2" t="n">
        <x:v>46227.70238086805</x:v>
      </x:c>
      <x:c r="D813" s="2" t="str">
        <x:v>adaptive</x:v>
      </x:c>
      <x:c r="E813" s="2" t="str">
        <x:v>fft_edge</x:v>
      </x:c>
      <x:c r="F813" s="2" t="str">
        <x:v>406</x:v>
      </x:c>
      <x:c r="G813" s="2" t="str">
        <x:v>3144209</x:v>
      </x:c>
      <x:c r="H813" s="2" t="str">
        <x:v>2048000.0</x:v>
      </x:c>
      <x:c r="I813" s="2" t="str">
        <x:v>8192</x:v>
      </x:c>
      <x:c r="J813" s="2" t="str">
        <x:v>250.0</x:v>
      </x:c>
      <x:c r="K813" s="2" t="str">
        <x:v>1</x:v>
      </x:c>
      <x:c r="L813" s="2" t="str">
        <x:v>3</x:v>
      </x:c>
      <x:c r="M813" s="2" t="str">
        <x:v>1</x:v>
      </x:c>
      <x:c r="N813" s="2" t="str">
        <x:v>2</x:v>
      </x:c>
      <x:c r="O813" s="2" t="str">
        <x:v>0</x:v>
      </x:c>
      <x:c r="P813" s="2" t="str">
        <x:v>true</x:v>
      </x:c>
      <x:c r="Q813" s="2" t="str">
        <x:v>-66.097177283</x:v>
      </x:c>
      <x:c r="R813" s="2" t="str">
        <x:v>0.43370800267439336</x:v>
      </x:c>
      <x:c r="S813" s="2" t="str">
        <x:v>46.359349981356</x:v>
      </x:c>
    </x:row>
    <x:row r="814">
      <x:c r="A814" s="2" t="str">
        <x:v>DE-CMP-01</x:v>
      </x:c>
      <x:c r="B814" s="2" t="str">
        <x:v>CFG-C01</x:v>
      </x:c>
      <x:c r="C814" s="2" t="n">
        <x:v>46227.70238086805</x:v>
      </x:c>
      <x:c r="D814" s="2" t="str">
        <x:v>adaptive</x:v>
      </x:c>
      <x:c r="E814" s="2" t="str">
        <x:v>fft_edge</x:v>
      </x:c>
      <x:c r="F814" s="2" t="str">
        <x:v>407</x:v>
      </x:c>
      <x:c r="G814" s="2" t="str">
        <x:v>3144210</x:v>
      </x:c>
      <x:c r="H814" s="2" t="str">
        <x:v>2048000.0</x:v>
      </x:c>
      <x:c r="I814" s="2" t="str">
        <x:v>8192</x:v>
      </x:c>
      <x:c r="J814" s="2" t="str">
        <x:v>250.0</x:v>
      </x:c>
      <x:c r="K814" s="2" t="str">
        <x:v>1</x:v>
      </x:c>
      <x:c r="L814" s="2" t="str">
        <x:v>3</x:v>
      </x:c>
      <x:c r="M814" s="2" t="str">
        <x:v>1</x:v>
      </x:c>
      <x:c r="N814" s="2" t="str">
        <x:v>2</x:v>
      </x:c>
      <x:c r="O814" s="2" t="str">
        <x:v>0</x:v>
      </x:c>
      <x:c r="P814" s="2" t="str">
        <x:v>true</x:v>
      </x:c>
      <x:c r="Q814" s="2" t="str">
        <x:v>79.156221897</x:v>
      </x:c>
      <x:c r="R814" s="2" t="str">
        <x:v>0.41799999598879367</x:v>
      </x:c>
      <x:c r="S814" s="2" t="str">
        <x:v>46.678379284632136</x:v>
      </x:c>
    </x:row>
    <x:row r="815">
      <x:c r="A815" s="2" t="str">
        <x:v>DE-CMP-01</x:v>
      </x:c>
      <x:c r="B815" s="2" t="str">
        <x:v>CFG-C01</x:v>
      </x:c>
      <x:c r="C815" s="2" t="n">
        <x:v>46227.70238086805</x:v>
      </x:c>
      <x:c r="D815" s="2" t="str">
        <x:v>os_cfar</x:v>
      </x:c>
      <x:c r="E815" s="2" t="str">
        <x:v>fft_edge</x:v>
      </x:c>
      <x:c r="F815" s="2" t="str">
        <x:v>407</x:v>
      </x:c>
      <x:c r="G815" s="2" t="str">
        <x:v>3144210</x:v>
      </x:c>
      <x:c r="H815" s="2" t="str">
        <x:v>2048000.0</x:v>
      </x:c>
      <x:c r="I815" s="2" t="str">
        <x:v>8192</x:v>
      </x:c>
      <x:c r="J815" s="2" t="str">
        <x:v>250.0</x:v>
      </x:c>
      <x:c r="K815" s="2" t="str">
        <x:v>1</x:v>
      </x:c>
      <x:c r="L815" s="2" t="str">
        <x:v>3</x:v>
      </x:c>
      <x:c r="M815" s="2" t="str">
        <x:v>1</x:v>
      </x:c>
      <x:c r="N815" s="2" t="str">
        <x:v>2</x:v>
      </x:c>
      <x:c r="O815" s="2" t="str">
        <x:v>0</x:v>
      </x:c>
      <x:c r="P815" s="2" t="str">
        <x:v>true</x:v>
      </x:c>
      <x:c r="Q815" s="2" t="str">
        <x:v>79.156221897</x:v>
      </x:c>
      <x:c r="R815" s="2" t="str">
        <x:v>14.24237500759773</x:v>
      </x:c>
      <x:c r="S815" s="2" t="str">
        <x:v>48.30908866730105</x:v>
      </x:c>
    </x:row>
    <x:row r="816">
      <x:c r="A816" s="2" t="str">
        <x:v>DE-CMP-01</x:v>
      </x:c>
      <x:c r="B816" s="2" t="str">
        <x:v>CFG-C01</x:v>
      </x:c>
      <x:c r="C816" s="2" t="n">
        <x:v>46227.70238086805</x:v>
      </x:c>
      <x:c r="D816" s="2" t="str">
        <x:v>os_cfar</x:v>
      </x:c>
      <x:c r="E816" s="2" t="str">
        <x:v>fft_edge</x:v>
      </x:c>
      <x:c r="F816" s="2" t="str">
        <x:v>408</x:v>
      </x:c>
      <x:c r="G816" s="2" t="str">
        <x:v>3144211</x:v>
      </x:c>
      <x:c r="H816" s="2" t="str">
        <x:v>2048000.0</x:v>
      </x:c>
      <x:c r="I816" s="2" t="str">
        <x:v>8192</x:v>
      </x:c>
      <x:c r="J816" s="2" t="str">
        <x:v>250.0</x:v>
      </x:c>
      <x:c r="K816" s="2" t="str">
        <x:v>1</x:v>
      </x:c>
      <x:c r="L816" s="2" t="str">
        <x:v>3</x:v>
      </x:c>
      <x:c r="M816" s="2" t="str">
        <x:v>1</x:v>
      </x:c>
      <x:c r="N816" s="2" t="str">
        <x:v>2</x:v>
      </x:c>
      <x:c r="O816" s="2" t="str">
        <x:v>0</x:v>
      </x:c>
      <x:c r="P816" s="2" t="str">
        <x:v>true</x:v>
      </x:c>
      <x:c r="Q816" s="2" t="str">
        <x:v>87.141563183</x:v>
      </x:c>
      <x:c r="R816" s="2" t="str">
        <x:v>14.090250013396144</x:v>
      </x:c>
      <x:c r="S816" s="2" t="str">
        <x:v>48.41539075730282</x:v>
      </x:c>
    </x:row>
    <x:row r="817">
      <x:c r="A817" s="2" t="str">
        <x:v>DE-CMP-01</x:v>
      </x:c>
      <x:c r="B817" s="2" t="str">
        <x:v>CFG-C01</x:v>
      </x:c>
      <x:c r="C817" s="2" t="n">
        <x:v>46227.70238086805</x:v>
      </x:c>
      <x:c r="D817" s="2" t="str">
        <x:v>adaptive</x:v>
      </x:c>
      <x:c r="E817" s="2" t="str">
        <x:v>fft_edge</x:v>
      </x:c>
      <x:c r="F817" s="2" t="str">
        <x:v>408</x:v>
      </x:c>
      <x:c r="G817" s="2" t="str">
        <x:v>3144211</x:v>
      </x:c>
      <x:c r="H817" s="2" t="str">
        <x:v>2048000.0</x:v>
      </x:c>
      <x:c r="I817" s="2" t="str">
        <x:v>8192</x:v>
      </x:c>
      <x:c r="J817" s="2" t="str">
        <x:v>250.0</x:v>
      </x:c>
      <x:c r="K817" s="2" t="str">
        <x:v>1</x:v>
      </x:c>
      <x:c r="L817" s="2" t="str">
        <x:v>3</x:v>
      </x:c>
      <x:c r="M817" s="2" t="str">
        <x:v>1</x:v>
      </x:c>
      <x:c r="N817" s="2" t="str">
        <x:v>2</x:v>
      </x:c>
      <x:c r="O817" s="2" t="str">
        <x:v>0</x:v>
      </x:c>
      <x:c r="P817" s="2" t="str">
        <x:v>true</x:v>
      </x:c>
      <x:c r="Q817" s="2" t="str">
        <x:v>87.141563183</x:v>
      </x:c>
      <x:c r="R817" s="2" t="str">
        <x:v>0.43612500303424895</x:v>
      </x:c>
      <x:c r="S817" s="2" t="str">
        <x:v>46.602339657140774</x:v>
      </x:c>
    </x:row>
    <x:row r="818">
      <x:c r="A818" s="2" t="str">
        <x:v>DE-CMP-01</x:v>
      </x:c>
      <x:c r="B818" s="2" t="str">
        <x:v>CFG-C01</x:v>
      </x:c>
      <x:c r="C818" s="2" t="n">
        <x:v>46227.70238086805</x:v>
      </x:c>
      <x:c r="D818" s="2" t="str">
        <x:v>adaptive</x:v>
      </x:c>
      <x:c r="E818" s="2" t="str">
        <x:v>fft_edge</x:v>
      </x:c>
      <x:c r="F818" s="2" t="str">
        <x:v>409</x:v>
      </x:c>
      <x:c r="G818" s="2" t="str">
        <x:v>3144212</x:v>
      </x:c>
      <x:c r="H818" s="2" t="str">
        <x:v>2048000.0</x:v>
      </x:c>
      <x:c r="I818" s="2" t="str">
        <x:v>8192</x:v>
      </x:c>
      <x:c r="J818" s="2" t="str">
        <x:v>250.0</x:v>
      </x:c>
      <x:c r="K818" s="2" t="str">
        <x:v>1</x:v>
      </x:c>
      <x:c r="L818" s="2" t="str">
        <x:v>3</x:v>
      </x:c>
      <x:c r="M818" s="2" t="str">
        <x:v>1</x:v>
      </x:c>
      <x:c r="N818" s="2" t="str">
        <x:v>2</x:v>
      </x:c>
      <x:c r="O818" s="2" t="str">
        <x:v>0</x:v>
      </x:c>
      <x:c r="P818" s="2" t="str">
        <x:v>true</x:v>
      </x:c>
      <x:c r="Q818" s="2" t="str">
        <x:v>75.202618421</x:v>
      </x:c>
      <x:c r="R818" s="2" t="str">
        <x:v>0.41120799141936004</x:v>
      </x:c>
      <x:c r="S818" s="2" t="str">
        <x:v>46.491895554322895</x:v>
      </x:c>
    </x:row>
    <x:row r="819">
      <x:c r="A819" s="2" t="str">
        <x:v>DE-CMP-01</x:v>
      </x:c>
      <x:c r="B819" s="2" t="str">
        <x:v>CFG-C01</x:v>
      </x:c>
      <x:c r="C819" s="2" t="n">
        <x:v>46227.70238086805</x:v>
      </x:c>
      <x:c r="D819" s="2" t="str">
        <x:v>os_cfar</x:v>
      </x:c>
      <x:c r="E819" s="2" t="str">
        <x:v>fft_edge</x:v>
      </x:c>
      <x:c r="F819" s="2" t="str">
        <x:v>409</x:v>
      </x:c>
      <x:c r="G819" s="2" t="str">
        <x:v>3144212</x:v>
      </x:c>
      <x:c r="H819" s="2" t="str">
        <x:v>2048000.0</x:v>
      </x:c>
      <x:c r="I819" s="2" t="str">
        <x:v>8192</x:v>
      </x:c>
      <x:c r="J819" s="2" t="str">
        <x:v>250.0</x:v>
      </x:c>
      <x:c r="K819" s="2" t="str">
        <x:v>1</x:v>
      </x:c>
      <x:c r="L819" s="2" t="str">
        <x:v>3</x:v>
      </x:c>
      <x:c r="M819" s="2" t="str">
        <x:v>1</x:v>
      </x:c>
      <x:c r="N819" s="2" t="str">
        <x:v>2</x:v>
      </x:c>
      <x:c r="O819" s="2" t="str">
        <x:v>0</x:v>
      </x:c>
      <x:c r="P819" s="2" t="str">
        <x:v>true</x:v>
      </x:c>
      <x:c r="Q819" s="2" t="str">
        <x:v>75.202618421</x:v>
      </x:c>
      <x:c r="R819" s="2" t="str">
        <x:v>14.355874998727813</x:v>
      </x:c>
      <x:c r="S819" s="2" t="str">
        <x:v>48.23092362668614</x:v>
      </x:c>
    </x:row>
    <x:row r="820">
      <x:c r="A820" s="2" t="str">
        <x:v>DE-CMP-01</x:v>
      </x:c>
      <x:c r="B820" s="2" t="str">
        <x:v>CFG-C01</x:v>
      </x:c>
      <x:c r="C820" s="2" t="n">
        <x:v>46227.70238086805</x:v>
      </x:c>
      <x:c r="D820" s="2" t="str">
        <x:v>os_cfar</x:v>
      </x:c>
      <x:c r="E820" s="2" t="str">
        <x:v>fft_edge</x:v>
      </x:c>
      <x:c r="F820" s="2" t="str">
        <x:v>410</x:v>
      </x:c>
      <x:c r="G820" s="2" t="str">
        <x:v>3144213</x:v>
      </x:c>
      <x:c r="H820" s="2" t="str">
        <x:v>2048000.0</x:v>
      </x:c>
      <x:c r="I820" s="2" t="str">
        <x:v>8192</x:v>
      </x:c>
      <x:c r="J820" s="2" t="str">
        <x:v>250.0</x:v>
      </x:c>
      <x:c r="K820" s="2" t="str">
        <x:v>1</x:v>
      </x:c>
      <x:c r="L820" s="2" t="str">
        <x:v>3</x:v>
      </x:c>
      <x:c r="M820" s="2" t="str">
        <x:v>1</x:v>
      </x:c>
      <x:c r="N820" s="2" t="str">
        <x:v>2</x:v>
      </x:c>
      <x:c r="O820" s="2" t="str">
        <x:v>0</x:v>
      </x:c>
      <x:c r="P820" s="2" t="str">
        <x:v>true</x:v>
      </x:c>
      <x:c r="Q820" s="2" t="str">
        <x:v>-64.658020511</x:v>
      </x:c>
      <x:c r="R820" s="2" t="str">
        <x:v>14.21691600990016</x:v>
      </x:c>
      <x:c r="S820" s="2" t="str">
        <x:v>48.14423325320955</x:v>
      </x:c>
    </x:row>
    <x:row r="821">
      <x:c r="A821" s="2" t="str">
        <x:v>DE-CMP-01</x:v>
      </x:c>
      <x:c r="B821" s="2" t="str">
        <x:v>CFG-C01</x:v>
      </x:c>
      <x:c r="C821" s="2" t="n">
        <x:v>46227.70238086805</x:v>
      </x:c>
      <x:c r="D821" s="2" t="str">
        <x:v>adaptive</x:v>
      </x:c>
      <x:c r="E821" s="2" t="str">
        <x:v>fft_edge</x:v>
      </x:c>
      <x:c r="F821" s="2" t="str">
        <x:v>410</x:v>
      </x:c>
      <x:c r="G821" s="2" t="str">
        <x:v>3144213</x:v>
      </x:c>
      <x:c r="H821" s="2" t="str">
        <x:v>2048000.0</x:v>
      </x:c>
      <x:c r="I821" s="2" t="str">
        <x:v>8192</x:v>
      </x:c>
      <x:c r="J821" s="2" t="str">
        <x:v>250.0</x:v>
      </x:c>
      <x:c r="K821" s="2" t="str">
        <x:v>1</x:v>
      </x:c>
      <x:c r="L821" s="2" t="str">
        <x:v>3</x:v>
      </x:c>
      <x:c r="M821" s="2" t="str">
        <x:v>1</x:v>
      </x:c>
      <x:c r="N821" s="2" t="str">
        <x:v>2</x:v>
      </x:c>
      <x:c r="O821" s="2" t="str">
        <x:v>0</x:v>
      </x:c>
      <x:c r="P821" s="2" t="str">
        <x:v>true</x:v>
      </x:c>
      <x:c r="Q821" s="2" t="str">
        <x:v>-64.658020511</x:v>
      </x:c>
      <x:c r="R821" s="2" t="str">
        <x:v>0.4648329922929406</x:v>
      </x:c>
      <x:c r="S821" s="2" t="str">
        <x:v>46.270068322925574</x:v>
      </x:c>
    </x:row>
    <x:row r="822">
      <x:c r="A822" s="2" t="str">
        <x:v>DE-CMP-01</x:v>
      </x:c>
      <x:c r="B822" s="2" t="str">
        <x:v>CFG-C01</x:v>
      </x:c>
      <x:c r="C822" s="2" t="n">
        <x:v>46227.70238086805</x:v>
      </x:c>
      <x:c r="D822" s="2" t="str">
        <x:v>adaptive</x:v>
      </x:c>
      <x:c r="E822" s="2" t="str">
        <x:v>fft_edge</x:v>
      </x:c>
      <x:c r="F822" s="2" t="str">
        <x:v>411</x:v>
      </x:c>
      <x:c r="G822" s="2" t="str">
        <x:v>3144214</x:v>
      </x:c>
      <x:c r="H822" s="2" t="str">
        <x:v>2048000.0</x:v>
      </x:c>
      <x:c r="I822" s="2" t="str">
        <x:v>8192</x:v>
      </x:c>
      <x:c r="J822" s="2" t="str">
        <x:v>250.0</x:v>
      </x:c>
      <x:c r="K822" s="2" t="str">
        <x:v>1</x:v>
      </x:c>
      <x:c r="L822" s="2" t="str">
        <x:v>3</x:v>
      </x:c>
      <x:c r="M822" s="2" t="str">
        <x:v>1</x:v>
      </x:c>
      <x:c r="N822" s="2" t="str">
        <x:v>2</x:v>
      </x:c>
      <x:c r="O822" s="2" t="str">
        <x:v>0</x:v>
      </x:c>
      <x:c r="P822" s="2" t="str">
        <x:v>true</x:v>
      </x:c>
      <x:c r="Q822" s="2" t="str">
        <x:v>-121.323802764</x:v>
      </x:c>
      <x:c r="R822" s="2" t="str">
        <x:v>0.43695799831766635</x:v>
      </x:c>
      <x:c r="S822" s="2" t="str">
        <x:v>46.52644351465645</x:v>
      </x:c>
    </x:row>
    <x:row r="823">
      <x:c r="A823" s="2" t="str">
        <x:v>DE-CMP-01</x:v>
      </x:c>
      <x:c r="B823" s="2" t="str">
        <x:v>CFG-C01</x:v>
      </x:c>
      <x:c r="C823" s="2" t="n">
        <x:v>46227.70238086805</x:v>
      </x:c>
      <x:c r="D823" s="2" t="str">
        <x:v>os_cfar</x:v>
      </x:c>
      <x:c r="E823" s="2" t="str">
        <x:v>fft_edge</x:v>
      </x:c>
      <x:c r="F823" s="2" t="str">
        <x:v>411</x:v>
      </x:c>
      <x:c r="G823" s="2" t="str">
        <x:v>3144214</x:v>
      </x:c>
      <x:c r="H823" s="2" t="str">
        <x:v>2048000.0</x:v>
      </x:c>
      <x:c r="I823" s="2" t="str">
        <x:v>8192</x:v>
      </x:c>
      <x:c r="J823" s="2" t="str">
        <x:v>250.0</x:v>
      </x:c>
      <x:c r="K823" s="2" t="str">
        <x:v>1</x:v>
      </x:c>
      <x:c r="L823" s="2" t="str">
        <x:v>3</x:v>
      </x:c>
      <x:c r="M823" s="2" t="str">
        <x:v>1</x:v>
      </x:c>
      <x:c r="N823" s="2" t="str">
        <x:v>2</x:v>
      </x:c>
      <x:c r="O823" s="2" t="str">
        <x:v>0</x:v>
      </x:c>
      <x:c r="P823" s="2" t="str">
        <x:v>true</x:v>
      </x:c>
      <x:c r="Q823" s="2" t="str">
        <x:v>-121.323802764</x:v>
      </x:c>
      <x:c r="R823" s="2" t="str">
        <x:v>14.054999992367812</x:v>
      </x:c>
      <x:c r="S823" s="2" t="str">
        <x:v>48.44920268449443</x:v>
      </x:c>
    </x:row>
    <x:row r="824">
      <x:c r="A824" s="2" t="str">
        <x:v>DE-CMP-01</x:v>
      </x:c>
      <x:c r="B824" s="2" t="str">
        <x:v>CFG-C01</x:v>
      </x:c>
      <x:c r="C824" s="2" t="n">
        <x:v>46227.70238086805</x:v>
      </x:c>
      <x:c r="D824" s="2" t="str">
        <x:v>os_cfar</x:v>
      </x:c>
      <x:c r="E824" s="2" t="str">
        <x:v>fft_edge</x:v>
      </x:c>
      <x:c r="F824" s="2" t="str">
        <x:v>412</x:v>
      </x:c>
      <x:c r="G824" s="2" t="str">
        <x:v>3144215</x:v>
      </x:c>
      <x:c r="H824" s="2" t="str">
        <x:v>2048000.0</x:v>
      </x:c>
      <x:c r="I824" s="2" t="str">
        <x:v>8192</x:v>
      </x:c>
      <x:c r="J824" s="2" t="str">
        <x:v>250.0</x:v>
      </x:c>
      <x:c r="K824" s="2" t="str">
        <x:v>1</x:v>
      </x:c>
      <x:c r="L824" s="2" t="str">
        <x:v>3</x:v>
      </x:c>
      <x:c r="M824" s="2" t="str">
        <x:v>1</x:v>
      </x:c>
      <x:c r="N824" s="2" t="str">
        <x:v>2</x:v>
      </x:c>
      <x:c r="O824" s="2" t="str">
        <x:v>0</x:v>
      </x:c>
      <x:c r="P824" s="2" t="str">
        <x:v>true</x:v>
      </x:c>
      <x:c r="Q824" s="2" t="str">
        <x:v>-65.785426439</x:v>
      </x:c>
      <x:c r="R824" s="2" t="str">
        <x:v>14.003541989950463</x:v>
      </x:c>
      <x:c r="S824" s="2" t="str">
        <x:v>48.20302642775937</x:v>
      </x:c>
    </x:row>
    <x:row r="825">
      <x:c r="A825" s="2" t="str">
        <x:v>DE-CMP-01</x:v>
      </x:c>
      <x:c r="B825" s="2" t="str">
        <x:v>CFG-C01</x:v>
      </x:c>
      <x:c r="C825" s="2" t="n">
        <x:v>46227.70238086805</x:v>
      </x:c>
      <x:c r="D825" s="2" t="str">
        <x:v>adaptive</x:v>
      </x:c>
      <x:c r="E825" s="2" t="str">
        <x:v>fft_edge</x:v>
      </x:c>
      <x:c r="F825" s="2" t="str">
        <x:v>412</x:v>
      </x:c>
      <x:c r="G825" s="2" t="str">
        <x:v>3144215</x:v>
      </x:c>
      <x:c r="H825" s="2" t="str">
        <x:v>2048000.0</x:v>
      </x:c>
      <x:c r="I825" s="2" t="str">
        <x:v>8192</x:v>
      </x:c>
      <x:c r="J825" s="2" t="str">
        <x:v>250.0</x:v>
      </x:c>
      <x:c r="K825" s="2" t="str">
        <x:v>1</x:v>
      </x:c>
      <x:c r="L825" s="2" t="str">
        <x:v>3</x:v>
      </x:c>
      <x:c r="M825" s="2" t="str">
        <x:v>1</x:v>
      </x:c>
      <x:c r="N825" s="2" t="str">
        <x:v>2</x:v>
      </x:c>
      <x:c r="O825" s="2" t="str">
        <x:v>0</x:v>
      </x:c>
      <x:c r="P825" s="2" t="str">
        <x:v>true</x:v>
      </x:c>
      <x:c r="Q825" s="2" t="str">
        <x:v>-65.785426439</x:v>
      </x:c>
      <x:c r="R825" s="2" t="str">
        <x:v>0.4422920028446242</x:v>
      </x:c>
      <x:c r="S825" s="2" t="str">
        <x:v>46.48827674206426</x:v>
      </x:c>
    </x:row>
    <x:row r="826">
      <x:c r="A826" s="2" t="str">
        <x:v>DE-CMP-01</x:v>
      </x:c>
      <x:c r="B826" s="2" t="str">
        <x:v>CFG-C01</x:v>
      </x:c>
      <x:c r="C826" s="2" t="n">
        <x:v>46227.70238086805</x:v>
      </x:c>
      <x:c r="D826" s="2" t="str">
        <x:v>adaptive</x:v>
      </x:c>
      <x:c r="E826" s="2" t="str">
        <x:v>fft_edge</x:v>
      </x:c>
      <x:c r="F826" s="2" t="str">
        <x:v>413</x:v>
      </x:c>
      <x:c r="G826" s="2" t="str">
        <x:v>3144216</x:v>
      </x:c>
      <x:c r="H826" s="2" t="str">
        <x:v>2048000.0</x:v>
      </x:c>
      <x:c r="I826" s="2" t="str">
        <x:v>8192</x:v>
      </x:c>
      <x:c r="J826" s="2" t="str">
        <x:v>250.0</x:v>
      </x:c>
      <x:c r="K826" s="2" t="str">
        <x:v>1</x:v>
      </x:c>
      <x:c r="L826" s="2" t="str">
        <x:v>3</x:v>
      </x:c>
      <x:c r="M826" s="2" t="str">
        <x:v>1</x:v>
      </x:c>
      <x:c r="N826" s="2" t="str">
        <x:v>2</x:v>
      </x:c>
      <x:c r="O826" s="2" t="str">
        <x:v>0</x:v>
      </x:c>
      <x:c r="P826" s="2" t="str">
        <x:v>true</x:v>
      </x:c>
      <x:c r="Q826" s="2" t="str">
        <x:v>-40.743358488</x:v>
      </x:c>
      <x:c r="R826" s="2" t="str">
        <x:v>0.4184160061413422</x:v>
      </x:c>
      <x:c r="S826" s="2" t="str">
        <x:v>46.43212502210102</x:v>
      </x:c>
    </x:row>
    <x:row r="827">
      <x:c r="A827" s="2" t="str">
        <x:v>DE-CMP-01</x:v>
      </x:c>
      <x:c r="B827" s="2" t="str">
        <x:v>CFG-C01</x:v>
      </x:c>
      <x:c r="C827" s="2" t="n">
        <x:v>46227.70238086805</x:v>
      </x:c>
      <x:c r="D827" s="2" t="str">
        <x:v>os_cfar</x:v>
      </x:c>
      <x:c r="E827" s="2" t="str">
        <x:v>fft_edge</x:v>
      </x:c>
      <x:c r="F827" s="2" t="str">
        <x:v>413</x:v>
      </x:c>
      <x:c r="G827" s="2" t="str">
        <x:v>3144216</x:v>
      </x:c>
      <x:c r="H827" s="2" t="str">
        <x:v>2048000.0</x:v>
      </x:c>
      <x:c r="I827" s="2" t="str">
        <x:v>8192</x:v>
      </x:c>
      <x:c r="J827" s="2" t="str">
        <x:v>250.0</x:v>
      </x:c>
      <x:c r="K827" s="2" t="str">
        <x:v>1</x:v>
      </x:c>
      <x:c r="L827" s="2" t="str">
        <x:v>3</x:v>
      </x:c>
      <x:c r="M827" s="2" t="str">
        <x:v>1</x:v>
      </x:c>
      <x:c r="N827" s="2" t="str">
        <x:v>2</x:v>
      </x:c>
      <x:c r="O827" s="2" t="str">
        <x:v>0</x:v>
      </x:c>
      <x:c r="P827" s="2" t="str">
        <x:v>true</x:v>
      </x:c>
      <x:c r="Q827" s="2" t="str">
        <x:v>-40.743358488</x:v>
      </x:c>
      <x:c r="R827" s="2" t="str">
        <x:v>13.973249995615333</x:v>
      </x:c>
      <x:c r="S827" s="2" t="str">
        <x:v>48.223888037517135</x:v>
      </x:c>
    </x:row>
    <x:row r="828">
      <x:c r="A828" s="2" t="str">
        <x:v>DE-CMP-01</x:v>
      </x:c>
      <x:c r="B828" s="2" t="str">
        <x:v>CFG-C01</x:v>
      </x:c>
      <x:c r="C828" s="2" t="n">
        <x:v>46227.70238086805</x:v>
      </x:c>
      <x:c r="D828" s="2" t="str">
        <x:v>os_cfar</x:v>
      </x:c>
      <x:c r="E828" s="2" t="str">
        <x:v>fft_edge</x:v>
      </x:c>
      <x:c r="F828" s="2" t="str">
        <x:v>414</x:v>
      </x:c>
      <x:c r="G828" s="2" t="str">
        <x:v>3144217</x:v>
      </x:c>
      <x:c r="H828" s="2" t="str">
        <x:v>2048000.0</x:v>
      </x:c>
      <x:c r="I828" s="2" t="str">
        <x:v>8192</x:v>
      </x:c>
      <x:c r="J828" s="2" t="str">
        <x:v>250.0</x:v>
      </x:c>
      <x:c r="K828" s="2" t="str">
        <x:v>1</x:v>
      </x:c>
      <x:c r="L828" s="2" t="str">
        <x:v>3</x:v>
      </x:c>
      <x:c r="M828" s="2" t="str">
        <x:v>1</x:v>
      </x:c>
      <x:c r="N828" s="2" t="str">
        <x:v>2</x:v>
      </x:c>
      <x:c r="O828" s="2" t="str">
        <x:v>0</x:v>
      </x:c>
      <x:c r="P828" s="2" t="str">
        <x:v>true</x:v>
      </x:c>
      <x:c r="Q828" s="2" t="str">
        <x:v>-86.888400220</x:v>
      </x:c>
      <x:c r="R828" s="2" t="str">
        <x:v>13.859499988029711</x:v>
      </x:c>
      <x:c r="S828" s="2" t="str">
        <x:v>48.11638432091649</x:v>
      </x:c>
    </x:row>
    <x:row r="829">
      <x:c r="A829" s="2" t="str">
        <x:v>DE-CMP-01</x:v>
      </x:c>
      <x:c r="B829" s="2" t="str">
        <x:v>CFG-C01</x:v>
      </x:c>
      <x:c r="C829" s="2" t="n">
        <x:v>46227.70238086805</x:v>
      </x:c>
      <x:c r="D829" s="2" t="str">
        <x:v>adaptive</x:v>
      </x:c>
      <x:c r="E829" s="2" t="str">
        <x:v>fft_edge</x:v>
      </x:c>
      <x:c r="F829" s="2" t="str">
        <x:v>414</x:v>
      </x:c>
      <x:c r="G829" s="2" t="str">
        <x:v>3144217</x:v>
      </x:c>
      <x:c r="H829" s="2" t="str">
        <x:v>2048000.0</x:v>
      </x:c>
      <x:c r="I829" s="2" t="str">
        <x:v>8192</x:v>
      </x:c>
      <x:c r="J829" s="2" t="str">
        <x:v>250.0</x:v>
      </x:c>
      <x:c r="K829" s="2" t="str">
        <x:v>1</x:v>
      </x:c>
      <x:c r="L829" s="2" t="str">
        <x:v>3</x:v>
      </x:c>
      <x:c r="M829" s="2" t="str">
        <x:v>1</x:v>
      </x:c>
      <x:c r="N829" s="2" t="str">
        <x:v>2</x:v>
      </x:c>
      <x:c r="O829" s="2" t="str">
        <x:v>0</x:v>
      </x:c>
      <x:c r="P829" s="2" t="str">
        <x:v>true</x:v>
      </x:c>
      <x:c r="Q829" s="2" t="str">
        <x:v>-86.888400220</x:v>
      </x:c>
      <x:c r="R829" s="2" t="str">
        <x:v>0.42212499829474837</x:v>
      </x:c>
      <x:c r="S829" s="2" t="str">
        <x:v>46.26415434642156</x:v>
      </x:c>
    </x:row>
    <x:row r="830">
      <x:c r="A830" s="2" t="str">
        <x:v>DE-CMP-01</x:v>
      </x:c>
      <x:c r="B830" s="2" t="str">
        <x:v>CFG-C01</x:v>
      </x:c>
      <x:c r="C830" s="2" t="n">
        <x:v>46227.70238086805</x:v>
      </x:c>
      <x:c r="D830" s="2" t="str">
        <x:v>adaptive</x:v>
      </x:c>
      <x:c r="E830" s="2" t="str">
        <x:v>fft_edge</x:v>
      </x:c>
      <x:c r="F830" s="2" t="str">
        <x:v>415</x:v>
      </x:c>
      <x:c r="G830" s="2" t="str">
        <x:v>3144218</x:v>
      </x:c>
      <x:c r="H830" s="2" t="str">
        <x:v>2048000.0</x:v>
      </x:c>
      <x:c r="I830" s="2" t="str">
        <x:v>8192</x:v>
      </x:c>
      <x:c r="J830" s="2" t="str">
        <x:v>250.0</x:v>
      </x:c>
      <x:c r="K830" s="2" t="str">
        <x:v>1</x:v>
      </x:c>
      <x:c r="L830" s="2" t="str">
        <x:v>3</x:v>
      </x:c>
      <x:c r="M830" s="2" t="str">
        <x:v>1</x:v>
      </x:c>
      <x:c r="N830" s="2" t="str">
        <x:v>2</x:v>
      </x:c>
      <x:c r="O830" s="2" t="str">
        <x:v>0</x:v>
      </x:c>
      <x:c r="P830" s="2" t="str">
        <x:v>true</x:v>
      </x:c>
      <x:c r="Q830" s="2" t="str">
        <x:v>-92.083290159</x:v>
      </x:c>
      <x:c r="R830" s="2" t="str">
        <x:v>0.4109590081498027</x:v>
      </x:c>
      <x:c r="S830" s="2" t="str">
        <x:v>46.339800356163224</x:v>
      </x:c>
    </x:row>
    <x:row r="831">
      <x:c r="A831" s="2" t="str">
        <x:v>DE-CMP-01</x:v>
      </x:c>
      <x:c r="B831" s="2" t="str">
        <x:v>CFG-C01</x:v>
      </x:c>
      <x:c r="C831" s="2" t="n">
        <x:v>46227.70238086805</x:v>
      </x:c>
      <x:c r="D831" s="2" t="str">
        <x:v>os_cfar</x:v>
      </x:c>
      <x:c r="E831" s="2" t="str">
        <x:v>fft_edge</x:v>
      </x:c>
      <x:c r="F831" s="2" t="str">
        <x:v>415</x:v>
      </x:c>
      <x:c r="G831" s="2" t="str">
        <x:v>3144218</x:v>
      </x:c>
      <x:c r="H831" s="2" t="str">
        <x:v>2048000.0</x:v>
      </x:c>
      <x:c r="I831" s="2" t="str">
        <x:v>8192</x:v>
      </x:c>
      <x:c r="J831" s="2" t="str">
        <x:v>250.0</x:v>
      </x:c>
      <x:c r="K831" s="2" t="str">
        <x:v>1</x:v>
      </x:c>
      <x:c r="L831" s="2" t="str">
        <x:v>3</x:v>
      </x:c>
      <x:c r="M831" s="2" t="str">
        <x:v>1</x:v>
      </x:c>
      <x:c r="N831" s="2" t="str">
        <x:v>2</x:v>
      </x:c>
      <x:c r="O831" s="2" t="str">
        <x:v>0</x:v>
      </x:c>
      <x:c r="P831" s="2" t="str">
        <x:v>true</x:v>
      </x:c>
      <x:c r="Q831" s="2" t="str">
        <x:v>-92.083290159</x:v>
      </x:c>
      <x:c r="R831" s="2" t="str">
        <x:v>13.57899999129586</x:v>
      </x:c>
      <x:c r="S831" s="2" t="str">
        <x:v>48.09445330603539</x:v>
      </x:c>
    </x:row>
    <x:row r="832">
      <x:c r="A832" s="2" t="str">
        <x:v>DE-CMP-01</x:v>
      </x:c>
      <x:c r="B832" s="2" t="str">
        <x:v>CFG-C01</x:v>
      </x:c>
      <x:c r="C832" s="2" t="n">
        <x:v>46227.70238086805</x:v>
      </x:c>
      <x:c r="D832" s="2" t="str">
        <x:v>os_cfar</x:v>
      </x:c>
      <x:c r="E832" s="2" t="str">
        <x:v>fft_edge</x:v>
      </x:c>
      <x:c r="F832" s="2" t="str">
        <x:v>416</x:v>
      </x:c>
      <x:c r="G832" s="2" t="str">
        <x:v>3144219</x:v>
      </x:c>
      <x:c r="H832" s="2" t="str">
        <x:v>2048000.0</x:v>
      </x:c>
      <x:c r="I832" s="2" t="str">
        <x:v>8192</x:v>
      </x:c>
      <x:c r="J832" s="2" t="str">
        <x:v>250.0</x:v>
      </x:c>
      <x:c r="K832" s="2" t="str">
        <x:v>1</x:v>
      </x:c>
      <x:c r="L832" s="2" t="str">
        <x:v>3</x:v>
      </x:c>
      <x:c r="M832" s="2" t="str">
        <x:v>1</x:v>
      </x:c>
      <x:c r="N832" s="2" t="str">
        <x:v>2</x:v>
      </x:c>
      <x:c r="O832" s="2" t="str">
        <x:v>0</x:v>
      </x:c>
      <x:c r="P832" s="2" t="str">
        <x:v>true</x:v>
      </x:c>
      <x:c r="Q832" s="2" t="str">
        <x:v>-114.327883434</x:v>
      </x:c>
      <x:c r="R832" s="2" t="str">
        <x:v>13.879209000151604</x:v>
      </x:c>
      <x:c r="S832" s="2" t="str">
        <x:v>48.17973867673787</x:v>
      </x:c>
    </x:row>
    <x:row r="833">
      <x:c r="A833" s="2" t="str">
        <x:v>DE-CMP-01</x:v>
      </x:c>
      <x:c r="B833" s="2" t="str">
        <x:v>CFG-C01</x:v>
      </x:c>
      <x:c r="C833" s="2" t="n">
        <x:v>46227.70238086805</x:v>
      </x:c>
      <x:c r="D833" s="2" t="str">
        <x:v>adaptive</x:v>
      </x:c>
      <x:c r="E833" s="2" t="str">
        <x:v>fft_edge</x:v>
      </x:c>
      <x:c r="F833" s="2" t="str">
        <x:v>416</x:v>
      </x:c>
      <x:c r="G833" s="2" t="str">
        <x:v>3144219</x:v>
      </x:c>
      <x:c r="H833" s="2" t="str">
        <x:v>2048000.0</x:v>
      </x:c>
      <x:c r="I833" s="2" t="str">
        <x:v>8192</x:v>
      </x:c>
      <x:c r="J833" s="2" t="str">
        <x:v>250.0</x:v>
      </x:c>
      <x:c r="K833" s="2" t="str">
        <x:v>1</x:v>
      </x:c>
      <x:c r="L833" s="2" t="str">
        <x:v>3</x:v>
      </x:c>
      <x:c r="M833" s="2" t="str">
        <x:v>1</x:v>
      </x:c>
      <x:c r="N833" s="2" t="str">
        <x:v>2</x:v>
      </x:c>
      <x:c r="O833" s="2" t="str">
        <x:v>0</x:v>
      </x:c>
      <x:c r="P833" s="2" t="str">
        <x:v>true</x:v>
      </x:c>
      <x:c r="Q833" s="2" t="str">
        <x:v>-114.327883434</x:v>
      </x:c>
      <x:c r="R833" s="2" t="str">
        <x:v>0.4369169910205528</x:v>
      </x:c>
      <x:c r="S833" s="2" t="str">
        <x:v>46.45772233994293</x:v>
      </x:c>
    </x:row>
    <x:row r="834">
      <x:c r="A834" s="2" t="str">
        <x:v>DE-CMP-01</x:v>
      </x:c>
      <x:c r="B834" s="2" t="str">
        <x:v>CFG-C01</x:v>
      </x:c>
      <x:c r="C834" s="2" t="n">
        <x:v>46227.70238086805</x:v>
      </x:c>
      <x:c r="D834" s="2" t="str">
        <x:v>adaptive</x:v>
      </x:c>
      <x:c r="E834" s="2" t="str">
        <x:v>fft_edge</x:v>
      </x:c>
      <x:c r="F834" s="2" t="str">
        <x:v>417</x:v>
      </x:c>
      <x:c r="G834" s="2" t="str">
        <x:v>3144220</x:v>
      </x:c>
      <x:c r="H834" s="2" t="str">
        <x:v>2048000.0</x:v>
      </x:c>
      <x:c r="I834" s="2" t="str">
        <x:v>8192</x:v>
      </x:c>
      <x:c r="J834" s="2" t="str">
        <x:v>250.0</x:v>
      </x:c>
      <x:c r="K834" s="2" t="str">
        <x:v>1</x:v>
      </x:c>
      <x:c r="L834" s="2" t="str">
        <x:v>3</x:v>
      </x:c>
      <x:c r="M834" s="2" t="str">
        <x:v>1</x:v>
      </x:c>
      <x:c r="N834" s="2" t="str">
        <x:v>2</x:v>
      </x:c>
      <x:c r="O834" s="2" t="str">
        <x:v>0</x:v>
      </x:c>
      <x:c r="P834" s="2" t="str">
        <x:v>true</x:v>
      </x:c>
      <x:c r="Q834" s="2" t="str">
        <x:v>-29.622708880</x:v>
      </x:c>
      <x:c r="R834" s="2" t="str">
        <x:v>0.43162499787285924</x:v>
      </x:c>
      <x:c r="S834" s="2" t="str">
        <x:v>46.2756917457436</x:v>
      </x:c>
    </x:row>
    <x:row r="835">
      <x:c r="A835" s="2" t="str">
        <x:v>DE-CMP-01</x:v>
      </x:c>
      <x:c r="B835" s="2" t="str">
        <x:v>CFG-C01</x:v>
      </x:c>
      <x:c r="C835" s="2" t="n">
        <x:v>46227.70238086805</x:v>
      </x:c>
      <x:c r="D835" s="2" t="str">
        <x:v>os_cfar</x:v>
      </x:c>
      <x:c r="E835" s="2" t="str">
        <x:v>fft_edge</x:v>
      </x:c>
      <x:c r="F835" s="2" t="str">
        <x:v>417</x:v>
      </x:c>
      <x:c r="G835" s="2" t="str">
        <x:v>3144220</x:v>
      </x:c>
      <x:c r="H835" s="2" t="str">
        <x:v>2048000.0</x:v>
      </x:c>
      <x:c r="I835" s="2" t="str">
        <x:v>8192</x:v>
      </x:c>
      <x:c r="J835" s="2" t="str">
        <x:v>250.0</x:v>
      </x:c>
      <x:c r="K835" s="2" t="str">
        <x:v>1</x:v>
      </x:c>
      <x:c r="L835" s="2" t="str">
        <x:v>3</x:v>
      </x:c>
      <x:c r="M835" s="2" t="str">
        <x:v>1</x:v>
      </x:c>
      <x:c r="N835" s="2" t="str">
        <x:v>2</x:v>
      </x:c>
      <x:c r="O835" s="2" t="str">
        <x:v>0</x:v>
      </x:c>
      <x:c r="P835" s="2" t="str">
        <x:v>true</x:v>
      </x:c>
      <x:c r="Q835" s="2" t="str">
        <x:v>-29.622708880</x:v>
      </x:c>
      <x:c r="R835" s="2" t="str">
        <x:v>13.755457999650389</x:v>
      </x:c>
      <x:c r="S835" s="2" t="str">
        <x:v>48.10327466274568</x:v>
      </x:c>
    </x:row>
    <x:row r="836">
      <x:c r="A836" s="2" t="str">
        <x:v>DE-CMP-01</x:v>
      </x:c>
      <x:c r="B836" s="2" t="str">
        <x:v>CFG-C01</x:v>
      </x:c>
      <x:c r="C836" s="2" t="n">
        <x:v>46227.70238086805</x:v>
      </x:c>
      <x:c r="D836" s="2" t="str">
        <x:v>os_cfar</x:v>
      </x:c>
      <x:c r="E836" s="2" t="str">
        <x:v>fft_edge</x:v>
      </x:c>
      <x:c r="F836" s="2" t="str">
        <x:v>418</x:v>
      </x:c>
      <x:c r="G836" s="2" t="str">
        <x:v>3144221</x:v>
      </x:c>
      <x:c r="H836" s="2" t="str">
        <x:v>2048000.0</x:v>
      </x:c>
      <x:c r="I836" s="2" t="str">
        <x:v>8192</x:v>
      </x:c>
      <x:c r="J836" s="2" t="str">
        <x:v>250.0</x:v>
      </x:c>
      <x:c r="K836" s="2" t="str">
        <x:v>1</x:v>
      </x:c>
      <x:c r="L836" s="2" t="str">
        <x:v>3</x:v>
      </x:c>
      <x:c r="M836" s="2" t="str">
        <x:v>1</x:v>
      </x:c>
      <x:c r="N836" s="2" t="str">
        <x:v>2</x:v>
      </x:c>
      <x:c r="O836" s="2" t="str">
        <x:v>0</x:v>
      </x:c>
      <x:c r="P836" s="2" t="str">
        <x:v>true</x:v>
      </x:c>
      <x:c r="Q836" s="2" t="str">
        <x:v>94.127282088</x:v>
      </x:c>
      <x:c r="R836" s="2" t="str">
        <x:v>13.75095899857115</x:v>
      </x:c>
      <x:c r="S836" s="2" t="str">
        <x:v>48.14215976561017</x:v>
      </x:c>
    </x:row>
    <x:row r="837">
      <x:c r="A837" s="2" t="str">
        <x:v>DE-CMP-01</x:v>
      </x:c>
      <x:c r="B837" s="2" t="str">
        <x:v>CFG-C01</x:v>
      </x:c>
      <x:c r="C837" s="2" t="n">
        <x:v>46227.70238086805</x:v>
      </x:c>
      <x:c r="D837" s="2" t="str">
        <x:v>adaptive</x:v>
      </x:c>
      <x:c r="E837" s="2" t="str">
        <x:v>fft_edge</x:v>
      </x:c>
      <x:c r="F837" s="2" t="str">
        <x:v>418</x:v>
      </x:c>
      <x:c r="G837" s="2" t="str">
        <x:v>3144221</x:v>
      </x:c>
      <x:c r="H837" s="2" t="str">
        <x:v>2048000.0</x:v>
      </x:c>
      <x:c r="I837" s="2" t="str">
        <x:v>8192</x:v>
      </x:c>
      <x:c r="J837" s="2" t="str">
        <x:v>250.0</x:v>
      </x:c>
      <x:c r="K837" s="2" t="str">
        <x:v>1</x:v>
      </x:c>
      <x:c r="L837" s="2" t="str">
        <x:v>3</x:v>
      </x:c>
      <x:c r="M837" s="2" t="str">
        <x:v>1</x:v>
      </x:c>
      <x:c r="N837" s="2" t="str">
        <x:v>2</x:v>
      </x:c>
      <x:c r="O837" s="2" t="str">
        <x:v>0</x:v>
      </x:c>
      <x:c r="P837" s="2" t="str">
        <x:v>true</x:v>
      </x:c>
      <x:c r="Q837" s="2" t="str">
        <x:v>94.127282088</x:v>
      </x:c>
      <x:c r="R837" s="2" t="str">
        <x:v>0.42266599484719336</x:v>
      </x:c>
      <x:c r="S837" s="2" t="str">
        <x:v>46.60848809816267</x:v>
      </x:c>
    </x:row>
    <x:row r="838">
      <x:c r="A838" s="2" t="str">
        <x:v>DE-CMP-01</x:v>
      </x:c>
      <x:c r="B838" s="2" t="str">
        <x:v>CFG-C01</x:v>
      </x:c>
      <x:c r="C838" s="2" t="n">
        <x:v>46227.70238086805</x:v>
      </x:c>
      <x:c r="D838" s="2" t="str">
        <x:v>adaptive</x:v>
      </x:c>
      <x:c r="E838" s="2" t="str">
        <x:v>fft_edge</x:v>
      </x:c>
      <x:c r="F838" s="2" t="str">
        <x:v>419</x:v>
      </x:c>
      <x:c r="G838" s="2" t="str">
        <x:v>3144222</x:v>
      </x:c>
      <x:c r="H838" s="2" t="str">
        <x:v>2048000.0</x:v>
      </x:c>
      <x:c r="I838" s="2" t="str">
        <x:v>8192</x:v>
      </x:c>
      <x:c r="J838" s="2" t="str">
        <x:v>250.0</x:v>
      </x:c>
      <x:c r="K838" s="2" t="str">
        <x:v>1</x:v>
      </x:c>
      <x:c r="L838" s="2" t="str">
        <x:v>3</x:v>
      </x:c>
      <x:c r="M838" s="2" t="str">
        <x:v>1</x:v>
      </x:c>
      <x:c r="N838" s="2" t="str">
        <x:v>2</x:v>
      </x:c>
      <x:c r="O838" s="2" t="str">
        <x:v>0</x:v>
      </x:c>
      <x:c r="P838" s="2" t="str">
        <x:v>true</x:v>
      </x:c>
      <x:c r="Q838" s="2" t="str">
        <x:v>102.100739252</x:v>
      </x:c>
      <x:c r="R838" s="2" t="str">
        <x:v>0.4179579991614446</x:v>
      </x:c>
      <x:c r="S838" s="2" t="str">
        <x:v>46.43418163981891</x:v>
      </x:c>
    </x:row>
    <x:row r="839">
      <x:c r="A839" s="2" t="str">
        <x:v>DE-CMP-01</x:v>
      </x:c>
      <x:c r="B839" s="2" t="str">
        <x:v>CFG-C01</x:v>
      </x:c>
      <x:c r="C839" s="2" t="n">
        <x:v>46227.70238086805</x:v>
      </x:c>
      <x:c r="D839" s="2" t="str">
        <x:v>os_cfar</x:v>
      </x:c>
      <x:c r="E839" s="2" t="str">
        <x:v>fft_edge</x:v>
      </x:c>
      <x:c r="F839" s="2" t="str">
        <x:v>419</x:v>
      </x:c>
      <x:c r="G839" s="2" t="str">
        <x:v>3144222</x:v>
      </x:c>
      <x:c r="H839" s="2" t="str">
        <x:v>2048000.0</x:v>
      </x:c>
      <x:c r="I839" s="2" t="str">
        <x:v>8192</x:v>
      </x:c>
      <x:c r="J839" s="2" t="str">
        <x:v>250.0</x:v>
      </x:c>
      <x:c r="K839" s="2" t="str">
        <x:v>1</x:v>
      </x:c>
      <x:c r="L839" s="2" t="str">
        <x:v>3</x:v>
      </x:c>
      <x:c r="M839" s="2" t="str">
        <x:v>1</x:v>
      </x:c>
      <x:c r="N839" s="2" t="str">
        <x:v>2</x:v>
      </x:c>
      <x:c r="O839" s="2" t="str">
        <x:v>0</x:v>
      </x:c>
      <x:c r="P839" s="2" t="str">
        <x:v>true</x:v>
      </x:c>
      <x:c r="Q839" s="2" t="str">
        <x:v>102.100739252</x:v>
      </x:c>
      <x:c r="R839" s="2" t="str">
        <x:v>13.77745799254626</x:v>
      </x:c>
      <x:c r="S839" s="2" t="str">
        <x:v>48.17735727677085</x:v>
      </x:c>
    </x:row>
    <x:row r="840">
      <x:c r="A840" s="2" t="str">
        <x:v>DE-CMP-01</x:v>
      </x:c>
      <x:c r="B840" s="2" t="str">
        <x:v>CFG-C01</x:v>
      </x:c>
      <x:c r="C840" s="2" t="n">
        <x:v>46227.70238086805</x:v>
      </x:c>
      <x:c r="D840" s="2" t="str">
        <x:v>os_cfar</x:v>
      </x:c>
      <x:c r="E840" s="2" t="str">
        <x:v>fft_edge</x:v>
      </x:c>
      <x:c r="F840" s="2" t="str">
        <x:v>420</x:v>
      </x:c>
      <x:c r="G840" s="2" t="str">
        <x:v>3144223</x:v>
      </x:c>
      <x:c r="H840" s="2" t="str">
        <x:v>2048000.0</x:v>
      </x:c>
      <x:c r="I840" s="2" t="str">
        <x:v>8192</x:v>
      </x:c>
      <x:c r="J840" s="2" t="str">
        <x:v>250.0</x:v>
      </x:c>
      <x:c r="K840" s="2" t="str">
        <x:v>1</x:v>
      </x:c>
      <x:c r="L840" s="2" t="str">
        <x:v>3</x:v>
      </x:c>
      <x:c r="M840" s="2" t="str">
        <x:v>1</x:v>
      </x:c>
      <x:c r="N840" s="2" t="str">
        <x:v>2</x:v>
      </x:c>
      <x:c r="O840" s="2" t="str">
        <x:v>0</x:v>
      </x:c>
      <x:c r="P840" s="2" t="str">
        <x:v>true</x:v>
      </x:c>
      <x:c r="Q840" s="2" t="str">
        <x:v>113.611359335</x:v>
      </x:c>
      <x:c r="R840" s="2" t="str">
        <x:v>13.75916600227356</x:v>
      </x:c>
      <x:c r="S840" s="2" t="str">
        <x:v>48.20215229503675</x:v>
      </x:c>
    </x:row>
    <x:row r="841">
      <x:c r="A841" s="2" t="str">
        <x:v>DE-CMP-01</x:v>
      </x:c>
      <x:c r="B841" s="2" t="str">
        <x:v>CFG-C01</x:v>
      </x:c>
      <x:c r="C841" s="2" t="n">
        <x:v>46227.70238086805</x:v>
      </x:c>
      <x:c r="D841" s="2" t="str">
        <x:v>adaptive</x:v>
      </x:c>
      <x:c r="E841" s="2" t="str">
        <x:v>fft_edge</x:v>
      </x:c>
      <x:c r="F841" s="2" t="str">
        <x:v>420</x:v>
      </x:c>
      <x:c r="G841" s="2" t="str">
        <x:v>3144223</x:v>
      </x:c>
      <x:c r="H841" s="2" t="str">
        <x:v>2048000.0</x:v>
      </x:c>
      <x:c r="I841" s="2" t="str">
        <x:v>8192</x:v>
      </x:c>
      <x:c r="J841" s="2" t="str">
        <x:v>250.0</x:v>
      </x:c>
      <x:c r="K841" s="2" t="str">
        <x:v>1</x:v>
      </x:c>
      <x:c r="L841" s="2" t="str">
        <x:v>3</x:v>
      </x:c>
      <x:c r="M841" s="2" t="str">
        <x:v>1</x:v>
      </x:c>
      <x:c r="N841" s="2" t="str">
        <x:v>2</x:v>
      </x:c>
      <x:c r="O841" s="2" t="str">
        <x:v>0</x:v>
      </x:c>
      <x:c r="P841" s="2" t="str">
        <x:v>true</x:v>
      </x:c>
      <x:c r="Q841" s="2" t="str">
        <x:v>113.611359335</x:v>
      </x:c>
      <x:c r="R841" s="2" t="str">
        <x:v>0.5127500044181943</x:v>
      </x:c>
      <x:c r="S841" s="2" t="str">
        <x:v>46.464785991525886</x:v>
      </x:c>
    </x:row>
    <x:row r="842">
      <x:c r="A842" s="2" t="str">
        <x:v>DE-CMP-01</x:v>
      </x:c>
      <x:c r="B842" s="2" t="str">
        <x:v>CFG-C01</x:v>
      </x:c>
      <x:c r="C842" s="2" t="n">
        <x:v>46227.70238086805</x:v>
      </x:c>
      <x:c r="D842" s="2" t="str">
        <x:v>adaptive</x:v>
      </x:c>
      <x:c r="E842" s="2" t="str">
        <x:v>fft_edge</x:v>
      </x:c>
      <x:c r="F842" s="2" t="str">
        <x:v>421</x:v>
      </x:c>
      <x:c r="G842" s="2" t="str">
        <x:v>3144224</x:v>
      </x:c>
      <x:c r="H842" s="2" t="str">
        <x:v>2048000.0</x:v>
      </x:c>
      <x:c r="I842" s="2" t="str">
        <x:v>8192</x:v>
      </x:c>
      <x:c r="J842" s="2" t="str">
        <x:v>250.0</x:v>
      </x:c>
      <x:c r="K842" s="2" t="str">
        <x:v>1</x:v>
      </x:c>
      <x:c r="L842" s="2" t="str">
        <x:v>3</x:v>
      </x:c>
      <x:c r="M842" s="2" t="str">
        <x:v>1</x:v>
      </x:c>
      <x:c r="N842" s="2" t="str">
        <x:v>2</x:v>
      </x:c>
      <x:c r="O842" s="2" t="str">
        <x:v>0</x:v>
      </x:c>
      <x:c r="P842" s="2" t="str">
        <x:v>true</x:v>
      </x:c>
      <x:c r="Q842" s="2" t="str">
        <x:v>81.166090409</x:v>
      </x:c>
      <x:c r="R842" s="2" t="str">
        <x:v>0.458958005765453</x:v>
      </x:c>
      <x:c r="S842" s="2" t="str">
        <x:v>46.47728040242704</x:v>
      </x:c>
    </x:row>
    <x:row r="843">
      <x:c r="A843" s="2" t="str">
        <x:v>DE-CMP-01</x:v>
      </x:c>
      <x:c r="B843" s="2" t="str">
        <x:v>CFG-C01</x:v>
      </x:c>
      <x:c r="C843" s="2" t="n">
        <x:v>46227.70238086805</x:v>
      </x:c>
      <x:c r="D843" s="2" t="str">
        <x:v>os_cfar</x:v>
      </x:c>
      <x:c r="E843" s="2" t="str">
        <x:v>fft_edge</x:v>
      </x:c>
      <x:c r="F843" s="2" t="str">
        <x:v>421</x:v>
      </x:c>
      <x:c r="G843" s="2" t="str">
        <x:v>3144224</x:v>
      </x:c>
      <x:c r="H843" s="2" t="str">
        <x:v>2048000.0</x:v>
      </x:c>
      <x:c r="I843" s="2" t="str">
        <x:v>8192</x:v>
      </x:c>
      <x:c r="J843" s="2" t="str">
        <x:v>250.0</x:v>
      </x:c>
      <x:c r="K843" s="2" t="str">
        <x:v>1</x:v>
      </x:c>
      <x:c r="L843" s="2" t="str">
        <x:v>3</x:v>
      </x:c>
      <x:c r="M843" s="2" t="str">
        <x:v>1</x:v>
      </x:c>
      <x:c r="N843" s="2" t="str">
        <x:v>2</x:v>
      </x:c>
      <x:c r="O843" s="2" t="str">
        <x:v>0</x:v>
      </x:c>
      <x:c r="P843" s="2" t="str">
        <x:v>true</x:v>
      </x:c>
      <x:c r="Q843" s="2" t="str">
        <x:v>81.166090409</x:v>
      </x:c>
      <x:c r="R843" s="2" t="str">
        <x:v>13.882625004043803</x:v>
      </x:c>
      <x:c r="S843" s="2" t="str">
        <x:v>48.14277400911885</x:v>
      </x:c>
    </x:row>
    <x:row r="844">
      <x:c r="A844" s="2" t="str">
        <x:v>DE-CMP-01</x:v>
      </x:c>
      <x:c r="B844" s="2" t="str">
        <x:v>CFG-C01</x:v>
      </x:c>
      <x:c r="C844" s="2" t="n">
        <x:v>46227.70238086805</x:v>
      </x:c>
      <x:c r="D844" s="2" t="str">
        <x:v>os_cfar</x:v>
      </x:c>
      <x:c r="E844" s="2" t="str">
        <x:v>fft_edge</x:v>
      </x:c>
      <x:c r="F844" s="2" t="str">
        <x:v>422</x:v>
      </x:c>
      <x:c r="G844" s="2" t="str">
        <x:v>3144225</x:v>
      </x:c>
      <x:c r="H844" s="2" t="str">
        <x:v>2048000.0</x:v>
      </x:c>
      <x:c r="I844" s="2" t="str">
        <x:v>8192</x:v>
      </x:c>
      <x:c r="J844" s="2" t="str">
        <x:v>250.0</x:v>
      </x:c>
      <x:c r="K844" s="2" t="str">
        <x:v>1</x:v>
      </x:c>
      <x:c r="L844" s="2" t="str">
        <x:v>3</x:v>
      </x:c>
      <x:c r="M844" s="2" t="str">
        <x:v>1</x:v>
      </x:c>
      <x:c r="N844" s="2" t="str">
        <x:v>2</x:v>
      </x:c>
      <x:c r="O844" s="2" t="str">
        <x:v>0</x:v>
      </x:c>
      <x:c r="P844" s="2" t="str">
        <x:v>true</x:v>
      </x:c>
      <x:c r="Q844" s="2" t="str">
        <x:v>58.553171313</x:v>
      </x:c>
      <x:c r="R844" s="2" t="str">
        <x:v>13.80362499912735</x:v>
      </x:c>
      <x:c r="S844" s="2" t="str">
        <x:v>48.295692566739525</x:v>
      </x:c>
    </x:row>
    <x:row r="845">
      <x:c r="A845" s="2" t="str">
        <x:v>DE-CMP-01</x:v>
      </x:c>
      <x:c r="B845" s="2" t="str">
        <x:v>CFG-C01</x:v>
      </x:c>
      <x:c r="C845" s="2" t="n">
        <x:v>46227.70238086805</x:v>
      </x:c>
      <x:c r="D845" s="2" t="str">
        <x:v>adaptive</x:v>
      </x:c>
      <x:c r="E845" s="2" t="str">
        <x:v>fft_edge</x:v>
      </x:c>
      <x:c r="F845" s="2" t="str">
        <x:v>422</x:v>
      </x:c>
      <x:c r="G845" s="2" t="str">
        <x:v>3144225</x:v>
      </x:c>
      <x:c r="H845" s="2" t="str">
        <x:v>2048000.0</x:v>
      </x:c>
      <x:c r="I845" s="2" t="str">
        <x:v>8192</x:v>
      </x:c>
      <x:c r="J845" s="2" t="str">
        <x:v>250.0</x:v>
      </x:c>
      <x:c r="K845" s="2" t="str">
        <x:v>1</x:v>
      </x:c>
      <x:c r="L845" s="2" t="str">
        <x:v>3</x:v>
      </x:c>
      <x:c r="M845" s="2" t="str">
        <x:v>1</x:v>
      </x:c>
      <x:c r="N845" s="2" t="str">
        <x:v>2</x:v>
      </x:c>
      <x:c r="O845" s="2" t="str">
        <x:v>0</x:v>
      </x:c>
      <x:c r="P845" s="2" t="str">
        <x:v>true</x:v>
      </x:c>
      <x:c r="Q845" s="2" t="str">
        <x:v>58.553171313</x:v>
      </x:c>
      <x:c r="R845" s="2" t="str">
        <x:v>0.41762499313335866</x:v>
      </x:c>
      <x:c r="S845" s="2" t="str">
        <x:v>46.69226193181071</x:v>
      </x:c>
    </x:row>
    <x:row r="846">
      <x:c r="A846" s="2" t="str">
        <x:v>DE-CMP-01</x:v>
      </x:c>
      <x:c r="B846" s="2" t="str">
        <x:v>CFG-C01</x:v>
      </x:c>
      <x:c r="C846" s="2" t="n">
        <x:v>46227.70238086805</x:v>
      </x:c>
      <x:c r="D846" s="2" t="str">
        <x:v>adaptive</x:v>
      </x:c>
      <x:c r="E846" s="2" t="str">
        <x:v>fft_edge</x:v>
      </x:c>
      <x:c r="F846" s="2" t="str">
        <x:v>423</x:v>
      </x:c>
      <x:c r="G846" s="2" t="str">
        <x:v>3144226</x:v>
      </x:c>
      <x:c r="H846" s="2" t="str">
        <x:v>2048000.0</x:v>
      </x:c>
      <x:c r="I846" s="2" t="str">
        <x:v>8192</x:v>
      </x:c>
      <x:c r="J846" s="2" t="str">
        <x:v>250.0</x:v>
      </x:c>
      <x:c r="K846" s="2" t="str">
        <x:v>1</x:v>
      </x:c>
      <x:c r="L846" s="2" t="str">
        <x:v>3</x:v>
      </x:c>
      <x:c r="M846" s="2" t="str">
        <x:v>1</x:v>
      </x:c>
      <x:c r="N846" s="2" t="str">
        <x:v>2</x:v>
      </x:c>
      <x:c r="O846" s="2" t="str">
        <x:v>0</x:v>
      </x:c>
      <x:c r="P846" s="2" t="str">
        <x:v>true</x:v>
      </x:c>
      <x:c r="Q846" s="2" t="str">
        <x:v>-39.334827753</x:v>
      </x:c>
      <x:c r="R846" s="2" t="str">
        <x:v>0.42579199362080544</x:v>
      </x:c>
      <x:c r="S846" s="2" t="str">
        <x:v>46.389472608088596</x:v>
      </x:c>
    </x:row>
    <x:row r="847">
      <x:c r="A847" s="2" t="str">
        <x:v>DE-CMP-01</x:v>
      </x:c>
      <x:c r="B847" s="2" t="str">
        <x:v>CFG-C01</x:v>
      </x:c>
      <x:c r="C847" s="2" t="n">
        <x:v>46227.70238086805</x:v>
      </x:c>
      <x:c r="D847" s="2" t="str">
        <x:v>os_cfar</x:v>
      </x:c>
      <x:c r="E847" s="2" t="str">
        <x:v>fft_edge</x:v>
      </x:c>
      <x:c r="F847" s="2" t="str">
        <x:v>423</x:v>
      </x:c>
      <x:c r="G847" s="2" t="str">
        <x:v>3144226</x:v>
      </x:c>
      <x:c r="H847" s="2" t="str">
        <x:v>2048000.0</x:v>
      </x:c>
      <x:c r="I847" s="2" t="str">
        <x:v>8192</x:v>
      </x:c>
      <x:c r="J847" s="2" t="str">
        <x:v>250.0</x:v>
      </x:c>
      <x:c r="K847" s="2" t="str">
        <x:v>1</x:v>
      </x:c>
      <x:c r="L847" s="2" t="str">
        <x:v>3</x:v>
      </x:c>
      <x:c r="M847" s="2" t="str">
        <x:v>1</x:v>
      </x:c>
      <x:c r="N847" s="2" t="str">
        <x:v>2</x:v>
      </x:c>
      <x:c r="O847" s="2" t="str">
        <x:v>0</x:v>
      </x:c>
      <x:c r="P847" s="2" t="str">
        <x:v>true</x:v>
      </x:c>
      <x:c r="Q847" s="2" t="str">
        <x:v>-39.334827753</x:v>
      </x:c>
      <x:c r="R847" s="2" t="str">
        <x:v>14.035083004273474</x:v>
      </x:c>
      <x:c r="S847" s="2" t="str">
        <x:v>48.167071463351185</x:v>
      </x:c>
    </x:row>
    <x:row r="848">
      <x:c r="A848" s="2" t="str">
        <x:v>DE-CMP-01</x:v>
      </x:c>
      <x:c r="B848" s="2" t="str">
        <x:v>CFG-C01</x:v>
      </x:c>
      <x:c r="C848" s="2" t="n">
        <x:v>46227.70238086805</x:v>
      </x:c>
      <x:c r="D848" s="2" t="str">
        <x:v>os_cfar</x:v>
      </x:c>
      <x:c r="E848" s="2" t="str">
        <x:v>fft_edge</x:v>
      </x:c>
      <x:c r="F848" s="2" t="str">
        <x:v>424</x:v>
      </x:c>
      <x:c r="G848" s="2" t="str">
        <x:v>3144227</x:v>
      </x:c>
      <x:c r="H848" s="2" t="str">
        <x:v>2048000.0</x:v>
      </x:c>
      <x:c r="I848" s="2" t="str">
        <x:v>8192</x:v>
      </x:c>
      <x:c r="J848" s="2" t="str">
        <x:v>250.0</x:v>
      </x:c>
      <x:c r="K848" s="2" t="str">
        <x:v>1</x:v>
      </x:c>
      <x:c r="L848" s="2" t="str">
        <x:v>3</x:v>
      </x:c>
      <x:c r="M848" s="2" t="str">
        <x:v>1</x:v>
      </x:c>
      <x:c r="N848" s="2" t="str">
        <x:v>2</x:v>
      </x:c>
      <x:c r="O848" s="2" t="str">
        <x:v>0</x:v>
      </x:c>
      <x:c r="P848" s="2" t="str">
        <x:v>true</x:v>
      </x:c>
      <x:c r="Q848" s="2" t="str">
        <x:v>86.063649091</x:v>
      </x:c>
      <x:c r="R848" s="2" t="str">
        <x:v>13.99633300025016</x:v>
      </x:c>
      <x:c r="S848" s="2" t="str">
        <x:v>48.312970835254454</x:v>
      </x:c>
    </x:row>
    <x:row r="849">
      <x:c r="A849" s="2" t="str">
        <x:v>DE-CMP-01</x:v>
      </x:c>
      <x:c r="B849" s="2" t="str">
        <x:v>CFG-C01</x:v>
      </x:c>
      <x:c r="C849" s="2" t="n">
        <x:v>46227.70238086805</x:v>
      </x:c>
      <x:c r="D849" s="2" t="str">
        <x:v>adaptive</x:v>
      </x:c>
      <x:c r="E849" s="2" t="str">
        <x:v>fft_edge</x:v>
      </x:c>
      <x:c r="F849" s="2" t="str">
        <x:v>424</x:v>
      </x:c>
      <x:c r="G849" s="2" t="str">
        <x:v>3144227</x:v>
      </x:c>
      <x:c r="H849" s="2" t="str">
        <x:v>2048000.0</x:v>
      </x:c>
      <x:c r="I849" s="2" t="str">
        <x:v>8192</x:v>
      </x:c>
      <x:c r="J849" s="2" t="str">
        <x:v>250.0</x:v>
      </x:c>
      <x:c r="K849" s="2" t="str">
        <x:v>1</x:v>
      </x:c>
      <x:c r="L849" s="2" t="str">
        <x:v>3</x:v>
      </x:c>
      <x:c r="M849" s="2" t="str">
        <x:v>1</x:v>
      </x:c>
      <x:c r="N849" s="2" t="str">
        <x:v>2</x:v>
      </x:c>
      <x:c r="O849" s="2" t="str">
        <x:v>0</x:v>
      </x:c>
      <x:c r="P849" s="2" t="str">
        <x:v>true</x:v>
      </x:c>
      <x:c r="Q849" s="2" t="str">
        <x:v>86.063649091</x:v>
      </x:c>
      <x:c r="R849" s="2" t="str">
        <x:v>0.4100420046597719</x:v>
      </x:c>
      <x:c r="S849" s="2" t="str">
        <x:v>46.58120993269108</x:v>
      </x:c>
    </x:row>
    <x:row r="850">
      <x:c r="A850" s="2" t="str">
        <x:v>DE-CMP-01</x:v>
      </x:c>
      <x:c r="B850" s="2" t="str">
        <x:v>CFG-C01</x:v>
      </x:c>
      <x:c r="C850" s="2" t="n">
        <x:v>46227.70238086805</x:v>
      </x:c>
      <x:c r="D850" s="2" t="str">
        <x:v>adaptive</x:v>
      </x:c>
      <x:c r="E850" s="2" t="str">
        <x:v>fft_edge</x:v>
      </x:c>
      <x:c r="F850" s="2" t="str">
        <x:v>425</x:v>
      </x:c>
      <x:c r="G850" s="2" t="str">
        <x:v>3144228</x:v>
      </x:c>
      <x:c r="H850" s="2" t="str">
        <x:v>2048000.0</x:v>
      </x:c>
      <x:c r="I850" s="2" t="str">
        <x:v>8192</x:v>
      </x:c>
      <x:c r="J850" s="2" t="str">
        <x:v>250.0</x:v>
      </x:c>
      <x:c r="K850" s="2" t="str">
        <x:v>1</x:v>
      </x:c>
      <x:c r="L850" s="2" t="str">
        <x:v>3</x:v>
      </x:c>
      <x:c r="M850" s="2" t="str">
        <x:v>1</x:v>
      </x:c>
      <x:c r="N850" s="2" t="str">
        <x:v>2</x:v>
      </x:c>
      <x:c r="O850" s="2" t="str">
        <x:v>0</x:v>
      </x:c>
      <x:c r="P850" s="2" t="str">
        <x:v>true</x:v>
      </x:c>
      <x:c r="Q850" s="2" t="str">
        <x:v>90.199676161</x:v>
      </x:c>
      <x:c r="R850" s="2" t="str">
        <x:v>0.4094580071978271</x:v>
      </x:c>
      <x:c r="S850" s="2" t="str">
        <x:v>46.584376805305155</x:v>
      </x:c>
    </x:row>
    <x:row r="851">
      <x:c r="A851" s="2" t="str">
        <x:v>DE-CMP-01</x:v>
      </x:c>
      <x:c r="B851" s="2" t="str">
        <x:v>CFG-C01</x:v>
      </x:c>
      <x:c r="C851" s="2" t="n">
        <x:v>46227.70238086805</x:v>
      </x:c>
      <x:c r="D851" s="2" t="str">
        <x:v>os_cfar</x:v>
      </x:c>
      <x:c r="E851" s="2" t="str">
        <x:v>fft_edge</x:v>
      </x:c>
      <x:c r="F851" s="2" t="str">
        <x:v>425</x:v>
      </x:c>
      <x:c r="G851" s="2" t="str">
        <x:v>3144228</x:v>
      </x:c>
      <x:c r="H851" s="2" t="str">
        <x:v>2048000.0</x:v>
      </x:c>
      <x:c r="I851" s="2" t="str">
        <x:v>8192</x:v>
      </x:c>
      <x:c r="J851" s="2" t="str">
        <x:v>250.0</x:v>
      </x:c>
      <x:c r="K851" s="2" t="str">
        <x:v>1</x:v>
      </x:c>
      <x:c r="L851" s="2" t="str">
        <x:v>3</x:v>
      </x:c>
      <x:c r="M851" s="2" t="str">
        <x:v>1</x:v>
      </x:c>
      <x:c r="N851" s="2" t="str">
        <x:v>2</x:v>
      </x:c>
      <x:c r="O851" s="2" t="str">
        <x:v>0</x:v>
      </x:c>
      <x:c r="P851" s="2" t="str">
        <x:v>true</x:v>
      </x:c>
      <x:c r="Q851" s="2" t="str">
        <x:v>90.199676161</x:v>
      </x:c>
      <x:c r="R851" s="2" t="str">
        <x:v>13.854250006261282</x:v>
      </x:c>
      <x:c r="S851" s="2" t="str">
        <x:v>48.23430666337685</x:v>
      </x:c>
    </x:row>
    <x:row r="852">
      <x:c r="A852" s="2" t="str">
        <x:v>DE-CMP-01</x:v>
      </x:c>
      <x:c r="B852" s="2" t="str">
        <x:v>CFG-C01</x:v>
      </x:c>
      <x:c r="C852" s="2" t="n">
        <x:v>46227.70238086805</x:v>
      </x:c>
      <x:c r="D852" s="2" t="str">
        <x:v>os_cfar</x:v>
      </x:c>
      <x:c r="E852" s="2" t="str">
        <x:v>fft_edge</x:v>
      </x:c>
      <x:c r="F852" s="2" t="str">
        <x:v>426</x:v>
      </x:c>
      <x:c r="G852" s="2" t="str">
        <x:v>3144229</x:v>
      </x:c>
      <x:c r="H852" s="2" t="str">
        <x:v>2048000.0</x:v>
      </x:c>
      <x:c r="I852" s="2" t="str">
        <x:v>8192</x:v>
      </x:c>
      <x:c r="J852" s="2" t="str">
        <x:v>250.0</x:v>
      </x:c>
      <x:c r="K852" s="2" t="str">
        <x:v>1</x:v>
      </x:c>
      <x:c r="L852" s="2" t="str">
        <x:v>3</x:v>
      </x:c>
      <x:c r="M852" s="2" t="str">
        <x:v>1</x:v>
      </x:c>
      <x:c r="N852" s="2" t="str">
        <x:v>2</x:v>
      </x:c>
      <x:c r="O852" s="2" t="str">
        <x:v>0</x:v>
      </x:c>
      <x:c r="P852" s="2" t="str">
        <x:v>true</x:v>
      </x:c>
      <x:c r="Q852" s="2" t="str">
        <x:v>39.857385661</x:v>
      </x:c>
      <x:c r="R852" s="2" t="str">
        <x:v>13.88437500281725</x:v>
      </x:c>
      <x:c r="S852" s="2" t="str">
        <x:v>48.2226853419842</x:v>
      </x:c>
    </x:row>
    <x:row r="853">
      <x:c r="A853" s="2" t="str">
        <x:v>DE-CMP-01</x:v>
      </x:c>
      <x:c r="B853" s="2" t="str">
        <x:v>CFG-C01</x:v>
      </x:c>
      <x:c r="C853" s="2" t="n">
        <x:v>46227.70238086805</x:v>
      </x:c>
      <x:c r="D853" s="2" t="str">
        <x:v>adaptive</x:v>
      </x:c>
      <x:c r="E853" s="2" t="str">
        <x:v>fft_edge</x:v>
      </x:c>
      <x:c r="F853" s="2" t="str">
        <x:v>426</x:v>
      </x:c>
      <x:c r="G853" s="2" t="str">
        <x:v>3144229</x:v>
      </x:c>
      <x:c r="H853" s="2" t="str">
        <x:v>2048000.0</x:v>
      </x:c>
      <x:c r="I853" s="2" t="str">
        <x:v>8192</x:v>
      </x:c>
      <x:c r="J853" s="2" t="str">
        <x:v>250.0</x:v>
      </x:c>
      <x:c r="K853" s="2" t="str">
        <x:v>1</x:v>
      </x:c>
      <x:c r="L853" s="2" t="str">
        <x:v>3</x:v>
      </x:c>
      <x:c r="M853" s="2" t="str">
        <x:v>1</x:v>
      </x:c>
      <x:c r="N853" s="2" t="str">
        <x:v>2</x:v>
      </x:c>
      <x:c r="O853" s="2" t="str">
        <x:v>0</x:v>
      </x:c>
      <x:c r="P853" s="2" t="str">
        <x:v>true</x:v>
      </x:c>
      <x:c r="Q853" s="2" t="str">
        <x:v>39.857385661</x:v>
      </x:c>
      <x:c r="R853" s="2" t="str">
        <x:v>0.4185410070931539</x:v>
      </x:c>
      <x:c r="S853" s="2" t="str">
        <x:v>46.526348501426405</x:v>
      </x:c>
    </x:row>
    <x:row r="854">
      <x:c r="A854" s="2" t="str">
        <x:v>DE-CMP-01</x:v>
      </x:c>
      <x:c r="B854" s="2" t="str">
        <x:v>CFG-C01</x:v>
      </x:c>
      <x:c r="C854" s="2" t="n">
        <x:v>46227.70238086805</x:v>
      </x:c>
      <x:c r="D854" s="2" t="str">
        <x:v>adaptive</x:v>
      </x:c>
      <x:c r="E854" s="2" t="str">
        <x:v>fft_edge</x:v>
      </x:c>
      <x:c r="F854" s="2" t="str">
        <x:v>427</x:v>
      </x:c>
      <x:c r="G854" s="2" t="str">
        <x:v>3144230</x:v>
      </x:c>
      <x:c r="H854" s="2" t="str">
        <x:v>2048000.0</x:v>
      </x:c>
      <x:c r="I854" s="2" t="str">
        <x:v>8192</x:v>
      </x:c>
      <x:c r="J854" s="2" t="str">
        <x:v>250.0</x:v>
      </x:c>
      <x:c r="K854" s="2" t="str">
        <x:v>1</x:v>
      </x:c>
      <x:c r="L854" s="2" t="str">
        <x:v>3</x:v>
      </x:c>
      <x:c r="M854" s="2" t="str">
        <x:v>1</x:v>
      </x:c>
      <x:c r="N854" s="2" t="str">
        <x:v>2</x:v>
      </x:c>
      <x:c r="O854" s="2" t="str">
        <x:v>0</x:v>
      </x:c>
      <x:c r="P854" s="2" t="str">
        <x:v>true</x:v>
      </x:c>
      <x:c r="Q854" s="2" t="str">
        <x:v>-51.964317753</x:v>
      </x:c>
      <x:c r="R854" s="2" t="str">
        <x:v>0.4140000091865659</x:v>
      </x:c>
      <x:c r="S854" s="2" t="str">
        <x:v>46.311186591877004</x:v>
      </x:c>
    </x:row>
    <x:row r="855">
      <x:c r="A855" s="2" t="str">
        <x:v>DE-CMP-01</x:v>
      </x:c>
      <x:c r="B855" s="2" t="str">
        <x:v>CFG-C01</x:v>
      </x:c>
      <x:c r="C855" s="2" t="n">
        <x:v>46227.70238086805</x:v>
      </x:c>
      <x:c r="D855" s="2" t="str">
        <x:v>os_cfar</x:v>
      </x:c>
      <x:c r="E855" s="2" t="str">
        <x:v>fft_edge</x:v>
      </x:c>
      <x:c r="F855" s="2" t="str">
        <x:v>427</x:v>
      </x:c>
      <x:c r="G855" s="2" t="str">
        <x:v>3144230</x:v>
      </x:c>
      <x:c r="H855" s="2" t="str">
        <x:v>2048000.0</x:v>
      </x:c>
      <x:c r="I855" s="2" t="str">
        <x:v>8192</x:v>
      </x:c>
      <x:c r="J855" s="2" t="str">
        <x:v>250.0</x:v>
      </x:c>
      <x:c r="K855" s="2" t="str">
        <x:v>1</x:v>
      </x:c>
      <x:c r="L855" s="2" t="str">
        <x:v>3</x:v>
      </x:c>
      <x:c r="M855" s="2" t="str">
        <x:v>1</x:v>
      </x:c>
      <x:c r="N855" s="2" t="str">
        <x:v>2</x:v>
      </x:c>
      <x:c r="O855" s="2" t="str">
        <x:v>0</x:v>
      </x:c>
      <x:c r="P855" s="2" t="str">
        <x:v>true</x:v>
      </x:c>
      <x:c r="Q855" s="2" t="str">
        <x:v>-51.964317753</x:v>
      </x:c>
      <x:c r="R855" s="2" t="str">
        <x:v>13.870750000933185</x:v>
      </x:c>
      <x:c r="S855" s="2" t="str">
        <x:v>48.162597183266215</x:v>
      </x:c>
    </x:row>
    <x:row r="856">
      <x:c r="A856" s="2" t="str">
        <x:v>DE-CMP-01</x:v>
      </x:c>
      <x:c r="B856" s="2" t="str">
        <x:v>CFG-C01</x:v>
      </x:c>
      <x:c r="C856" s="2" t="n">
        <x:v>46227.70238086805</x:v>
      </x:c>
      <x:c r="D856" s="2" t="str">
        <x:v>os_cfar</x:v>
      </x:c>
      <x:c r="E856" s="2" t="str">
        <x:v>fft_edge</x:v>
      </x:c>
      <x:c r="F856" s="2" t="str">
        <x:v>428</x:v>
      </x:c>
      <x:c r="G856" s="2" t="str">
        <x:v>3144231</x:v>
      </x:c>
      <x:c r="H856" s="2" t="str">
        <x:v>2048000.0</x:v>
      </x:c>
      <x:c r="I856" s="2" t="str">
        <x:v>8192</x:v>
      </x:c>
      <x:c r="J856" s="2" t="str">
        <x:v>250.0</x:v>
      </x:c>
      <x:c r="K856" s="2" t="str">
        <x:v>1</x:v>
      </x:c>
      <x:c r="L856" s="2" t="str">
        <x:v>3</x:v>
      </x:c>
      <x:c r="M856" s="2" t="str">
        <x:v>1</x:v>
      </x:c>
      <x:c r="N856" s="2" t="str">
        <x:v>2</x:v>
      </x:c>
      <x:c r="O856" s="2" t="str">
        <x:v>0</x:v>
      </x:c>
      <x:c r="P856" s="2" t="str">
        <x:v>true</x:v>
      </x:c>
      <x:c r="Q856" s="2" t="str">
        <x:v>-41.106444086</x:v>
      </x:c>
      <x:c r="R856" s="2" t="str">
        <x:v>13.85616599873174</x:v>
      </x:c>
      <x:c r="S856" s="2" t="str">
        <x:v>48.249634612388654</x:v>
      </x:c>
    </x:row>
    <x:row r="857">
      <x:c r="A857" s="2" t="str">
        <x:v>DE-CMP-01</x:v>
      </x:c>
      <x:c r="B857" s="2" t="str">
        <x:v>CFG-C01</x:v>
      </x:c>
      <x:c r="C857" s="2" t="n">
        <x:v>46227.70238086805</x:v>
      </x:c>
      <x:c r="D857" s="2" t="str">
        <x:v>adaptive</x:v>
      </x:c>
      <x:c r="E857" s="2" t="str">
        <x:v>fft_edge</x:v>
      </x:c>
      <x:c r="F857" s="2" t="str">
        <x:v>428</x:v>
      </x:c>
      <x:c r="G857" s="2" t="str">
        <x:v>3144231</x:v>
      </x:c>
      <x:c r="H857" s="2" t="str">
        <x:v>2048000.0</x:v>
      </x:c>
      <x:c r="I857" s="2" t="str">
        <x:v>8192</x:v>
      </x:c>
      <x:c r="J857" s="2" t="str">
        <x:v>250.0</x:v>
      </x:c>
      <x:c r="K857" s="2" t="str">
        <x:v>1</x:v>
      </x:c>
      <x:c r="L857" s="2" t="str">
        <x:v>3</x:v>
      </x:c>
      <x:c r="M857" s="2" t="str">
        <x:v>1</x:v>
      </x:c>
      <x:c r="N857" s="2" t="str">
        <x:v>2</x:v>
      </x:c>
      <x:c r="O857" s="2" t="str">
        <x:v>0</x:v>
      </x:c>
      <x:c r="P857" s="2" t="str">
        <x:v>true</x:v>
      </x:c>
      <x:c r="Q857" s="2" t="str">
        <x:v>-41.106444086</x:v>
      </x:c>
      <x:c r="R857" s="2" t="str">
        <x:v>0.4286250041332096</x:v>
      </x:c>
      <x:c r="S857" s="2" t="str">
        <x:v>46.3831288387976</x:v>
      </x:c>
    </x:row>
    <x:row r="858">
      <x:c r="A858" s="2" t="str">
        <x:v>DE-CMP-01</x:v>
      </x:c>
      <x:c r="B858" s="2" t="str">
        <x:v>CFG-C01</x:v>
      </x:c>
      <x:c r="C858" s="2" t="n">
        <x:v>46227.70238086805</x:v>
      </x:c>
      <x:c r="D858" s="2" t="str">
        <x:v>adaptive</x:v>
      </x:c>
      <x:c r="E858" s="2" t="str">
        <x:v>fft_edge</x:v>
      </x:c>
      <x:c r="F858" s="2" t="str">
        <x:v>429</x:v>
      </x:c>
      <x:c r="G858" s="2" t="str">
        <x:v>3144232</x:v>
      </x:c>
      <x:c r="H858" s="2" t="str">
        <x:v>2048000.0</x:v>
      </x:c>
      <x:c r="I858" s="2" t="str">
        <x:v>8192</x:v>
      </x:c>
      <x:c r="J858" s="2" t="str">
        <x:v>250.0</x:v>
      </x:c>
      <x:c r="K858" s="2" t="str">
        <x:v>1</x:v>
      </x:c>
      <x:c r="L858" s="2" t="str">
        <x:v>3</x:v>
      </x:c>
      <x:c r="M858" s="2" t="str">
        <x:v>1</x:v>
      </x:c>
      <x:c r="N858" s="2" t="str">
        <x:v>2</x:v>
      </x:c>
      <x:c r="O858" s="2" t="str">
        <x:v>0</x:v>
      </x:c>
      <x:c r="P858" s="2" t="str">
        <x:v>true</x:v>
      </x:c>
      <x:c r="Q858" s="2" t="str">
        <x:v>-98.518024170</x:v>
      </x:c>
      <x:c r="R858" s="2" t="str">
        <x:v>0.4367499932413921</x:v>
      </x:c>
      <x:c r="S858" s="2" t="str">
        <x:v>46.262239515882634</x:v>
      </x:c>
    </x:row>
    <x:row r="859">
      <x:c r="A859" s="2" t="str">
        <x:v>DE-CMP-01</x:v>
      </x:c>
      <x:c r="B859" s="2" t="str">
        <x:v>CFG-C01</x:v>
      </x:c>
      <x:c r="C859" s="2" t="n">
        <x:v>46227.70238086805</x:v>
      </x:c>
      <x:c r="D859" s="2" t="str">
        <x:v>os_cfar</x:v>
      </x:c>
      <x:c r="E859" s="2" t="str">
        <x:v>fft_edge</x:v>
      </x:c>
      <x:c r="F859" s="2" t="str">
        <x:v>429</x:v>
      </x:c>
      <x:c r="G859" s="2" t="str">
        <x:v>3144232</x:v>
      </x:c>
      <x:c r="H859" s="2" t="str">
        <x:v>2048000.0</x:v>
      </x:c>
      <x:c r="I859" s="2" t="str">
        <x:v>8192</x:v>
      </x:c>
      <x:c r="J859" s="2" t="str">
        <x:v>250.0</x:v>
      </x:c>
      <x:c r="K859" s="2" t="str">
        <x:v>1</x:v>
      </x:c>
      <x:c r="L859" s="2" t="str">
        <x:v>3</x:v>
      </x:c>
      <x:c r="M859" s="2" t="str">
        <x:v>1</x:v>
      </x:c>
      <x:c r="N859" s="2" t="str">
        <x:v>2</x:v>
      </x:c>
      <x:c r="O859" s="2" t="str">
        <x:v>0</x:v>
      </x:c>
      <x:c r="P859" s="2" t="str">
        <x:v>true</x:v>
      </x:c>
      <x:c r="Q859" s="2" t="str">
        <x:v>-98.518024170</x:v>
      </x:c>
      <x:c r="R859" s="2" t="str">
        <x:v>13.862250008969568</x:v>
      </x:c>
      <x:c r="S859" s="2" t="str">
        <x:v>48.17425328155313</x:v>
      </x:c>
    </x:row>
    <x:row r="860">
      <x:c r="A860" s="2" t="str">
        <x:v>DE-CMP-01</x:v>
      </x:c>
      <x:c r="B860" s="2" t="str">
        <x:v>CFG-C01</x:v>
      </x:c>
      <x:c r="C860" s="2" t="n">
        <x:v>46227.70238086805</x:v>
      </x:c>
      <x:c r="D860" s="2" t="str">
        <x:v>os_cfar</x:v>
      </x:c>
      <x:c r="E860" s="2" t="str">
        <x:v>fft_edge</x:v>
      </x:c>
      <x:c r="F860" s="2" t="str">
        <x:v>430</x:v>
      </x:c>
      <x:c r="G860" s="2" t="str">
        <x:v>3144233</x:v>
      </x:c>
      <x:c r="H860" s="2" t="str">
        <x:v>2048000.0</x:v>
      </x:c>
      <x:c r="I860" s="2" t="str">
        <x:v>8192</x:v>
      </x:c>
      <x:c r="J860" s="2" t="str">
        <x:v>250.0</x:v>
      </x:c>
      <x:c r="K860" s="2" t="str">
        <x:v>1</x:v>
      </x:c>
      <x:c r="L860" s="2" t="str">
        <x:v>3</x:v>
      </x:c>
      <x:c r="M860" s="2" t="str">
        <x:v>1</x:v>
      </x:c>
      <x:c r="N860" s="2" t="str">
        <x:v>2</x:v>
      </x:c>
      <x:c r="O860" s="2" t="str">
        <x:v>0</x:v>
      </x:c>
      <x:c r="P860" s="2" t="str">
        <x:v>true</x:v>
      </x:c>
      <x:c r="Q860" s="2" t="str">
        <x:v>-33.208584820</x:v>
      </x:c>
      <x:c r="R860" s="2" t="str">
        <x:v>13.962958997581154</x:v>
      </x:c>
      <x:c r="S860" s="2" t="str">
        <x:v>48.29869079309522</x:v>
      </x:c>
    </x:row>
    <x:row r="861">
      <x:c r="A861" s="2" t="str">
        <x:v>DE-CMP-01</x:v>
      </x:c>
      <x:c r="B861" s="2" t="str">
        <x:v>CFG-C01</x:v>
      </x:c>
      <x:c r="C861" s="2" t="n">
        <x:v>46227.70238086805</x:v>
      </x:c>
      <x:c r="D861" s="2" t="str">
        <x:v>adaptive</x:v>
      </x:c>
      <x:c r="E861" s="2" t="str">
        <x:v>fft_edge</x:v>
      </x:c>
      <x:c r="F861" s="2" t="str">
        <x:v>430</x:v>
      </x:c>
      <x:c r="G861" s="2" t="str">
        <x:v>3144233</x:v>
      </x:c>
      <x:c r="H861" s="2" t="str">
        <x:v>2048000.0</x:v>
      </x:c>
      <x:c r="I861" s="2" t="str">
        <x:v>8192</x:v>
      </x:c>
      <x:c r="J861" s="2" t="str">
        <x:v>250.0</x:v>
      </x:c>
      <x:c r="K861" s="2" t="str">
        <x:v>1</x:v>
      </x:c>
      <x:c r="L861" s="2" t="str">
        <x:v>3</x:v>
      </x:c>
      <x:c r="M861" s="2" t="str">
        <x:v>1</x:v>
      </x:c>
      <x:c r="N861" s="2" t="str">
        <x:v>2</x:v>
      </x:c>
      <x:c r="O861" s="2" t="str">
        <x:v>0</x:v>
      </x:c>
      <x:c r="P861" s="2" t="str">
        <x:v>true</x:v>
      </x:c>
      <x:c r="Q861" s="2" t="str">
        <x:v>-33.208584820</x:v>
      </x:c>
      <x:c r="R861" s="2" t="str">
        <x:v>0.41608299943618476</x:v>
      </x:c>
      <x:c r="S861" s="2" t="str">
        <x:v>46.5039586148542</x:v>
      </x:c>
    </x:row>
    <x:row r="862">
      <x:c r="A862" s="2" t="str">
        <x:v>DE-CMP-01</x:v>
      </x:c>
      <x:c r="B862" s="2" t="str">
        <x:v>CFG-C01</x:v>
      </x:c>
      <x:c r="C862" s="2" t="n">
        <x:v>46227.70238086805</x:v>
      </x:c>
      <x:c r="D862" s="2" t="str">
        <x:v>adaptive</x:v>
      </x:c>
      <x:c r="E862" s="2" t="str">
        <x:v>fft_edge</x:v>
      </x:c>
      <x:c r="F862" s="2" t="str">
        <x:v>431</x:v>
      </x:c>
      <x:c r="G862" s="2" t="str">
        <x:v>3144234</x:v>
      </x:c>
      <x:c r="H862" s="2" t="str">
        <x:v>2048000.0</x:v>
      </x:c>
      <x:c r="I862" s="2" t="str">
        <x:v>8192</x:v>
      </x:c>
      <x:c r="J862" s="2" t="str">
        <x:v>250.0</x:v>
      </x:c>
      <x:c r="K862" s="2" t="str">
        <x:v>1</x:v>
      </x:c>
      <x:c r="L862" s="2" t="str">
        <x:v>3</x:v>
      </x:c>
      <x:c r="M862" s="2" t="str">
        <x:v>1</x:v>
      </x:c>
      <x:c r="N862" s="2" t="str">
        <x:v>2</x:v>
      </x:c>
      <x:c r="O862" s="2" t="str">
        <x:v>0</x:v>
      </x:c>
      <x:c r="P862" s="2" t="str">
        <x:v>true</x:v>
      </x:c>
      <x:c r="Q862" s="2" t="str">
        <x:v>126.098614150</x:v>
      </x:c>
      <x:c r="R862" s="2" t="str">
        <x:v>0.4141670069657266</x:v>
      </x:c>
      <x:c r="S862" s="2" t="str">
        <x:v>46.37918523335264</x:v>
      </x:c>
    </x:row>
    <x:row r="863">
      <x:c r="A863" s="2" t="str">
        <x:v>DE-CMP-01</x:v>
      </x:c>
      <x:c r="B863" s="2" t="str">
        <x:v>CFG-C01</x:v>
      </x:c>
      <x:c r="C863" s="2" t="n">
        <x:v>46227.70238086805</x:v>
      </x:c>
      <x:c r="D863" s="2" t="str">
        <x:v>os_cfar</x:v>
      </x:c>
      <x:c r="E863" s="2" t="str">
        <x:v>fft_edge</x:v>
      </x:c>
      <x:c r="F863" s="2" t="str">
        <x:v>431</x:v>
      </x:c>
      <x:c r="G863" s="2" t="str">
        <x:v>3144234</x:v>
      </x:c>
      <x:c r="H863" s="2" t="str">
        <x:v>2048000.0</x:v>
      </x:c>
      <x:c r="I863" s="2" t="str">
        <x:v>8192</x:v>
      </x:c>
      <x:c r="J863" s="2" t="str">
        <x:v>250.0</x:v>
      </x:c>
      <x:c r="K863" s="2" t="str">
        <x:v>1</x:v>
      </x:c>
      <x:c r="L863" s="2" t="str">
        <x:v>3</x:v>
      </x:c>
      <x:c r="M863" s="2" t="str">
        <x:v>1</x:v>
      </x:c>
      <x:c r="N863" s="2" t="str">
        <x:v>2</x:v>
      </x:c>
      <x:c r="O863" s="2" t="str">
        <x:v>0</x:v>
      </x:c>
      <x:c r="P863" s="2" t="str">
        <x:v>true</x:v>
      </x:c>
      <x:c r="Q863" s="2" t="str">
        <x:v>126.098614150</x:v>
      </x:c>
      <x:c r="R863" s="2" t="str">
        <x:v>13.912958995206282</x:v>
      </x:c>
      <x:c r="S863" s="2" t="str">
        <x:v>48.121610631000976</x:v>
      </x:c>
    </x:row>
    <x:row r="864">
      <x:c r="A864" s="2" t="str">
        <x:v>DE-CMP-01</x:v>
      </x:c>
      <x:c r="B864" s="2" t="str">
        <x:v>CFG-C01</x:v>
      </x:c>
      <x:c r="C864" s="2" t="n">
        <x:v>46227.70238086805</x:v>
      </x:c>
      <x:c r="D864" s="2" t="str">
        <x:v>os_cfar</x:v>
      </x:c>
      <x:c r="E864" s="2" t="str">
        <x:v>fft_edge</x:v>
      </x:c>
      <x:c r="F864" s="2" t="str">
        <x:v>432</x:v>
      </x:c>
      <x:c r="G864" s="2" t="str">
        <x:v>3144235</x:v>
      </x:c>
      <x:c r="H864" s="2" t="str">
        <x:v>2048000.0</x:v>
      </x:c>
      <x:c r="I864" s="2" t="str">
        <x:v>8192</x:v>
      </x:c>
      <x:c r="J864" s="2" t="str">
        <x:v>250.0</x:v>
      </x:c>
      <x:c r="K864" s="2" t="str">
        <x:v>1</x:v>
      </x:c>
      <x:c r="L864" s="2" t="str">
        <x:v>3</x:v>
      </x:c>
      <x:c r="M864" s="2" t="str">
        <x:v>1</x:v>
      </x:c>
      <x:c r="N864" s="2" t="str">
        <x:v>2</x:v>
      </x:c>
      <x:c r="O864" s="2" t="str">
        <x:v>0</x:v>
      </x:c>
      <x:c r="P864" s="2" t="str">
        <x:v>true</x:v>
      </x:c>
      <x:c r="Q864" s="2" t="str">
        <x:v>-34.231483253</x:v>
      </x:c>
      <x:c r="R864" s="2" t="str">
        <x:v>13.925416991696693</x:v>
      </x:c>
      <x:c r="S864" s="2" t="str">
        <x:v>48.259644807408755</x:v>
      </x:c>
    </x:row>
    <x:row r="865">
      <x:c r="A865" s="2" t="str">
        <x:v>DE-CMP-01</x:v>
      </x:c>
      <x:c r="B865" s="2" t="str">
        <x:v>CFG-C01</x:v>
      </x:c>
      <x:c r="C865" s="2" t="n">
        <x:v>46227.70238086805</x:v>
      </x:c>
      <x:c r="D865" s="2" t="str">
        <x:v>adaptive</x:v>
      </x:c>
      <x:c r="E865" s="2" t="str">
        <x:v>fft_edge</x:v>
      </x:c>
      <x:c r="F865" s="2" t="str">
        <x:v>432</x:v>
      </x:c>
      <x:c r="G865" s="2" t="str">
        <x:v>3144235</x:v>
      </x:c>
      <x:c r="H865" s="2" t="str">
        <x:v>2048000.0</x:v>
      </x:c>
      <x:c r="I865" s="2" t="str">
        <x:v>8192</x:v>
      </x:c>
      <x:c r="J865" s="2" t="str">
        <x:v>250.0</x:v>
      </x:c>
      <x:c r="K865" s="2" t="str">
        <x:v>1</x:v>
      </x:c>
      <x:c r="L865" s="2" t="str">
        <x:v>3</x:v>
      </x:c>
      <x:c r="M865" s="2" t="str">
        <x:v>1</x:v>
      </x:c>
      <x:c r="N865" s="2" t="str">
        <x:v>2</x:v>
      </x:c>
      <x:c r="O865" s="2" t="str">
        <x:v>0</x:v>
      </x:c>
      <x:c r="P865" s="2" t="str">
        <x:v>true</x:v>
      </x:c>
      <x:c r="Q865" s="2" t="str">
        <x:v>-34.231483253</x:v>
      </x:c>
      <x:c r="R865" s="2" t="str">
        <x:v>0.4371250106487423</x:v>
      </x:c>
      <x:c r="S865" s="2" t="str">
        <x:v>46.34683443370577</x:v>
      </x:c>
    </x:row>
    <x:row r="866">
      <x:c r="A866" s="2" t="str">
        <x:v>DE-CMP-01</x:v>
      </x:c>
      <x:c r="B866" s="2" t="str">
        <x:v>CFG-C01</x:v>
      </x:c>
      <x:c r="C866" s="2" t="n">
        <x:v>46227.70238086805</x:v>
      </x:c>
      <x:c r="D866" s="2" t="str">
        <x:v>adaptive</x:v>
      </x:c>
      <x:c r="E866" s="2" t="str">
        <x:v>fft_edge</x:v>
      </x:c>
      <x:c r="F866" s="2" t="str">
        <x:v>433</x:v>
      </x:c>
      <x:c r="G866" s="2" t="str">
        <x:v>3144236</x:v>
      </x:c>
      <x:c r="H866" s="2" t="str">
        <x:v>2048000.0</x:v>
      </x:c>
      <x:c r="I866" s="2" t="str">
        <x:v>8192</x:v>
      </x:c>
      <x:c r="J866" s="2" t="str">
        <x:v>250.0</x:v>
      </x:c>
      <x:c r="K866" s="2" t="str">
        <x:v>1</x:v>
      </x:c>
      <x:c r="L866" s="2" t="str">
        <x:v>3</x:v>
      </x:c>
      <x:c r="M866" s="2" t="str">
        <x:v>1</x:v>
      </x:c>
      <x:c r="N866" s="2" t="str">
        <x:v>2</x:v>
      </x:c>
      <x:c r="O866" s="2" t="str">
        <x:v>0</x:v>
      </x:c>
      <x:c r="P866" s="2" t="str">
        <x:v>true</x:v>
      </x:c>
      <x:c r="Q866" s="2" t="str">
        <x:v>20.213579641</x:v>
      </x:c>
      <x:c r="R866" s="2" t="str">
        <x:v>0.3912920074071735</x:v>
      </x:c>
      <x:c r="S866" s="2" t="str">
        <x:v>46.44193295731692</x:v>
      </x:c>
    </x:row>
    <x:row r="867">
      <x:c r="A867" s="2" t="str">
        <x:v>DE-CMP-01</x:v>
      </x:c>
      <x:c r="B867" s="2" t="str">
        <x:v>CFG-C01</x:v>
      </x:c>
      <x:c r="C867" s="2" t="n">
        <x:v>46227.70238086805</x:v>
      </x:c>
      <x:c r="D867" s="2" t="str">
        <x:v>os_cfar</x:v>
      </x:c>
      <x:c r="E867" s="2" t="str">
        <x:v>fft_edge</x:v>
      </x:c>
      <x:c r="F867" s="2" t="str">
        <x:v>433</x:v>
      </x:c>
      <x:c r="G867" s="2" t="str">
        <x:v>3144236</x:v>
      </x:c>
      <x:c r="H867" s="2" t="str">
        <x:v>2048000.0</x:v>
      </x:c>
      <x:c r="I867" s="2" t="str">
        <x:v>8192</x:v>
      </x:c>
      <x:c r="J867" s="2" t="str">
        <x:v>250.0</x:v>
      </x:c>
      <x:c r="K867" s="2" t="str">
        <x:v>1</x:v>
      </x:c>
      <x:c r="L867" s="2" t="str">
        <x:v>3</x:v>
      </x:c>
      <x:c r="M867" s="2" t="str">
        <x:v>1</x:v>
      </x:c>
      <x:c r="N867" s="2" t="str">
        <x:v>2</x:v>
      </x:c>
      <x:c r="O867" s="2" t="str">
        <x:v>0</x:v>
      </x:c>
      <x:c r="P867" s="2" t="str">
        <x:v>true</x:v>
      </x:c>
      <x:c r="Q867" s="2" t="str">
        <x:v>20.213579641</x:v>
      </x:c>
      <x:c r="R867" s="2" t="str">
        <x:v>13.771375000942498</x:v>
      </x:c>
      <x:c r="S867" s="2" t="str">
        <x:v>48.35281045079073</x:v>
      </x:c>
    </x:row>
    <x:row r="868">
      <x:c r="A868" s="2" t="str">
        <x:v>DE-CMP-01</x:v>
      </x:c>
      <x:c r="B868" s="2" t="str">
        <x:v>CFG-C01</x:v>
      </x:c>
      <x:c r="C868" s="2" t="n">
        <x:v>46227.70238086805</x:v>
      </x:c>
      <x:c r="D868" s="2" t="str">
        <x:v>os_cfar</x:v>
      </x:c>
      <x:c r="E868" s="2" t="str">
        <x:v>fft_edge</x:v>
      </x:c>
      <x:c r="F868" s="2" t="str">
        <x:v>434</x:v>
      </x:c>
      <x:c r="G868" s="2" t="str">
        <x:v>3144237</x:v>
      </x:c>
      <x:c r="H868" s="2" t="str">
        <x:v>2048000.0</x:v>
      </x:c>
      <x:c r="I868" s="2" t="str">
        <x:v>8192</x:v>
      </x:c>
      <x:c r="J868" s="2" t="str">
        <x:v>250.0</x:v>
      </x:c>
      <x:c r="K868" s="2" t="str">
        <x:v>1</x:v>
      </x:c>
      <x:c r="L868" s="2" t="str">
        <x:v>3</x:v>
      </x:c>
      <x:c r="M868" s="2" t="str">
        <x:v>1</x:v>
      </x:c>
      <x:c r="N868" s="2" t="str">
        <x:v>2</x:v>
      </x:c>
      <x:c r="O868" s="2" t="str">
        <x:v>0</x:v>
      </x:c>
      <x:c r="P868" s="2" t="str">
        <x:v>true</x:v>
      </x:c>
      <x:c r="Q868" s="2" t="str">
        <x:v>-53.093252252</x:v>
      </x:c>
      <x:c r="R868" s="2" t="str">
        <x:v>13.91262499964796</x:v>
      </x:c>
      <x:c r="S868" s="2" t="str">
        <x:v>48.24279186691246</x:v>
      </x:c>
    </x:row>
    <x:row r="869">
      <x:c r="A869" s="2" t="str">
        <x:v>DE-CMP-01</x:v>
      </x:c>
      <x:c r="B869" s="2" t="str">
        <x:v>CFG-C01</x:v>
      </x:c>
      <x:c r="C869" s="2" t="n">
        <x:v>46227.70238086805</x:v>
      </x:c>
      <x:c r="D869" s="2" t="str">
        <x:v>adaptive</x:v>
      </x:c>
      <x:c r="E869" s="2" t="str">
        <x:v>fft_edge</x:v>
      </x:c>
      <x:c r="F869" s="2" t="str">
        <x:v>434</x:v>
      </x:c>
      <x:c r="G869" s="2" t="str">
        <x:v>3144237</x:v>
      </x:c>
      <x:c r="H869" s="2" t="str">
        <x:v>2048000.0</x:v>
      </x:c>
      <x:c r="I869" s="2" t="str">
        <x:v>8192</x:v>
      </x:c>
      <x:c r="J869" s="2" t="str">
        <x:v>250.0</x:v>
      </x:c>
      <x:c r="K869" s="2" t="str">
        <x:v>1</x:v>
      </x:c>
      <x:c r="L869" s="2" t="str">
        <x:v>3</x:v>
      </x:c>
      <x:c r="M869" s="2" t="str">
        <x:v>1</x:v>
      </x:c>
      <x:c r="N869" s="2" t="str">
        <x:v>2</x:v>
      </x:c>
      <x:c r="O869" s="2" t="str">
        <x:v>0</x:v>
      </x:c>
      <x:c r="P869" s="2" t="str">
        <x:v>true</x:v>
      </x:c>
      <x:c r="Q869" s="2" t="str">
        <x:v>-53.093252252</x:v>
      </x:c>
      <x:c r="R869" s="2" t="str">
        <x:v>0.4090420115971938</x:v>
      </x:c>
      <x:c r="S869" s="2" t="str">
        <x:v>46.41708658800474</x:v>
      </x:c>
    </x:row>
    <x:row r="870">
      <x:c r="A870" s="2" t="str">
        <x:v>DE-CMP-01</x:v>
      </x:c>
      <x:c r="B870" s="2" t="str">
        <x:v>CFG-C01</x:v>
      </x:c>
      <x:c r="C870" s="2" t="n">
        <x:v>46227.70238086805</x:v>
      </x:c>
      <x:c r="D870" s="2" t="str">
        <x:v>adaptive</x:v>
      </x:c>
      <x:c r="E870" s="2" t="str">
        <x:v>fft_edge</x:v>
      </x:c>
      <x:c r="F870" s="2" t="str">
        <x:v>435</x:v>
      </x:c>
      <x:c r="G870" s="2" t="str">
        <x:v>3144238</x:v>
      </x:c>
      <x:c r="H870" s="2" t="str">
        <x:v>2048000.0</x:v>
      </x:c>
      <x:c r="I870" s="2" t="str">
        <x:v>8192</x:v>
      </x:c>
      <x:c r="J870" s="2" t="str">
        <x:v>250.0</x:v>
      </x:c>
      <x:c r="K870" s="2" t="str">
        <x:v>1</x:v>
      </x:c>
      <x:c r="L870" s="2" t="str">
        <x:v>3</x:v>
      </x:c>
      <x:c r="M870" s="2" t="str">
        <x:v>1</x:v>
      </x:c>
      <x:c r="N870" s="2" t="str">
        <x:v>2</x:v>
      </x:c>
      <x:c r="O870" s="2" t="str">
        <x:v>0</x:v>
      </x:c>
      <x:c r="P870" s="2" t="str">
        <x:v>true</x:v>
      </x:c>
      <x:c r="Q870" s="2" t="str">
        <x:v>68.852795416</x:v>
      </x:c>
      <x:c r="R870" s="2" t="str">
        <x:v>0.41325000347569585</x:v>
      </x:c>
      <x:c r="S870" s="2" t="str">
        <x:v>46.50177495719126</x:v>
      </x:c>
    </x:row>
    <x:row r="871">
      <x:c r="A871" s="2" t="str">
        <x:v>DE-CMP-01</x:v>
      </x:c>
      <x:c r="B871" s="2" t="str">
        <x:v>CFG-C01</x:v>
      </x:c>
      <x:c r="C871" s="2" t="n">
        <x:v>46227.70238086805</x:v>
      </x:c>
      <x:c r="D871" s="2" t="str">
        <x:v>os_cfar</x:v>
      </x:c>
      <x:c r="E871" s="2" t="str">
        <x:v>fft_edge</x:v>
      </x:c>
      <x:c r="F871" s="2" t="str">
        <x:v>435</x:v>
      </x:c>
      <x:c r="G871" s="2" t="str">
        <x:v>3144238</x:v>
      </x:c>
      <x:c r="H871" s="2" t="str">
        <x:v>2048000.0</x:v>
      </x:c>
      <x:c r="I871" s="2" t="str">
        <x:v>8192</x:v>
      </x:c>
      <x:c r="J871" s="2" t="str">
        <x:v>250.0</x:v>
      </x:c>
      <x:c r="K871" s="2" t="str">
        <x:v>1</x:v>
      </x:c>
      <x:c r="L871" s="2" t="str">
        <x:v>3</x:v>
      </x:c>
      <x:c r="M871" s="2" t="str">
        <x:v>1</x:v>
      </x:c>
      <x:c r="N871" s="2" t="str">
        <x:v>2</x:v>
      </x:c>
      <x:c r="O871" s="2" t="str">
        <x:v>0</x:v>
      </x:c>
      <x:c r="P871" s="2" t="str">
        <x:v>true</x:v>
      </x:c>
      <x:c r="Q871" s="2" t="str">
        <x:v>68.852795416</x:v>
      </x:c>
      <x:c r="R871" s="2" t="str">
        <x:v>13.79691599868238</x:v>
      </x:c>
      <x:c r="S871" s="2" t="str">
        <x:v>48.15150371020331</x:v>
      </x:c>
    </x:row>
    <x:row r="872">
      <x:c r="A872" s="2" t="str">
        <x:v>DE-CMP-01</x:v>
      </x:c>
      <x:c r="B872" s="2" t="str">
        <x:v>CFG-C01</x:v>
      </x:c>
      <x:c r="C872" s="2" t="n">
        <x:v>46227.70238086805</x:v>
      </x:c>
      <x:c r="D872" s="2" t="str">
        <x:v>os_cfar</x:v>
      </x:c>
      <x:c r="E872" s="2" t="str">
        <x:v>fft_edge</x:v>
      </x:c>
      <x:c r="F872" s="2" t="str">
        <x:v>436</x:v>
      </x:c>
      <x:c r="G872" s="2" t="str">
        <x:v>3144239</x:v>
      </x:c>
      <x:c r="H872" s="2" t="str">
        <x:v>2048000.0</x:v>
      </x:c>
      <x:c r="I872" s="2" t="str">
        <x:v>8192</x:v>
      </x:c>
      <x:c r="J872" s="2" t="str">
        <x:v>250.0</x:v>
      </x:c>
      <x:c r="K872" s="2" t="str">
        <x:v>1</x:v>
      </x:c>
      <x:c r="L872" s="2" t="str">
        <x:v>3</x:v>
      </x:c>
      <x:c r="M872" s="2" t="str">
        <x:v>1</x:v>
      </x:c>
      <x:c r="N872" s="2" t="str">
        <x:v>2</x:v>
      </x:c>
      <x:c r="O872" s="2" t="str">
        <x:v>0</x:v>
      </x:c>
      <x:c r="P872" s="2" t="str">
        <x:v>true</x:v>
      </x:c>
      <x:c r="Q872" s="2" t="str">
        <x:v>-106.023262353</x:v>
      </x:c>
      <x:c r="R872" s="2" t="str">
        <x:v>13.647041996591724</x:v>
      </x:c>
      <x:c r="S872" s="2" t="str">
        <x:v>48.238495763733994</x:v>
      </x:c>
    </x:row>
    <x:row r="873">
      <x:c r="A873" s="2" t="str">
        <x:v>DE-CMP-01</x:v>
      </x:c>
      <x:c r="B873" s="2" t="str">
        <x:v>CFG-C01</x:v>
      </x:c>
      <x:c r="C873" s="2" t="n">
        <x:v>46227.70238086805</x:v>
      </x:c>
      <x:c r="D873" s="2" t="str">
        <x:v>adaptive</x:v>
      </x:c>
      <x:c r="E873" s="2" t="str">
        <x:v>fft_edge</x:v>
      </x:c>
      <x:c r="F873" s="2" t="str">
        <x:v>436</x:v>
      </x:c>
      <x:c r="G873" s="2" t="str">
        <x:v>3144239</x:v>
      </x:c>
      <x:c r="H873" s="2" t="str">
        <x:v>2048000.0</x:v>
      </x:c>
      <x:c r="I873" s="2" t="str">
        <x:v>8192</x:v>
      </x:c>
      <x:c r="J873" s="2" t="str">
        <x:v>250.0</x:v>
      </x:c>
      <x:c r="K873" s="2" t="str">
        <x:v>1</x:v>
      </x:c>
      <x:c r="L873" s="2" t="str">
        <x:v>3</x:v>
      </x:c>
      <x:c r="M873" s="2" t="str">
        <x:v>1</x:v>
      </x:c>
      <x:c r="N873" s="2" t="str">
        <x:v>2</x:v>
      </x:c>
      <x:c r="O873" s="2" t="str">
        <x:v>0</x:v>
      </x:c>
      <x:c r="P873" s="2" t="str">
        <x:v>true</x:v>
      </x:c>
      <x:c r="Q873" s="2" t="str">
        <x:v>-106.023262353</x:v>
      </x:c>
      <x:c r="R873" s="2" t="str">
        <x:v>0.4471660067792982</x:v>
      </x:c>
      <x:c r="S873" s="2" t="str">
        <x:v>46.31940740041437</x:v>
      </x:c>
    </x:row>
    <x:row r="874">
      <x:c r="A874" s="2" t="str">
        <x:v>DE-CMP-01</x:v>
      </x:c>
      <x:c r="B874" s="2" t="str">
        <x:v>CFG-C01</x:v>
      </x:c>
      <x:c r="C874" s="2" t="n">
        <x:v>46227.70238086805</x:v>
      </x:c>
      <x:c r="D874" s="2" t="str">
        <x:v>adaptive</x:v>
      </x:c>
      <x:c r="E874" s="2" t="str">
        <x:v>fft_edge</x:v>
      </x:c>
      <x:c r="F874" s="2" t="str">
        <x:v>437</x:v>
      </x:c>
      <x:c r="G874" s="2" t="str">
        <x:v>3144240</x:v>
      </x:c>
      <x:c r="H874" s="2" t="str">
        <x:v>2048000.0</x:v>
      </x:c>
      <x:c r="I874" s="2" t="str">
        <x:v>8192</x:v>
      </x:c>
      <x:c r="J874" s="2" t="str">
        <x:v>250.0</x:v>
      </x:c>
      <x:c r="K874" s="2" t="str">
        <x:v>1</x:v>
      </x:c>
      <x:c r="L874" s="2" t="str">
        <x:v>3</x:v>
      </x:c>
      <x:c r="M874" s="2" t="str">
        <x:v>1</x:v>
      </x:c>
      <x:c r="N874" s="2" t="str">
        <x:v>2</x:v>
      </x:c>
      <x:c r="O874" s="2" t="str">
        <x:v>0</x:v>
      </x:c>
      <x:c r="P874" s="2" t="str">
        <x:v>true</x:v>
      </x:c>
      <x:c r="Q874" s="2" t="str">
        <x:v>126.630771735</x:v>
      </x:c>
      <x:c r="R874" s="2" t="str">
        <x:v>0.429833002272062</x:v>
      </x:c>
      <x:c r="S874" s="2" t="str">
        <x:v>46.5227479336468</x:v>
      </x:c>
    </x:row>
    <x:row r="875">
      <x:c r="A875" s="2" t="str">
        <x:v>DE-CMP-01</x:v>
      </x:c>
      <x:c r="B875" s="2" t="str">
        <x:v>CFG-C01</x:v>
      </x:c>
      <x:c r="C875" s="2" t="n">
        <x:v>46227.70238086805</x:v>
      </x:c>
      <x:c r="D875" s="2" t="str">
        <x:v>os_cfar</x:v>
      </x:c>
      <x:c r="E875" s="2" t="str">
        <x:v>fft_edge</x:v>
      </x:c>
      <x:c r="F875" s="2" t="str">
        <x:v>437</x:v>
      </x:c>
      <x:c r="G875" s="2" t="str">
        <x:v>3144240</x:v>
      </x:c>
      <x:c r="H875" s="2" t="str">
        <x:v>2048000.0</x:v>
      </x:c>
      <x:c r="I875" s="2" t="str">
        <x:v>8192</x:v>
      </x:c>
      <x:c r="J875" s="2" t="str">
        <x:v>250.0</x:v>
      </x:c>
      <x:c r="K875" s="2" t="str">
        <x:v>1</x:v>
      </x:c>
      <x:c r="L875" s="2" t="str">
        <x:v>3</x:v>
      </x:c>
      <x:c r="M875" s="2" t="str">
        <x:v>1</x:v>
      </x:c>
      <x:c r="N875" s="2" t="str">
        <x:v>2</x:v>
      </x:c>
      <x:c r="O875" s="2" t="str">
        <x:v>0</x:v>
      </x:c>
      <x:c r="P875" s="2" t="str">
        <x:v>true</x:v>
      </x:c>
      <x:c r="Q875" s="2" t="str">
        <x:v>126.630771735</x:v>
      </x:c>
      <x:c r="R875" s="2" t="str">
        <x:v>13.90158399590291</x:v>
      </x:c>
      <x:c r="S875" s="2" t="str">
        <x:v>48.35065623674306</x:v>
      </x:c>
    </x:row>
    <x:row r="876">
      <x:c r="A876" s="2" t="str">
        <x:v>DE-CMP-01</x:v>
      </x:c>
      <x:c r="B876" s="2" t="str">
        <x:v>CFG-C01</x:v>
      </x:c>
      <x:c r="C876" s="2" t="n">
        <x:v>46227.70238086805</x:v>
      </x:c>
      <x:c r="D876" s="2" t="str">
        <x:v>os_cfar</x:v>
      </x:c>
      <x:c r="E876" s="2" t="str">
        <x:v>fft_edge</x:v>
      </x:c>
      <x:c r="F876" s="2" t="str">
        <x:v>438</x:v>
      </x:c>
      <x:c r="G876" s="2" t="str">
        <x:v>3144241</x:v>
      </x:c>
      <x:c r="H876" s="2" t="str">
        <x:v>2048000.0</x:v>
      </x:c>
      <x:c r="I876" s="2" t="str">
        <x:v>8192</x:v>
      </x:c>
      <x:c r="J876" s="2" t="str">
        <x:v>250.0</x:v>
      </x:c>
      <x:c r="K876" s="2" t="str">
        <x:v>1</x:v>
      </x:c>
      <x:c r="L876" s="2" t="str">
        <x:v>3</x:v>
      </x:c>
      <x:c r="M876" s="2" t="str">
        <x:v>1</x:v>
      </x:c>
      <x:c r="N876" s="2" t="str">
        <x:v>2</x:v>
      </x:c>
      <x:c r="O876" s="2" t="str">
        <x:v>0</x:v>
      </x:c>
      <x:c r="P876" s="2" t="str">
        <x:v>true</x:v>
      </x:c>
      <x:c r="Q876" s="2" t="str">
        <x:v>57.449545612</x:v>
      </x:c>
      <x:c r="R876" s="2" t="str">
        <x:v>13.82870800443925</x:v>
      </x:c>
      <x:c r="S876" s="2" t="str">
        <x:v>48.2949261362089</x:v>
      </x:c>
    </x:row>
    <x:row r="877">
      <x:c r="A877" s="2" t="str">
        <x:v>DE-CMP-01</x:v>
      </x:c>
      <x:c r="B877" s="2" t="str">
        <x:v>CFG-C01</x:v>
      </x:c>
      <x:c r="C877" s="2" t="n">
        <x:v>46227.70238086805</x:v>
      </x:c>
      <x:c r="D877" s="2" t="str">
        <x:v>adaptive</x:v>
      </x:c>
      <x:c r="E877" s="2" t="str">
        <x:v>fft_edge</x:v>
      </x:c>
      <x:c r="F877" s="2" t="str">
        <x:v>438</x:v>
      </x:c>
      <x:c r="G877" s="2" t="str">
        <x:v>3144241</x:v>
      </x:c>
      <x:c r="H877" s="2" t="str">
        <x:v>2048000.0</x:v>
      </x:c>
      <x:c r="I877" s="2" t="str">
        <x:v>8192</x:v>
      </x:c>
      <x:c r="J877" s="2" t="str">
        <x:v>250.0</x:v>
      </x:c>
      <x:c r="K877" s="2" t="str">
        <x:v>1</x:v>
      </x:c>
      <x:c r="L877" s="2" t="str">
        <x:v>3</x:v>
      </x:c>
      <x:c r="M877" s="2" t="str">
        <x:v>1</x:v>
      </x:c>
      <x:c r="N877" s="2" t="str">
        <x:v>2</x:v>
      </x:c>
      <x:c r="O877" s="2" t="str">
        <x:v>0</x:v>
      </x:c>
      <x:c r="P877" s="2" t="str">
        <x:v>true</x:v>
      </x:c>
      <x:c r="Q877" s="2" t="str">
        <x:v>57.449545612</x:v>
      </x:c>
      <x:c r="R877" s="2" t="str">
        <x:v>0.4185410070931539</x:v>
      </x:c>
      <x:c r="S877" s="2" t="str">
        <x:v>46.44020068709109</x:v>
      </x:c>
    </x:row>
    <x:row r="878">
      <x:c r="A878" s="2" t="str">
        <x:v>DE-CMP-01</x:v>
      </x:c>
      <x:c r="B878" s="2" t="str">
        <x:v>CFG-C01</x:v>
      </x:c>
      <x:c r="C878" s="2" t="n">
        <x:v>46227.70238086805</x:v>
      </x:c>
      <x:c r="D878" s="2" t="str">
        <x:v>adaptive</x:v>
      </x:c>
      <x:c r="E878" s="2" t="str">
        <x:v>fft_edge</x:v>
      </x:c>
      <x:c r="F878" s="2" t="str">
        <x:v>439</x:v>
      </x:c>
      <x:c r="G878" s="2" t="str">
        <x:v>3144242</x:v>
      </x:c>
      <x:c r="H878" s="2" t="str">
        <x:v>2048000.0</x:v>
      </x:c>
      <x:c r="I878" s="2" t="str">
        <x:v>8192</x:v>
      </x:c>
      <x:c r="J878" s="2" t="str">
        <x:v>250.0</x:v>
      </x:c>
      <x:c r="K878" s="2" t="str">
        <x:v>1</x:v>
      </x:c>
      <x:c r="L878" s="2" t="str">
        <x:v>3</x:v>
      </x:c>
      <x:c r="M878" s="2" t="str">
        <x:v>1</x:v>
      </x:c>
      <x:c r="N878" s="2" t="str">
        <x:v>2</x:v>
      </x:c>
      <x:c r="O878" s="2" t="str">
        <x:v>0</x:v>
      </x:c>
      <x:c r="P878" s="2" t="str">
        <x:v>true</x:v>
      </x:c>
      <x:c r="Q878" s="2" t="str">
        <x:v>-112.467084090</x:v>
      </x:c>
      <x:c r="R878" s="2" t="str">
        <x:v>0.39608401129953563</x:v>
      </x:c>
      <x:c r="S878" s="2" t="str">
        <x:v>46.24917415991174</x:v>
      </x:c>
    </x:row>
    <x:row r="879">
      <x:c r="A879" s="2" t="str">
        <x:v>DE-CMP-01</x:v>
      </x:c>
      <x:c r="B879" s="2" t="str">
        <x:v>CFG-C01</x:v>
      </x:c>
      <x:c r="C879" s="2" t="n">
        <x:v>46227.70238086805</x:v>
      </x:c>
      <x:c r="D879" s="2" t="str">
        <x:v>os_cfar</x:v>
      </x:c>
      <x:c r="E879" s="2" t="str">
        <x:v>fft_edge</x:v>
      </x:c>
      <x:c r="F879" s="2" t="str">
        <x:v>439</x:v>
      </x:c>
      <x:c r="G879" s="2" t="str">
        <x:v>3144242</x:v>
      </x:c>
      <x:c r="H879" s="2" t="str">
        <x:v>2048000.0</x:v>
      </x:c>
      <x:c r="I879" s="2" t="str">
        <x:v>8192</x:v>
      </x:c>
      <x:c r="J879" s="2" t="str">
        <x:v>250.0</x:v>
      </x:c>
      <x:c r="K879" s="2" t="str">
        <x:v>1</x:v>
      </x:c>
      <x:c r="L879" s="2" t="str">
        <x:v>3</x:v>
      </x:c>
      <x:c r="M879" s="2" t="str">
        <x:v>1</x:v>
      </x:c>
      <x:c r="N879" s="2" t="str">
        <x:v>2</x:v>
      </x:c>
      <x:c r="O879" s="2" t="str">
        <x:v>0</x:v>
      </x:c>
      <x:c r="P879" s="2" t="str">
        <x:v>true</x:v>
      </x:c>
      <x:c r="Q879" s="2" t="str">
        <x:v>-112.467084090</x:v>
      </x:c>
      <x:c r="R879" s="2" t="str">
        <x:v>13.976792004541494</x:v>
      </x:c>
      <x:c r="S879" s="2" t="str">
        <x:v>48.12867033770486</x:v>
      </x:c>
    </x:row>
    <x:row r="880">
      <x:c r="A880" s="2" t="str">
        <x:v>DE-CMP-01</x:v>
      </x:c>
      <x:c r="B880" s="2" t="str">
        <x:v>CFG-C01</x:v>
      </x:c>
      <x:c r="C880" s="2" t="n">
        <x:v>46227.70238086805</x:v>
      </x:c>
      <x:c r="D880" s="2" t="str">
        <x:v>os_cfar</x:v>
      </x:c>
      <x:c r="E880" s="2" t="str">
        <x:v>fft_edge</x:v>
      </x:c>
      <x:c r="F880" s="2" t="str">
        <x:v>440</x:v>
      </x:c>
      <x:c r="G880" s="2" t="str">
        <x:v>3144243</x:v>
      </x:c>
      <x:c r="H880" s="2" t="str">
        <x:v>2048000.0</x:v>
      </x:c>
      <x:c r="I880" s="2" t="str">
        <x:v>8192</x:v>
      </x:c>
      <x:c r="J880" s="2" t="str">
        <x:v>250.0</x:v>
      </x:c>
      <x:c r="K880" s="2" t="str">
        <x:v>1</x:v>
      </x:c>
      <x:c r="L880" s="2" t="str">
        <x:v>3</x:v>
      </x:c>
      <x:c r="M880" s="2" t="str">
        <x:v>1</x:v>
      </x:c>
      <x:c r="N880" s="2" t="str">
        <x:v>2</x:v>
      </x:c>
      <x:c r="O880" s="2" t="str">
        <x:v>0</x:v>
      </x:c>
      <x:c r="P880" s="2" t="str">
        <x:v>true</x:v>
      </x:c>
      <x:c r="Q880" s="2" t="str">
        <x:v>16.750935658</x:v>
      </x:c>
      <x:c r="R880" s="2" t="str">
        <x:v>13.865832996089011</x:v>
      </x:c>
      <x:c r="S880" s="2" t="str">
        <x:v>48.07033818381278</x:v>
      </x:c>
    </x:row>
    <x:row r="881">
      <x:c r="A881" s="2" t="str">
        <x:v>DE-CMP-01</x:v>
      </x:c>
      <x:c r="B881" s="2" t="str">
        <x:v>CFG-C01</x:v>
      </x:c>
      <x:c r="C881" s="2" t="n">
        <x:v>46227.70238086805</x:v>
      </x:c>
      <x:c r="D881" s="2" t="str">
        <x:v>adaptive</x:v>
      </x:c>
      <x:c r="E881" s="2" t="str">
        <x:v>fft_edge</x:v>
      </x:c>
      <x:c r="F881" s="2" t="str">
        <x:v>440</x:v>
      </x:c>
      <x:c r="G881" s="2" t="str">
        <x:v>3144243</x:v>
      </x:c>
      <x:c r="H881" s="2" t="str">
        <x:v>2048000.0</x:v>
      </x:c>
      <x:c r="I881" s="2" t="str">
        <x:v>8192</x:v>
      </x:c>
      <x:c r="J881" s="2" t="str">
        <x:v>250.0</x:v>
      </x:c>
      <x:c r="K881" s="2" t="str">
        <x:v>1</x:v>
      </x:c>
      <x:c r="L881" s="2" t="str">
        <x:v>3</x:v>
      </x:c>
      <x:c r="M881" s="2" t="str">
        <x:v>1</x:v>
      </x:c>
      <x:c r="N881" s="2" t="str">
        <x:v>2</x:v>
      </x:c>
      <x:c r="O881" s="2" t="str">
        <x:v>0</x:v>
      </x:c>
      <x:c r="P881" s="2" t="str">
        <x:v>true</x:v>
      </x:c>
      <x:c r="Q881" s="2" t="str">
        <x:v>16.750935658</x:v>
      </x:c>
      <x:c r="R881" s="2" t="str">
        <x:v>0.4130419983994216</x:v>
      </x:c>
      <x:c r="S881" s="2" t="str">
        <x:v>46.3294645576762</x:v>
      </x:c>
    </x:row>
    <x:row r="882">
      <x:c r="A882" s="2" t="str">
        <x:v>DE-CMP-01</x:v>
      </x:c>
      <x:c r="B882" s="2" t="str">
        <x:v>CFG-C01</x:v>
      </x:c>
      <x:c r="C882" s="2" t="n">
        <x:v>46227.70238086805</x:v>
      </x:c>
      <x:c r="D882" s="2" t="str">
        <x:v>adaptive</x:v>
      </x:c>
      <x:c r="E882" s="2" t="str">
        <x:v>fft_edge</x:v>
      </x:c>
      <x:c r="F882" s="2" t="str">
        <x:v>441</x:v>
      </x:c>
      <x:c r="G882" s="2" t="str">
        <x:v>3144244</x:v>
      </x:c>
      <x:c r="H882" s="2" t="str">
        <x:v>2048000.0</x:v>
      </x:c>
      <x:c r="I882" s="2" t="str">
        <x:v>8192</x:v>
      </x:c>
      <x:c r="J882" s="2" t="str">
        <x:v>250.0</x:v>
      </x:c>
      <x:c r="K882" s="2" t="str">
        <x:v>1</x:v>
      </x:c>
      <x:c r="L882" s="2" t="str">
        <x:v>3</x:v>
      </x:c>
      <x:c r="M882" s="2" t="str">
        <x:v>1</x:v>
      </x:c>
      <x:c r="N882" s="2" t="str">
        <x:v>2</x:v>
      </x:c>
      <x:c r="O882" s="2" t="str">
        <x:v>0</x:v>
      </x:c>
      <x:c r="P882" s="2" t="str">
        <x:v>true</x:v>
      </x:c>
      <x:c r="Q882" s="2" t="str">
        <x:v>52.854626291</x:v>
      </x:c>
      <x:c r="R882" s="2" t="str">
        <x:v>0.42679099715314806</x:v>
      </x:c>
      <x:c r="S882" s="2" t="str">
        <x:v>46.45478214209611</x:v>
      </x:c>
    </x:row>
    <x:row r="883">
      <x:c r="A883" s="2" t="str">
        <x:v>DE-CMP-01</x:v>
      </x:c>
      <x:c r="B883" s="2" t="str">
        <x:v>CFG-C01</x:v>
      </x:c>
      <x:c r="C883" s="2" t="n">
        <x:v>46227.70238086805</x:v>
      </x:c>
      <x:c r="D883" s="2" t="str">
        <x:v>os_cfar</x:v>
      </x:c>
      <x:c r="E883" s="2" t="str">
        <x:v>fft_edge</x:v>
      </x:c>
      <x:c r="F883" s="2" t="str">
        <x:v>441</x:v>
      </x:c>
      <x:c r="G883" s="2" t="str">
        <x:v>3144244</x:v>
      </x:c>
      <x:c r="H883" s="2" t="str">
        <x:v>2048000.0</x:v>
      </x:c>
      <x:c r="I883" s="2" t="str">
        <x:v>8192</x:v>
      </x:c>
      <x:c r="J883" s="2" t="str">
        <x:v>250.0</x:v>
      </x:c>
      <x:c r="K883" s="2" t="str">
        <x:v>1</x:v>
      </x:c>
      <x:c r="L883" s="2" t="str">
        <x:v>3</x:v>
      </x:c>
      <x:c r="M883" s="2" t="str">
        <x:v>1</x:v>
      </x:c>
      <x:c r="N883" s="2" t="str">
        <x:v>2</x:v>
      </x:c>
      <x:c r="O883" s="2" t="str">
        <x:v>0</x:v>
      </x:c>
      <x:c r="P883" s="2" t="str">
        <x:v>true</x:v>
      </x:c>
      <x:c r="Q883" s="2" t="str">
        <x:v>52.854626291</x:v>
      </x:c>
      <x:c r="R883" s="2" t="str">
        <x:v>13.920124998549</x:v>
      </x:c>
      <x:c r="S883" s="2" t="str">
        <x:v>48.26911712180157</x:v>
      </x:c>
    </x:row>
    <x:row r="884">
      <x:c r="A884" s="2" t="str">
        <x:v>DE-CMP-01</x:v>
      </x:c>
      <x:c r="B884" s="2" t="str">
        <x:v>CFG-C01</x:v>
      </x:c>
      <x:c r="C884" s="2" t="n">
        <x:v>46227.70238086805</x:v>
      </x:c>
      <x:c r="D884" s="2" t="str">
        <x:v>os_cfar</x:v>
      </x:c>
      <x:c r="E884" s="2" t="str">
        <x:v>fft_edge</x:v>
      </x:c>
      <x:c r="F884" s="2" t="str">
        <x:v>442</x:v>
      </x:c>
      <x:c r="G884" s="2" t="str">
        <x:v>3144245</x:v>
      </x:c>
      <x:c r="H884" s="2" t="str">
        <x:v>2048000.0</x:v>
      </x:c>
      <x:c r="I884" s="2" t="str">
        <x:v>8192</x:v>
      </x:c>
      <x:c r="J884" s="2" t="str">
        <x:v>250.0</x:v>
      </x:c>
      <x:c r="K884" s="2" t="str">
        <x:v>1</x:v>
      </x:c>
      <x:c r="L884" s="2" t="str">
        <x:v>3</x:v>
      </x:c>
      <x:c r="M884" s="2" t="str">
        <x:v>1</x:v>
      </x:c>
      <x:c r="N884" s="2" t="str">
        <x:v>2</x:v>
      </x:c>
      <x:c r="O884" s="2" t="str">
        <x:v>0</x:v>
      </x:c>
      <x:c r="P884" s="2" t="str">
        <x:v>true</x:v>
      </x:c>
      <x:c r="Q884" s="2" t="str">
        <x:v>-97.203057765</x:v>
      </x:c>
      <x:c r="R884" s="2" t="str">
        <x:v>13.964958998258226</x:v>
      </x:c>
      <x:c r="S884" s="2" t="str">
        <x:v>48.14686453484725</x:v>
      </x:c>
    </x:row>
    <x:row r="885">
      <x:c r="A885" s="2" t="str">
        <x:v>DE-CMP-01</x:v>
      </x:c>
      <x:c r="B885" s="2" t="str">
        <x:v>CFG-C01</x:v>
      </x:c>
      <x:c r="C885" s="2" t="n">
        <x:v>46227.70238086805</x:v>
      </x:c>
      <x:c r="D885" s="2" t="str">
        <x:v>adaptive</x:v>
      </x:c>
      <x:c r="E885" s="2" t="str">
        <x:v>fft_edge</x:v>
      </x:c>
      <x:c r="F885" s="2" t="str">
        <x:v>442</x:v>
      </x:c>
      <x:c r="G885" s="2" t="str">
        <x:v>3144245</x:v>
      </x:c>
      <x:c r="H885" s="2" t="str">
        <x:v>2048000.0</x:v>
      </x:c>
      <x:c r="I885" s="2" t="str">
        <x:v>8192</x:v>
      </x:c>
      <x:c r="J885" s="2" t="str">
        <x:v>250.0</x:v>
      </x:c>
      <x:c r="K885" s="2" t="str">
        <x:v>1</x:v>
      </x:c>
      <x:c r="L885" s="2" t="str">
        <x:v>3</x:v>
      </x:c>
      <x:c r="M885" s="2" t="str">
        <x:v>1</x:v>
      </x:c>
      <x:c r="N885" s="2" t="str">
        <x:v>2</x:v>
      </x:c>
      <x:c r="O885" s="2" t="str">
        <x:v>0</x:v>
      </x:c>
      <x:c r="P885" s="2" t="str">
        <x:v>true</x:v>
      </x:c>
      <x:c r="Q885" s="2" t="str">
        <x:v>-97.203057765</x:v>
      </x:c>
      <x:c r="R885" s="2" t="str">
        <x:v>0.4706249892478809</x:v>
      </x:c>
      <x:c r="S885" s="2" t="str">
        <x:v>46.38151186688425</x:v>
      </x:c>
    </x:row>
    <x:row r="886">
      <x:c r="A886" s="2" t="str">
        <x:v>DE-CMP-01</x:v>
      </x:c>
      <x:c r="B886" s="2" t="str">
        <x:v>CFG-C01</x:v>
      </x:c>
      <x:c r="C886" s="2" t="n">
        <x:v>46227.70238086805</x:v>
      </x:c>
      <x:c r="D886" s="2" t="str">
        <x:v>adaptive</x:v>
      </x:c>
      <x:c r="E886" s="2" t="str">
        <x:v>fft_edge</x:v>
      </x:c>
      <x:c r="F886" s="2" t="str">
        <x:v>443</x:v>
      </x:c>
      <x:c r="G886" s="2" t="str">
        <x:v>3144246</x:v>
      </x:c>
      <x:c r="H886" s="2" t="str">
        <x:v>2048000.0</x:v>
      </x:c>
      <x:c r="I886" s="2" t="str">
        <x:v>8192</x:v>
      </x:c>
      <x:c r="J886" s="2" t="str">
        <x:v>250.0</x:v>
      </x:c>
      <x:c r="K886" s="2" t="str">
        <x:v>1</x:v>
      </x:c>
      <x:c r="L886" s="2" t="str">
        <x:v>3</x:v>
      </x:c>
      <x:c r="M886" s="2" t="str">
        <x:v>1</x:v>
      </x:c>
      <x:c r="N886" s="2" t="str">
        <x:v>2</x:v>
      </x:c>
      <x:c r="O886" s="2" t="str">
        <x:v>0</x:v>
      </x:c>
      <x:c r="P886" s="2" t="str">
        <x:v>true</x:v>
      </x:c>
      <x:c r="Q886" s="2" t="str">
        <x:v>44.169071422</x:v>
      </x:c>
      <x:c r="R886" s="2" t="str">
        <x:v>0.422417011577636</x:v>
      </x:c>
      <x:c r="S886" s="2" t="str">
        <x:v>46.581305681416325</x:v>
      </x:c>
    </x:row>
    <x:row r="887">
      <x:c r="A887" s="2" t="str">
        <x:v>DE-CMP-01</x:v>
      </x:c>
      <x:c r="B887" s="2" t="str">
        <x:v>CFG-C01</x:v>
      </x:c>
      <x:c r="C887" s="2" t="n">
        <x:v>46227.70238086805</x:v>
      </x:c>
      <x:c r="D887" s="2" t="str">
        <x:v>os_cfar</x:v>
      </x:c>
      <x:c r="E887" s="2" t="str">
        <x:v>fft_edge</x:v>
      </x:c>
      <x:c r="F887" s="2" t="str">
        <x:v>443</x:v>
      </x:c>
      <x:c r="G887" s="2" t="str">
        <x:v>3144246</x:v>
      </x:c>
      <x:c r="H887" s="2" t="str">
        <x:v>2048000.0</x:v>
      </x:c>
      <x:c r="I887" s="2" t="str">
        <x:v>8192</x:v>
      </x:c>
      <x:c r="J887" s="2" t="str">
        <x:v>250.0</x:v>
      </x:c>
      <x:c r="K887" s="2" t="str">
        <x:v>1</x:v>
      </x:c>
      <x:c r="L887" s="2" t="str">
        <x:v>3</x:v>
      </x:c>
      <x:c r="M887" s="2" t="str">
        <x:v>1</x:v>
      </x:c>
      <x:c r="N887" s="2" t="str">
        <x:v>2</x:v>
      </x:c>
      <x:c r="O887" s="2" t="str">
        <x:v>0</x:v>
      </x:c>
      <x:c r="P887" s="2" t="str">
        <x:v>true</x:v>
      </x:c>
      <x:c r="Q887" s="2" t="str">
        <x:v>44.169071422</x:v>
      </x:c>
      <x:c r="R887" s="2" t="str">
        <x:v>13.928166998084635</x:v>
      </x:c>
      <x:c r="S887" s="2" t="str">
        <x:v>48.12960331842815</x:v>
      </x:c>
    </x:row>
    <x:row r="888">
      <x:c r="A888" s="2" t="str">
        <x:v>DE-CMP-01</x:v>
      </x:c>
      <x:c r="B888" s="2" t="str">
        <x:v>CFG-C01</x:v>
      </x:c>
      <x:c r="C888" s="2" t="n">
        <x:v>46227.70238086805</x:v>
      </x:c>
      <x:c r="D888" s="2" t="str">
        <x:v>os_cfar</x:v>
      </x:c>
      <x:c r="E888" s="2" t="str">
        <x:v>fft_edge</x:v>
      </x:c>
      <x:c r="F888" s="2" t="str">
        <x:v>444</x:v>
      </x:c>
      <x:c r="G888" s="2" t="str">
        <x:v>3144247</x:v>
      </x:c>
      <x:c r="H888" s="2" t="str">
        <x:v>2048000.0</x:v>
      </x:c>
      <x:c r="I888" s="2" t="str">
        <x:v>8192</x:v>
      </x:c>
      <x:c r="J888" s="2" t="str">
        <x:v>250.0</x:v>
      </x:c>
      <x:c r="K888" s="2" t="str">
        <x:v>1</x:v>
      </x:c>
      <x:c r="L888" s="2" t="str">
        <x:v>3</x:v>
      </x:c>
      <x:c r="M888" s="2" t="str">
        <x:v>1</x:v>
      </x:c>
      <x:c r="N888" s="2" t="str">
        <x:v>2</x:v>
      </x:c>
      <x:c r="O888" s="2" t="str">
        <x:v>0</x:v>
      </x:c>
      <x:c r="P888" s="2" t="str">
        <x:v>true</x:v>
      </x:c>
      <x:c r="Q888" s="2" t="str">
        <x:v>-68.086757264</x:v>
      </x:c>
      <x:c r="R888" s="2" t="str">
        <x:v>13.732166989939287</x:v>
      </x:c>
      <x:c r="S888" s="2" t="str">
        <x:v>48.177288282526135</x:v>
      </x:c>
    </x:row>
    <x:row r="889">
      <x:c r="A889" s="2" t="str">
        <x:v>DE-CMP-01</x:v>
      </x:c>
      <x:c r="B889" s="2" t="str">
        <x:v>CFG-C01</x:v>
      </x:c>
      <x:c r="C889" s="2" t="n">
        <x:v>46227.70238086805</x:v>
      </x:c>
      <x:c r="D889" s="2" t="str">
        <x:v>adaptive</x:v>
      </x:c>
      <x:c r="E889" s="2" t="str">
        <x:v>fft_edge</x:v>
      </x:c>
      <x:c r="F889" s="2" t="str">
        <x:v>444</x:v>
      </x:c>
      <x:c r="G889" s="2" t="str">
        <x:v>3144247</x:v>
      </x:c>
      <x:c r="H889" s="2" t="str">
        <x:v>2048000.0</x:v>
      </x:c>
      <x:c r="I889" s="2" t="str">
        <x:v>8192</x:v>
      </x:c>
      <x:c r="J889" s="2" t="str">
        <x:v>250.0</x:v>
      </x:c>
      <x:c r="K889" s="2" t="str">
        <x:v>1</x:v>
      </x:c>
      <x:c r="L889" s="2" t="str">
        <x:v>3</x:v>
      </x:c>
      <x:c r="M889" s="2" t="str">
        <x:v>1</x:v>
      </x:c>
      <x:c r="N889" s="2" t="str">
        <x:v>2</x:v>
      </x:c>
      <x:c r="O889" s="2" t="str">
        <x:v>0</x:v>
      </x:c>
      <x:c r="P889" s="2" t="str">
        <x:v>true</x:v>
      </x:c>
      <x:c r="Q889" s="2" t="str">
        <x:v>-68.086757264</x:v>
      </x:c>
      <x:c r="R889" s="2" t="str">
        <x:v>0.45616700663231313</x:v>
      </x:c>
      <x:c r="S889" s="2" t="str">
        <x:v>46.42293396347724</x:v>
      </x:c>
    </x:row>
    <x:row r="890">
      <x:c r="A890" s="2" t="str">
        <x:v>DE-CMP-01</x:v>
      </x:c>
      <x:c r="B890" s="2" t="str">
        <x:v>CFG-C01</x:v>
      </x:c>
      <x:c r="C890" s="2" t="n">
        <x:v>46227.70238086805</x:v>
      </x:c>
      <x:c r="D890" s="2" t="str">
        <x:v>adaptive</x:v>
      </x:c>
      <x:c r="E890" s="2" t="str">
        <x:v>fft_edge</x:v>
      </x:c>
      <x:c r="F890" s="2" t="str">
        <x:v>445</x:v>
      </x:c>
      <x:c r="G890" s="2" t="str">
        <x:v>3144248</x:v>
      </x:c>
      <x:c r="H890" s="2" t="str">
        <x:v>2048000.0</x:v>
      </x:c>
      <x:c r="I890" s="2" t="str">
        <x:v>8192</x:v>
      </x:c>
      <x:c r="J890" s="2" t="str">
        <x:v>250.0</x:v>
      </x:c>
      <x:c r="K890" s="2" t="str">
        <x:v>1</x:v>
      </x:c>
      <x:c r="L890" s="2" t="str">
        <x:v>3</x:v>
      </x:c>
      <x:c r="M890" s="2" t="str">
        <x:v>1</x:v>
      </x:c>
      <x:c r="N890" s="2" t="str">
        <x:v>2</x:v>
      </x:c>
      <x:c r="O890" s="2" t="str">
        <x:v>0</x:v>
      </x:c>
      <x:c r="P890" s="2" t="str">
        <x:v>true</x:v>
      </x:c>
      <x:c r="Q890" s="2" t="str">
        <x:v>-72.451892131</x:v>
      </x:c>
      <x:c r="R890" s="2" t="str">
        <x:v>0.42587499774526805</x:v>
      </x:c>
      <x:c r="S890" s="2" t="str">
        <x:v>46.53538764159917</x:v>
      </x:c>
    </x:row>
    <x:row r="891">
      <x:c r="A891" s="2" t="str">
        <x:v>DE-CMP-01</x:v>
      </x:c>
      <x:c r="B891" s="2" t="str">
        <x:v>CFG-C01</x:v>
      </x:c>
      <x:c r="C891" s="2" t="n">
        <x:v>46227.70238086805</x:v>
      </x:c>
      <x:c r="D891" s="2" t="str">
        <x:v>os_cfar</x:v>
      </x:c>
      <x:c r="E891" s="2" t="str">
        <x:v>fft_edge</x:v>
      </x:c>
      <x:c r="F891" s="2" t="str">
        <x:v>445</x:v>
      </x:c>
      <x:c r="G891" s="2" t="str">
        <x:v>3144248</x:v>
      </x:c>
      <x:c r="H891" s="2" t="str">
        <x:v>2048000.0</x:v>
      </x:c>
      <x:c r="I891" s="2" t="str">
        <x:v>8192</x:v>
      </x:c>
      <x:c r="J891" s="2" t="str">
        <x:v>250.0</x:v>
      </x:c>
      <x:c r="K891" s="2" t="str">
        <x:v>1</x:v>
      </x:c>
      <x:c r="L891" s="2" t="str">
        <x:v>3</x:v>
      </x:c>
      <x:c r="M891" s="2" t="str">
        <x:v>1</x:v>
      </x:c>
      <x:c r="N891" s="2" t="str">
        <x:v>2</x:v>
      </x:c>
      <x:c r="O891" s="2" t="str">
        <x:v>0</x:v>
      </x:c>
      <x:c r="P891" s="2" t="str">
        <x:v>true</x:v>
      </x:c>
      <x:c r="Q891" s="2" t="str">
        <x:v>-72.451892131</x:v>
      </x:c>
      <x:c r="R891" s="2" t="str">
        <x:v>13.828625000314787</x:v>
      </x:c>
      <x:c r="S891" s="2" t="str">
        <x:v>48.16737372044713</x:v>
      </x:c>
    </x:row>
    <x:row r="892">
      <x:c r="A892" s="2" t="str">
        <x:v>DE-CMP-01</x:v>
      </x:c>
      <x:c r="B892" s="2" t="str">
        <x:v>CFG-C01</x:v>
      </x:c>
      <x:c r="C892" s="2" t="n">
        <x:v>46227.70238086805</x:v>
      </x:c>
      <x:c r="D892" s="2" t="str">
        <x:v>os_cfar</x:v>
      </x:c>
      <x:c r="E892" s="2" t="str">
        <x:v>fft_edge</x:v>
      </x:c>
      <x:c r="F892" s="2" t="str">
        <x:v>446</x:v>
      </x:c>
      <x:c r="G892" s="2" t="str">
        <x:v>3144249</x:v>
      </x:c>
      <x:c r="H892" s="2" t="str">
        <x:v>2048000.0</x:v>
      </x:c>
      <x:c r="I892" s="2" t="str">
        <x:v>8192</x:v>
      </x:c>
      <x:c r="J892" s="2" t="str">
        <x:v>250.0</x:v>
      </x:c>
      <x:c r="K892" s="2" t="str">
        <x:v>1</x:v>
      </x:c>
      <x:c r="L892" s="2" t="str">
        <x:v>3</x:v>
      </x:c>
      <x:c r="M892" s="2" t="str">
        <x:v>1</x:v>
      </x:c>
      <x:c r="N892" s="2" t="str">
        <x:v>2</x:v>
      </x:c>
      <x:c r="O892" s="2" t="str">
        <x:v>0</x:v>
      </x:c>
      <x:c r="P892" s="2" t="str">
        <x:v>true</x:v>
      </x:c>
      <x:c r="Q892" s="2" t="str">
        <x:v>123.841757439</x:v>
      </x:c>
      <x:c r="R892" s="2" t="str">
        <x:v>14.050625002710149</x:v>
      </x:c>
      <x:c r="S892" s="2" t="str">
        <x:v>48.22989426339534</x:v>
      </x:c>
    </x:row>
    <x:row r="893">
      <x:c r="A893" s="2" t="str">
        <x:v>DE-CMP-01</x:v>
      </x:c>
      <x:c r="B893" s="2" t="str">
        <x:v>CFG-C01</x:v>
      </x:c>
      <x:c r="C893" s="2" t="n">
        <x:v>46227.70238086805</x:v>
      </x:c>
      <x:c r="D893" s="2" t="str">
        <x:v>adaptive</x:v>
      </x:c>
      <x:c r="E893" s="2" t="str">
        <x:v>fft_edge</x:v>
      </x:c>
      <x:c r="F893" s="2" t="str">
        <x:v>446</x:v>
      </x:c>
      <x:c r="G893" s="2" t="str">
        <x:v>3144249</x:v>
      </x:c>
      <x:c r="H893" s="2" t="str">
        <x:v>2048000.0</x:v>
      </x:c>
      <x:c r="I893" s="2" t="str">
        <x:v>8192</x:v>
      </x:c>
      <x:c r="J893" s="2" t="str">
        <x:v>250.0</x:v>
      </x:c>
      <x:c r="K893" s="2" t="str">
        <x:v>1</x:v>
      </x:c>
      <x:c r="L893" s="2" t="str">
        <x:v>3</x:v>
      </x:c>
      <x:c r="M893" s="2" t="str">
        <x:v>1</x:v>
      </x:c>
      <x:c r="N893" s="2" t="str">
        <x:v>2</x:v>
      </x:c>
      <x:c r="O893" s="2" t="str">
        <x:v>0</x:v>
      </x:c>
      <x:c r="P893" s="2" t="str">
        <x:v>true</x:v>
      </x:c>
      <x:c r="Q893" s="2" t="str">
        <x:v>123.841757439</x:v>
      </x:c>
      <x:c r="R893" s="2" t="str">
        <x:v>0.4345839988673106</x:v>
      </x:c>
      <x:c r="S893" s="2" t="str">
        <x:v>46.440701796235665</x:v>
      </x:c>
    </x:row>
    <x:row r="894">
      <x:c r="A894" s="2" t="str">
        <x:v>DE-CMP-01</x:v>
      </x:c>
      <x:c r="B894" s="2" t="str">
        <x:v>CFG-C01</x:v>
      </x:c>
      <x:c r="C894" s="2" t="n">
        <x:v>46227.70238086805</x:v>
      </x:c>
      <x:c r="D894" s="2" t="str">
        <x:v>adaptive</x:v>
      </x:c>
      <x:c r="E894" s="2" t="str">
        <x:v>fft_edge</x:v>
      </x:c>
      <x:c r="F894" s="2" t="str">
        <x:v>447</x:v>
      </x:c>
      <x:c r="G894" s="2" t="str">
        <x:v>3144250</x:v>
      </x:c>
      <x:c r="H894" s="2" t="str">
        <x:v>2048000.0</x:v>
      </x:c>
      <x:c r="I894" s="2" t="str">
        <x:v>8192</x:v>
      </x:c>
      <x:c r="J894" s="2" t="str">
        <x:v>250.0</x:v>
      </x:c>
      <x:c r="K894" s="2" t="str">
        <x:v>1</x:v>
      </x:c>
      <x:c r="L894" s="2" t="str">
        <x:v>3</x:v>
      </x:c>
      <x:c r="M894" s="2" t="str">
        <x:v>1</x:v>
      </x:c>
      <x:c r="N894" s="2" t="str">
        <x:v>2</x:v>
      </x:c>
      <x:c r="O894" s="2" t="str">
        <x:v>0</x:v>
      </x:c>
      <x:c r="P894" s="2" t="str">
        <x:v>true</x:v>
      </x:c>
      <x:c r="Q894" s="2" t="str">
        <x:v>2.513190830</x:v>
      </x:c>
      <x:c r="R894" s="2" t="str">
        <x:v>0.43000000005122274</x:v>
      </x:c>
      <x:c r="S894" s="2" t="str">
        <x:v>46.141826130222114</x:v>
      </x:c>
    </x:row>
    <x:row r="895">
      <x:c r="A895" s="2" t="str">
        <x:v>DE-CMP-01</x:v>
      </x:c>
      <x:c r="B895" s="2" t="str">
        <x:v>CFG-C01</x:v>
      </x:c>
      <x:c r="C895" s="2" t="n">
        <x:v>46227.70238086805</x:v>
      </x:c>
      <x:c r="D895" s="2" t="str">
        <x:v>os_cfar</x:v>
      </x:c>
      <x:c r="E895" s="2" t="str">
        <x:v>fft_edge</x:v>
      </x:c>
      <x:c r="F895" s="2" t="str">
        <x:v>447</x:v>
      </x:c>
      <x:c r="G895" s="2" t="str">
        <x:v>3144250</x:v>
      </x:c>
      <x:c r="H895" s="2" t="str">
        <x:v>2048000.0</x:v>
      </x:c>
      <x:c r="I895" s="2" t="str">
        <x:v>8192</x:v>
      </x:c>
      <x:c r="J895" s="2" t="str">
        <x:v>250.0</x:v>
      </x:c>
      <x:c r="K895" s="2" t="str">
        <x:v>1</x:v>
      </x:c>
      <x:c r="L895" s="2" t="str">
        <x:v>3</x:v>
      </x:c>
      <x:c r="M895" s="2" t="str">
        <x:v>1</x:v>
      </x:c>
      <x:c r="N895" s="2" t="str">
        <x:v>2</x:v>
      </x:c>
      <x:c r="O895" s="2" t="str">
        <x:v>0</x:v>
      </x:c>
      <x:c r="P895" s="2" t="str">
        <x:v>true</x:v>
      </x:c>
      <x:c r="Q895" s="2" t="str">
        <x:v>2.513190830</x:v>
      </x:c>
      <x:c r="R895" s="2" t="str">
        <x:v>13.96108401240781</x:v>
      </x:c>
      <x:c r="S895" s="2" t="str">
        <x:v>48.22967176992783</x:v>
      </x:c>
    </x:row>
    <x:row r="896">
      <x:c r="A896" s="2" t="str">
        <x:v>DE-CMP-01</x:v>
      </x:c>
      <x:c r="B896" s="2" t="str">
        <x:v>CFG-C01</x:v>
      </x:c>
      <x:c r="C896" s="2" t="n">
        <x:v>46227.70238086805</x:v>
      </x:c>
      <x:c r="D896" s="2" t="str">
        <x:v>os_cfar</x:v>
      </x:c>
      <x:c r="E896" s="2" t="str">
        <x:v>fft_edge</x:v>
      </x:c>
      <x:c r="F896" s="2" t="str">
        <x:v>448</x:v>
      </x:c>
      <x:c r="G896" s="2" t="str">
        <x:v>3144251</x:v>
      </x:c>
      <x:c r="H896" s="2" t="str">
        <x:v>2048000.0</x:v>
      </x:c>
      <x:c r="I896" s="2" t="str">
        <x:v>8192</x:v>
      </x:c>
      <x:c r="J896" s="2" t="str">
        <x:v>250.0</x:v>
      </x:c>
      <x:c r="K896" s="2" t="str">
        <x:v>1</x:v>
      </x:c>
      <x:c r="L896" s="2" t="str">
        <x:v>3</x:v>
      </x:c>
      <x:c r="M896" s="2" t="str">
        <x:v>1</x:v>
      </x:c>
      <x:c r="N896" s="2" t="str">
        <x:v>2</x:v>
      </x:c>
      <x:c r="O896" s="2" t="str">
        <x:v>0</x:v>
      </x:c>
      <x:c r="P896" s="2" t="str">
        <x:v>true</x:v>
      </x:c>
      <x:c r="Q896" s="2" t="str">
        <x:v>78.324154983</x:v>
      </x:c>
      <x:c r="R896" s="2" t="str">
        <x:v>13.784542010398582</x:v>
      </x:c>
      <x:c r="S896" s="2" t="str">
        <x:v>48.303577172019914</x:v>
      </x:c>
    </x:row>
    <x:row r="897">
      <x:c r="A897" s="2" t="str">
        <x:v>DE-CMP-01</x:v>
      </x:c>
      <x:c r="B897" s="2" t="str">
        <x:v>CFG-C01</x:v>
      </x:c>
      <x:c r="C897" s="2" t="n">
        <x:v>46227.70238086805</x:v>
      </x:c>
      <x:c r="D897" s="2" t="str">
        <x:v>adaptive</x:v>
      </x:c>
      <x:c r="E897" s="2" t="str">
        <x:v>fft_edge</x:v>
      </x:c>
      <x:c r="F897" s="2" t="str">
        <x:v>448</x:v>
      </x:c>
      <x:c r="G897" s="2" t="str">
        <x:v>3144251</x:v>
      </x:c>
      <x:c r="H897" s="2" t="str">
        <x:v>2048000.0</x:v>
      </x:c>
      <x:c r="I897" s="2" t="str">
        <x:v>8192</x:v>
      </x:c>
      <x:c r="J897" s="2" t="str">
        <x:v>250.0</x:v>
      </x:c>
      <x:c r="K897" s="2" t="str">
        <x:v>1</x:v>
      </x:c>
      <x:c r="L897" s="2" t="str">
        <x:v>3</x:v>
      </x:c>
      <x:c r="M897" s="2" t="str">
        <x:v>1</x:v>
      </x:c>
      <x:c r="N897" s="2" t="str">
        <x:v>2</x:v>
      </x:c>
      <x:c r="O897" s="2" t="str">
        <x:v>0</x:v>
      </x:c>
      <x:c r="P897" s="2" t="str">
        <x:v>true</x:v>
      </x:c>
      <x:c r="Q897" s="2" t="str">
        <x:v>78.324154983</x:v>
      </x:c>
      <x:c r="R897" s="2" t="str">
        <x:v>0.41487500129733235</x:v>
      </x:c>
      <x:c r="S897" s="2" t="str">
        <x:v>46.535568424511624</x:v>
      </x:c>
    </x:row>
    <x:row r="898">
      <x:c r="A898" s="2" t="str">
        <x:v>DE-CMP-01</x:v>
      </x:c>
      <x:c r="B898" s="2" t="str">
        <x:v>CFG-C01</x:v>
      </x:c>
      <x:c r="C898" s="2" t="n">
        <x:v>46227.70238086805</x:v>
      </x:c>
      <x:c r="D898" s="2" t="str">
        <x:v>adaptive</x:v>
      </x:c>
      <x:c r="E898" s="2" t="str">
        <x:v>fft_edge</x:v>
      </x:c>
      <x:c r="F898" s="2" t="str">
        <x:v>449</x:v>
      </x:c>
      <x:c r="G898" s="2" t="str">
        <x:v>3144252</x:v>
      </x:c>
      <x:c r="H898" s="2" t="str">
        <x:v>2048000.0</x:v>
      </x:c>
      <x:c r="I898" s="2" t="str">
        <x:v>8192</x:v>
      </x:c>
      <x:c r="J898" s="2" t="str">
        <x:v>250.0</x:v>
      </x:c>
      <x:c r="K898" s="2" t="str">
        <x:v>1</x:v>
      </x:c>
      <x:c r="L898" s="2" t="str">
        <x:v>3</x:v>
      </x:c>
      <x:c r="M898" s="2" t="str">
        <x:v>1</x:v>
      </x:c>
      <x:c r="N898" s="2" t="str">
        <x:v>2</x:v>
      </x:c>
      <x:c r="O898" s="2" t="str">
        <x:v>0</x:v>
      </x:c>
      <x:c r="P898" s="2" t="str">
        <x:v>true</x:v>
      </x:c>
      <x:c r="Q898" s="2" t="str">
        <x:v>-58.042517587</x:v>
      </x:c>
      <x:c r="R898" s="2" t="str">
        <x:v>0.3867089981213212</x:v>
      </x:c>
      <x:c r="S898" s="2" t="str">
        <x:v>46.56715260084399</x:v>
      </x:c>
    </x:row>
    <x:row r="899">
      <x:c r="A899" s="2" t="str">
        <x:v>DE-CMP-01</x:v>
      </x:c>
      <x:c r="B899" s="2" t="str">
        <x:v>CFG-C01</x:v>
      </x:c>
      <x:c r="C899" s="2" t="n">
        <x:v>46227.70238086805</x:v>
      </x:c>
      <x:c r="D899" s="2" t="str">
        <x:v>os_cfar</x:v>
      </x:c>
      <x:c r="E899" s="2" t="str">
        <x:v>fft_edge</x:v>
      </x:c>
      <x:c r="F899" s="2" t="str">
        <x:v>449</x:v>
      </x:c>
      <x:c r="G899" s="2" t="str">
        <x:v>3144252</x:v>
      </x:c>
      <x:c r="H899" s="2" t="str">
        <x:v>2048000.0</x:v>
      </x:c>
      <x:c r="I899" s="2" t="str">
        <x:v>8192</x:v>
      </x:c>
      <x:c r="J899" s="2" t="str">
        <x:v>250.0</x:v>
      </x:c>
      <x:c r="K899" s="2" t="str">
        <x:v>1</x:v>
      </x:c>
      <x:c r="L899" s="2" t="str">
        <x:v>3</x:v>
      </x:c>
      <x:c r="M899" s="2" t="str">
        <x:v>1</x:v>
      </x:c>
      <x:c r="N899" s="2" t="str">
        <x:v>2</x:v>
      </x:c>
      <x:c r="O899" s="2" t="str">
        <x:v>0</x:v>
      </x:c>
      <x:c r="P899" s="2" t="str">
        <x:v>true</x:v>
      </x:c>
      <x:c r="Q899" s="2" t="str">
        <x:v>-58.042517587</x:v>
      </x:c>
      <x:c r="R899" s="2" t="str">
        <x:v>13.965500009362586</x:v>
      </x:c>
      <x:c r="S899" s="2" t="str">
        <x:v>48.30039607506879</x:v>
      </x:c>
    </x:row>
    <x:row r="900">
      <x:c r="A900" s="2" t="str">
        <x:v>DE-CMP-01</x:v>
      </x:c>
      <x:c r="B900" s="2" t="str">
        <x:v>CFG-C01</x:v>
      </x:c>
      <x:c r="C900" s="2" t="n">
        <x:v>46227.70238086805</x:v>
      </x:c>
      <x:c r="D900" s="2" t="str">
        <x:v>os_cfar</x:v>
      </x:c>
      <x:c r="E900" s="2" t="str">
        <x:v>fft_edge</x:v>
      </x:c>
      <x:c r="F900" s="2" t="str">
        <x:v>450</x:v>
      </x:c>
      <x:c r="G900" s="2" t="str">
        <x:v>3144253</x:v>
      </x:c>
      <x:c r="H900" s="2" t="str">
        <x:v>2048000.0</x:v>
      </x:c>
      <x:c r="I900" s="2" t="str">
        <x:v>8192</x:v>
      </x:c>
      <x:c r="J900" s="2" t="str">
        <x:v>250.0</x:v>
      </x:c>
      <x:c r="K900" s="2" t="str">
        <x:v>1</x:v>
      </x:c>
      <x:c r="L900" s="2" t="str">
        <x:v>3</x:v>
      </x:c>
      <x:c r="M900" s="2" t="str">
        <x:v>1</x:v>
      </x:c>
      <x:c r="N900" s="2" t="str">
        <x:v>2</x:v>
      </x:c>
      <x:c r="O900" s="2" t="str">
        <x:v>0</x:v>
      </x:c>
      <x:c r="P900" s="2" t="str">
        <x:v>true</x:v>
      </x:c>
      <x:c r="Q900" s="2" t="str">
        <x:v>-32.434841242</x:v>
      </x:c>
      <x:c r="R900" s="2" t="str">
        <x:v>13.971207998110913</x:v>
      </x:c>
      <x:c r="S900" s="2" t="str">
        <x:v>48.18972555275316</x:v>
      </x:c>
    </x:row>
    <x:row r="901">
      <x:c r="A901" s="2" t="str">
        <x:v>DE-CMP-01</x:v>
      </x:c>
      <x:c r="B901" s="2" t="str">
        <x:v>CFG-C01</x:v>
      </x:c>
      <x:c r="C901" s="2" t="n">
        <x:v>46227.70238086805</x:v>
      </x:c>
      <x:c r="D901" s="2" t="str">
        <x:v>adaptive</x:v>
      </x:c>
      <x:c r="E901" s="2" t="str">
        <x:v>fft_edge</x:v>
      </x:c>
      <x:c r="F901" s="2" t="str">
        <x:v>450</x:v>
      </x:c>
      <x:c r="G901" s="2" t="str">
        <x:v>3144253</x:v>
      </x:c>
      <x:c r="H901" s="2" t="str">
        <x:v>2048000.0</x:v>
      </x:c>
      <x:c r="I901" s="2" t="str">
        <x:v>8192</x:v>
      </x:c>
      <x:c r="J901" s="2" t="str">
        <x:v>250.0</x:v>
      </x:c>
      <x:c r="K901" s="2" t="str">
        <x:v>1</x:v>
      </x:c>
      <x:c r="L901" s="2" t="str">
        <x:v>3</x:v>
      </x:c>
      <x:c r="M901" s="2" t="str">
        <x:v>1</x:v>
      </x:c>
      <x:c r="N901" s="2" t="str">
        <x:v>2</x:v>
      </x:c>
      <x:c r="O901" s="2" t="str">
        <x:v>0</x:v>
      </x:c>
      <x:c r="P901" s="2" t="str">
        <x:v>true</x:v>
      </x:c>
      <x:c r="Q901" s="2" t="str">
        <x:v>-32.434841242</x:v>
      </x:c>
      <x:c r="R901" s="2" t="str">
        <x:v>0.4340409941505641</x:v>
      </x:c>
      <x:c r="S901" s="2" t="str">
        <x:v>46.33120521313478</x:v>
      </x:c>
    </x:row>
    <x:row r="902">
      <x:c r="A902" s="2" t="str">
        <x:v>DE-CMP-01</x:v>
      </x:c>
      <x:c r="B902" s="2" t="str">
        <x:v>CFG-C01</x:v>
      </x:c>
      <x:c r="C902" s="2" t="n">
        <x:v>46227.70238086805</x:v>
      </x:c>
      <x:c r="D902" s="2" t="str">
        <x:v>adaptive</x:v>
      </x:c>
      <x:c r="E902" s="2" t="str">
        <x:v>fft_edge</x:v>
      </x:c>
      <x:c r="F902" s="2" t="str">
        <x:v>451</x:v>
      </x:c>
      <x:c r="G902" s="2" t="str">
        <x:v>3144254</x:v>
      </x:c>
      <x:c r="H902" s="2" t="str">
        <x:v>2048000.0</x:v>
      </x:c>
      <x:c r="I902" s="2" t="str">
        <x:v>8192</x:v>
      </x:c>
      <x:c r="J902" s="2" t="str">
        <x:v>250.0</x:v>
      </x:c>
      <x:c r="K902" s="2" t="str">
        <x:v>1</x:v>
      </x:c>
      <x:c r="L902" s="2" t="str">
        <x:v>3</x:v>
      </x:c>
      <x:c r="M902" s="2" t="str">
        <x:v>1</x:v>
      </x:c>
      <x:c r="N902" s="2" t="str">
        <x:v>2</x:v>
      </x:c>
      <x:c r="O902" s="2" t="str">
        <x:v>0</x:v>
      </x:c>
      <x:c r="P902" s="2" t="str">
        <x:v>true</x:v>
      </x:c>
      <x:c r="Q902" s="2" t="str">
        <x:v>-76.200629018</x:v>
      </x:c>
      <x:c r="R902" s="2" t="str">
        <x:v>0.4181669937679544</x:v>
      </x:c>
      <x:c r="S902" s="2" t="str">
        <x:v>46.529017149643416</x:v>
      </x:c>
    </x:row>
    <x:row r="903">
      <x:c r="A903" s="2" t="str">
        <x:v>DE-CMP-01</x:v>
      </x:c>
      <x:c r="B903" s="2" t="str">
        <x:v>CFG-C01</x:v>
      </x:c>
      <x:c r="C903" s="2" t="n">
        <x:v>46227.70238086805</x:v>
      </x:c>
      <x:c r="D903" s="2" t="str">
        <x:v>os_cfar</x:v>
      </x:c>
      <x:c r="E903" s="2" t="str">
        <x:v>fft_edge</x:v>
      </x:c>
      <x:c r="F903" s="2" t="str">
        <x:v>451</x:v>
      </x:c>
      <x:c r="G903" s="2" t="str">
        <x:v>3144254</x:v>
      </x:c>
      <x:c r="H903" s="2" t="str">
        <x:v>2048000.0</x:v>
      </x:c>
      <x:c r="I903" s="2" t="str">
        <x:v>8192</x:v>
      </x:c>
      <x:c r="J903" s="2" t="str">
        <x:v>250.0</x:v>
      </x:c>
      <x:c r="K903" s="2" t="str">
        <x:v>1</x:v>
      </x:c>
      <x:c r="L903" s="2" t="str">
        <x:v>3</x:v>
      </x:c>
      <x:c r="M903" s="2" t="str">
        <x:v>1</x:v>
      </x:c>
      <x:c r="N903" s="2" t="str">
        <x:v>2</x:v>
      </x:c>
      <x:c r="O903" s="2" t="str">
        <x:v>0</x:v>
      </x:c>
      <x:c r="P903" s="2" t="str">
        <x:v>true</x:v>
      </x:c>
      <x:c r="Q903" s="2" t="str">
        <x:v>-76.200629018</x:v>
      </x:c>
      <x:c r="R903" s="2" t="str">
        <x:v>13.827834001858719</x:v>
      </x:c>
      <x:c r="S903" s="2" t="str">
        <x:v>48.27093470475895</x:v>
      </x:c>
    </x:row>
    <x:row r="904">
      <x:c r="A904" s="2" t="str">
        <x:v>DE-CMP-01</x:v>
      </x:c>
      <x:c r="B904" s="2" t="str">
        <x:v>CFG-C01</x:v>
      </x:c>
      <x:c r="C904" s="2" t="n">
        <x:v>46227.70238086805</x:v>
      </x:c>
      <x:c r="D904" s="2" t="str">
        <x:v>os_cfar</x:v>
      </x:c>
      <x:c r="E904" s="2" t="str">
        <x:v>fft_edge</x:v>
      </x:c>
      <x:c r="F904" s="2" t="str">
        <x:v>452</x:v>
      </x:c>
      <x:c r="G904" s="2" t="str">
        <x:v>3144255</x:v>
      </x:c>
      <x:c r="H904" s="2" t="str">
        <x:v>2048000.0</x:v>
      </x:c>
      <x:c r="I904" s="2" t="str">
        <x:v>8192</x:v>
      </x:c>
      <x:c r="J904" s="2" t="str">
        <x:v>250.0</x:v>
      </x:c>
      <x:c r="K904" s="2" t="str">
        <x:v>1</x:v>
      </x:c>
      <x:c r="L904" s="2" t="str">
        <x:v>3</x:v>
      </x:c>
      <x:c r="M904" s="2" t="str">
        <x:v>1</x:v>
      </x:c>
      <x:c r="N904" s="2" t="str">
        <x:v>2</x:v>
      </x:c>
      <x:c r="O904" s="2" t="str">
        <x:v>0</x:v>
      </x:c>
      <x:c r="P904" s="2" t="str">
        <x:v>true</x:v>
      </x:c>
      <x:c r="Q904" s="2" t="str">
        <x:v>40.208834404</x:v>
      </x:c>
      <x:c r="R904" s="2" t="str">
        <x:v>14.033667001058348</x:v>
      </x:c>
      <x:c r="S904" s="2" t="str">
        <x:v>48.26034573593374</x:v>
      </x:c>
    </x:row>
    <x:row r="905">
      <x:c r="A905" s="2" t="str">
        <x:v>DE-CMP-01</x:v>
      </x:c>
      <x:c r="B905" s="2" t="str">
        <x:v>CFG-C01</x:v>
      </x:c>
      <x:c r="C905" s="2" t="n">
        <x:v>46227.70238086805</x:v>
      </x:c>
      <x:c r="D905" s="2" t="str">
        <x:v>adaptive</x:v>
      </x:c>
      <x:c r="E905" s="2" t="str">
        <x:v>fft_edge</x:v>
      </x:c>
      <x:c r="F905" s="2" t="str">
        <x:v>452</x:v>
      </x:c>
      <x:c r="G905" s="2" t="str">
        <x:v>3144255</x:v>
      </x:c>
      <x:c r="H905" s="2" t="str">
        <x:v>2048000.0</x:v>
      </x:c>
      <x:c r="I905" s="2" t="str">
        <x:v>8192</x:v>
      </x:c>
      <x:c r="J905" s="2" t="str">
        <x:v>250.0</x:v>
      </x:c>
      <x:c r="K905" s="2" t="str">
        <x:v>1</x:v>
      </x:c>
      <x:c r="L905" s="2" t="str">
        <x:v>3</x:v>
      </x:c>
      <x:c r="M905" s="2" t="str">
        <x:v>1</x:v>
      </x:c>
      <x:c r="N905" s="2" t="str">
        <x:v>2</x:v>
      </x:c>
      <x:c r="O905" s="2" t="str">
        <x:v>0</x:v>
      </x:c>
      <x:c r="P905" s="2" t="str">
        <x:v>true</x:v>
      </x:c>
      <x:c r="Q905" s="2" t="str">
        <x:v>40.208834404</x:v>
      </x:c>
      <x:c r="R905" s="2" t="str">
        <x:v>0.42070800554938614</x:v>
      </x:c>
      <x:c r="S905" s="2" t="str">
        <x:v>46.48178585635539</x:v>
      </x:c>
    </x:row>
    <x:row r="906">
      <x:c r="A906" s="2" t="str">
        <x:v>DE-CMP-01</x:v>
      </x:c>
      <x:c r="B906" s="2" t="str">
        <x:v>CFG-C01</x:v>
      </x:c>
      <x:c r="C906" s="2" t="n">
        <x:v>46227.70238086805</x:v>
      </x:c>
      <x:c r="D906" s="2" t="str">
        <x:v>adaptive</x:v>
      </x:c>
      <x:c r="E906" s="2" t="str">
        <x:v>fft_edge</x:v>
      </x:c>
      <x:c r="F906" s="2" t="str">
        <x:v>453</x:v>
      </x:c>
      <x:c r="G906" s="2" t="str">
        <x:v>3144256</x:v>
      </x:c>
      <x:c r="H906" s="2" t="str">
        <x:v>2048000.0</x:v>
      </x:c>
      <x:c r="I906" s="2" t="str">
        <x:v>8192</x:v>
      </x:c>
      <x:c r="J906" s="2" t="str">
        <x:v>250.0</x:v>
      </x:c>
      <x:c r="K906" s="2" t="str">
        <x:v>1</x:v>
      </x:c>
      <x:c r="L906" s="2" t="str">
        <x:v>3</x:v>
      </x:c>
      <x:c r="M906" s="2" t="str">
        <x:v>1</x:v>
      </x:c>
      <x:c r="N906" s="2" t="str">
        <x:v>2</x:v>
      </x:c>
      <x:c r="O906" s="2" t="str">
        <x:v>0</x:v>
      </x:c>
      <x:c r="P906" s="2" t="str">
        <x:v>true</x:v>
      </x:c>
      <x:c r="Q906" s="2" t="str">
        <x:v>103.832980916</x:v>
      </x:c>
      <x:c r="R906" s="2" t="str">
        <x:v>0.4120419907849282</x:v>
      </x:c>
      <x:c r="S906" s="2" t="str">
        <x:v>46.54786721587834</x:v>
      </x:c>
    </x:row>
    <x:row r="907">
      <x:c r="A907" s="2" t="str">
        <x:v>DE-CMP-01</x:v>
      </x:c>
      <x:c r="B907" s="2" t="str">
        <x:v>CFG-C01</x:v>
      </x:c>
      <x:c r="C907" s="2" t="n">
        <x:v>46227.70238086805</x:v>
      </x:c>
      <x:c r="D907" s="2" t="str">
        <x:v>os_cfar</x:v>
      </x:c>
      <x:c r="E907" s="2" t="str">
        <x:v>fft_edge</x:v>
      </x:c>
      <x:c r="F907" s="2" t="str">
        <x:v>453</x:v>
      </x:c>
      <x:c r="G907" s="2" t="str">
        <x:v>3144256</x:v>
      </x:c>
      <x:c r="H907" s="2" t="str">
        <x:v>2048000.0</x:v>
      </x:c>
      <x:c r="I907" s="2" t="str">
        <x:v>8192</x:v>
      </x:c>
      <x:c r="J907" s="2" t="str">
        <x:v>250.0</x:v>
      </x:c>
      <x:c r="K907" s="2" t="str">
        <x:v>1</x:v>
      </x:c>
      <x:c r="L907" s="2" t="str">
        <x:v>3</x:v>
      </x:c>
      <x:c r="M907" s="2" t="str">
        <x:v>1</x:v>
      </x:c>
      <x:c r="N907" s="2" t="str">
        <x:v>2</x:v>
      </x:c>
      <x:c r="O907" s="2" t="str">
        <x:v>0</x:v>
      </x:c>
      <x:c r="P907" s="2" t="str">
        <x:v>true</x:v>
      </x:c>
      <x:c r="Q907" s="2" t="str">
        <x:v>103.832980916</x:v>
      </x:c>
      <x:c r="R907" s="2" t="str">
        <x:v>13.78008299798239</x:v>
      </x:c>
      <x:c r="S907" s="2" t="str">
        <x:v>48.2816401966687</x:v>
      </x:c>
    </x:row>
    <x:row r="908">
      <x:c r="A908" s="2" t="str">
        <x:v>DE-CMP-01</x:v>
      </x:c>
      <x:c r="B908" s="2" t="str">
        <x:v>CFG-C01</x:v>
      </x:c>
      <x:c r="C908" s="2" t="n">
        <x:v>46227.70238086805</x:v>
      </x:c>
      <x:c r="D908" s="2" t="str">
        <x:v>os_cfar</x:v>
      </x:c>
      <x:c r="E908" s="2" t="str">
        <x:v>fft_edge</x:v>
      </x:c>
      <x:c r="F908" s="2" t="str">
        <x:v>454</x:v>
      </x:c>
      <x:c r="G908" s="2" t="str">
        <x:v>3144257</x:v>
      </x:c>
      <x:c r="H908" s="2" t="str">
        <x:v>2048000.0</x:v>
      </x:c>
      <x:c r="I908" s="2" t="str">
        <x:v>8192</x:v>
      </x:c>
      <x:c r="J908" s="2" t="str">
        <x:v>250.0</x:v>
      </x:c>
      <x:c r="K908" s="2" t="str">
        <x:v>1</x:v>
      </x:c>
      <x:c r="L908" s="2" t="str">
        <x:v>3</x:v>
      </x:c>
      <x:c r="M908" s="2" t="str">
        <x:v>1</x:v>
      </x:c>
      <x:c r="N908" s="2" t="str">
        <x:v>2</x:v>
      </x:c>
      <x:c r="O908" s="2" t="str">
        <x:v>0</x:v>
      </x:c>
      <x:c r="P908" s="2" t="str">
        <x:v>true</x:v>
      </x:c>
      <x:c r="Q908" s="2" t="str">
        <x:v>51.951737187</x:v>
      </x:c>
      <x:c r="R908" s="2" t="str">
        <x:v>13.655124988872558</x:v>
      </x:c>
      <x:c r="S908" s="2" t="str">
        <x:v>48.29480205692765</x:v>
      </x:c>
    </x:row>
    <x:row r="909">
      <x:c r="A909" s="2" t="str">
        <x:v>DE-CMP-01</x:v>
      </x:c>
      <x:c r="B909" s="2" t="str">
        <x:v>CFG-C01</x:v>
      </x:c>
      <x:c r="C909" s="2" t="n">
        <x:v>46227.70238086805</x:v>
      </x:c>
      <x:c r="D909" s="2" t="str">
        <x:v>adaptive</x:v>
      </x:c>
      <x:c r="E909" s="2" t="str">
        <x:v>fft_edge</x:v>
      </x:c>
      <x:c r="F909" s="2" t="str">
        <x:v>454</x:v>
      </x:c>
      <x:c r="G909" s="2" t="str">
        <x:v>3144257</x:v>
      </x:c>
      <x:c r="H909" s="2" t="str">
        <x:v>2048000.0</x:v>
      </x:c>
      <x:c r="I909" s="2" t="str">
        <x:v>8192</x:v>
      </x:c>
      <x:c r="J909" s="2" t="str">
        <x:v>250.0</x:v>
      </x:c>
      <x:c r="K909" s="2" t="str">
        <x:v>1</x:v>
      </x:c>
      <x:c r="L909" s="2" t="str">
        <x:v>3</x:v>
      </x:c>
      <x:c r="M909" s="2" t="str">
        <x:v>1</x:v>
      </x:c>
      <x:c r="N909" s="2" t="str">
        <x:v>2</x:v>
      </x:c>
      <x:c r="O909" s="2" t="str">
        <x:v>0</x:v>
      </x:c>
      <x:c r="P909" s="2" t="str">
        <x:v>true</x:v>
      </x:c>
      <x:c r="Q909" s="2" t="str">
        <x:v>51.951737187</x:v>
      </x:c>
      <x:c r="R909" s="2" t="str">
        <x:v>0.39250000554602593</x:v>
      </x:c>
      <x:c r="S909" s="2" t="str">
        <x:v>46.44228140162117</x:v>
      </x:c>
    </x:row>
    <x:row r="910">
      <x:c r="A910" s="2" t="str">
        <x:v>DE-CMP-01</x:v>
      </x:c>
      <x:c r="B910" s="2" t="str">
        <x:v>CFG-C01</x:v>
      </x:c>
      <x:c r="C910" s="2" t="n">
        <x:v>46227.70238086805</x:v>
      </x:c>
      <x:c r="D910" s="2" t="str">
        <x:v>adaptive</x:v>
      </x:c>
      <x:c r="E910" s="2" t="str">
        <x:v>fft_edge</x:v>
      </x:c>
      <x:c r="F910" s="2" t="str">
        <x:v>455</x:v>
      </x:c>
      <x:c r="G910" s="2" t="str">
        <x:v>3144258</x:v>
      </x:c>
      <x:c r="H910" s="2" t="str">
        <x:v>2048000.0</x:v>
      </x:c>
      <x:c r="I910" s="2" t="str">
        <x:v>8192</x:v>
      </x:c>
      <x:c r="J910" s="2" t="str">
        <x:v>250.0</x:v>
      </x:c>
      <x:c r="K910" s="2" t="str">
        <x:v>1</x:v>
      </x:c>
      <x:c r="L910" s="2" t="str">
        <x:v>3</x:v>
      </x:c>
      <x:c r="M910" s="2" t="str">
        <x:v>1</x:v>
      </x:c>
      <x:c r="N910" s="2" t="str">
        <x:v>2</x:v>
      </x:c>
      <x:c r="O910" s="2" t="str">
        <x:v>0</x:v>
      </x:c>
      <x:c r="P910" s="2" t="str">
        <x:v>true</x:v>
      </x:c>
      <x:c r="Q910" s="2" t="str">
        <x:v>2.110558062</x:v>
      </x:c>
      <x:c r="R910" s="2" t="str">
        <x:v>0.4167079896433279</x:v>
      </x:c>
      <x:c r="S910" s="2" t="str">
        <x:v>46.460444851779805</x:v>
      </x:c>
    </x:row>
    <x:row r="911">
      <x:c r="A911" s="2" t="str">
        <x:v>DE-CMP-01</x:v>
      </x:c>
      <x:c r="B911" s="2" t="str">
        <x:v>CFG-C01</x:v>
      </x:c>
      <x:c r="C911" s="2" t="n">
        <x:v>46227.70238086805</x:v>
      </x:c>
      <x:c r="D911" s="2" t="str">
        <x:v>os_cfar</x:v>
      </x:c>
      <x:c r="E911" s="2" t="str">
        <x:v>fft_edge</x:v>
      </x:c>
      <x:c r="F911" s="2" t="str">
        <x:v>455</x:v>
      </x:c>
      <x:c r="G911" s="2" t="str">
        <x:v>3144258</x:v>
      </x:c>
      <x:c r="H911" s="2" t="str">
        <x:v>2048000.0</x:v>
      </x:c>
      <x:c r="I911" s="2" t="str">
        <x:v>8192</x:v>
      </x:c>
      <x:c r="J911" s="2" t="str">
        <x:v>250.0</x:v>
      </x:c>
      <x:c r="K911" s="2" t="str">
        <x:v>1</x:v>
      </x:c>
      <x:c r="L911" s="2" t="str">
        <x:v>3</x:v>
      </x:c>
      <x:c r="M911" s="2" t="str">
        <x:v>1</x:v>
      </x:c>
      <x:c r="N911" s="2" t="str">
        <x:v>2</x:v>
      </x:c>
      <x:c r="O911" s="2" t="str">
        <x:v>0</x:v>
      </x:c>
      <x:c r="P911" s="2" t="str">
        <x:v>true</x:v>
      </x:c>
      <x:c r="Q911" s="2" t="str">
        <x:v>2.110558062</x:v>
      </x:c>
      <x:c r="R911" s="2" t="str">
        <x:v>13.764917006483302</x:v>
      </x:c>
      <x:c r="S911" s="2" t="str">
        <x:v>48.316879744148</x:v>
      </x:c>
    </x:row>
    <x:row r="912">
      <x:c r="A912" s="2" t="str">
        <x:v>DE-CMP-01</x:v>
      </x:c>
      <x:c r="B912" s="2" t="str">
        <x:v>CFG-C01</x:v>
      </x:c>
      <x:c r="C912" s="2" t="n">
        <x:v>46227.70238086805</x:v>
      </x:c>
      <x:c r="D912" s="2" t="str">
        <x:v>os_cfar</x:v>
      </x:c>
      <x:c r="E912" s="2" t="str">
        <x:v>fft_edge</x:v>
      </x:c>
      <x:c r="F912" s="2" t="str">
        <x:v>456</x:v>
      </x:c>
      <x:c r="G912" s="2" t="str">
        <x:v>3144259</x:v>
      </x:c>
      <x:c r="H912" s="2" t="str">
        <x:v>2048000.0</x:v>
      </x:c>
      <x:c r="I912" s="2" t="str">
        <x:v>8192</x:v>
      </x:c>
      <x:c r="J912" s="2" t="str">
        <x:v>250.0</x:v>
      </x:c>
      <x:c r="K912" s="2" t="str">
        <x:v>1</x:v>
      </x:c>
      <x:c r="L912" s="2" t="str">
        <x:v>3</x:v>
      </x:c>
      <x:c r="M912" s="2" t="str">
        <x:v>1</x:v>
      </x:c>
      <x:c r="N912" s="2" t="str">
        <x:v>2</x:v>
      </x:c>
      <x:c r="O912" s="2" t="str">
        <x:v>0</x:v>
      </x:c>
      <x:c r="P912" s="2" t="str">
        <x:v>true</x:v>
      </x:c>
      <x:c r="Q912" s="2" t="str">
        <x:v>-41.313587351</x:v>
      </x:c>
      <x:c r="R912" s="2" t="str">
        <x:v>14.005040997290052</x:v>
      </x:c>
      <x:c r="S912" s="2" t="str">
        <x:v>48.32999232078011</x:v>
      </x:c>
    </x:row>
    <x:row r="913">
      <x:c r="A913" s="2" t="str">
        <x:v>DE-CMP-01</x:v>
      </x:c>
      <x:c r="B913" s="2" t="str">
        <x:v>CFG-C01</x:v>
      </x:c>
      <x:c r="C913" s="2" t="n">
        <x:v>46227.70238086805</x:v>
      </x:c>
      <x:c r="D913" s="2" t="str">
        <x:v>adaptive</x:v>
      </x:c>
      <x:c r="E913" s="2" t="str">
        <x:v>fft_edge</x:v>
      </x:c>
      <x:c r="F913" s="2" t="str">
        <x:v>456</x:v>
      </x:c>
      <x:c r="G913" s="2" t="str">
        <x:v>3144259</x:v>
      </x:c>
      <x:c r="H913" s="2" t="str">
        <x:v>2048000.0</x:v>
      </x:c>
      <x:c r="I913" s="2" t="str">
        <x:v>8192</x:v>
      </x:c>
      <x:c r="J913" s="2" t="str">
        <x:v>250.0</x:v>
      </x:c>
      <x:c r="K913" s="2" t="str">
        <x:v>1</x:v>
      </x:c>
      <x:c r="L913" s="2" t="str">
        <x:v>3</x:v>
      </x:c>
      <x:c r="M913" s="2" t="str">
        <x:v>1</x:v>
      </x:c>
      <x:c r="N913" s="2" t="str">
        <x:v>2</x:v>
      </x:c>
      <x:c r="O913" s="2" t="str">
        <x:v>0</x:v>
      </x:c>
      <x:c r="P913" s="2" t="str">
        <x:v>true</x:v>
      </x:c>
      <x:c r="Q913" s="2" t="str">
        <x:v>-41.313587351</x:v>
      </x:c>
      <x:c r="R913" s="2" t="str">
        <x:v>0.37525000516325235</x:v>
      </x:c>
      <x:c r="S913" s="2" t="str">
        <x:v>46.39698385845628</x:v>
      </x:c>
    </x:row>
    <x:row r="914">
      <x:c r="A914" s="2" t="str">
        <x:v>DE-CMP-01</x:v>
      </x:c>
      <x:c r="B914" s="2" t="str">
        <x:v>CFG-C01</x:v>
      </x:c>
      <x:c r="C914" s="2" t="n">
        <x:v>46227.70238086805</x:v>
      </x:c>
      <x:c r="D914" s="2" t="str">
        <x:v>adaptive</x:v>
      </x:c>
      <x:c r="E914" s="2" t="str">
        <x:v>fft_edge</x:v>
      </x:c>
      <x:c r="F914" s="2" t="str">
        <x:v>457</x:v>
      </x:c>
      <x:c r="G914" s="2" t="str">
        <x:v>3144260</x:v>
      </x:c>
      <x:c r="H914" s="2" t="str">
        <x:v>2048000.0</x:v>
      </x:c>
      <x:c r="I914" s="2" t="str">
        <x:v>8192</x:v>
      </x:c>
      <x:c r="J914" s="2" t="str">
        <x:v>250.0</x:v>
      </x:c>
      <x:c r="K914" s="2" t="str">
        <x:v>1</x:v>
      </x:c>
      <x:c r="L914" s="2" t="str">
        <x:v>3</x:v>
      </x:c>
      <x:c r="M914" s="2" t="str">
        <x:v>1</x:v>
      </x:c>
      <x:c r="N914" s="2" t="str">
        <x:v>2</x:v>
      </x:c>
      <x:c r="O914" s="2" t="str">
        <x:v>0</x:v>
      </x:c>
      <x:c r="P914" s="2" t="str">
        <x:v>true</x:v>
      </x:c>
      <x:c r="Q914" s="2" t="str">
        <x:v>-33.510210316</x:v>
      </x:c>
      <x:c r="R914" s="2" t="str">
        <x:v>0.38737499562557787</x:v>
      </x:c>
      <x:c r="S914" s="2" t="str">
        <x:v>46.301723044071565</x:v>
      </x:c>
    </x:row>
    <x:row r="915">
      <x:c r="A915" s="2" t="str">
        <x:v>DE-CMP-01</x:v>
      </x:c>
      <x:c r="B915" s="2" t="str">
        <x:v>CFG-C01</x:v>
      </x:c>
      <x:c r="C915" s="2" t="n">
        <x:v>46227.70238086805</x:v>
      </x:c>
      <x:c r="D915" s="2" t="str">
        <x:v>os_cfar</x:v>
      </x:c>
      <x:c r="E915" s="2" t="str">
        <x:v>fft_edge</x:v>
      </x:c>
      <x:c r="F915" s="2" t="str">
        <x:v>457</x:v>
      </x:c>
      <x:c r="G915" s="2" t="str">
        <x:v>3144260</x:v>
      </x:c>
      <x:c r="H915" s="2" t="str">
        <x:v>2048000.0</x:v>
      </x:c>
      <x:c r="I915" s="2" t="str">
        <x:v>8192</x:v>
      </x:c>
      <x:c r="J915" s="2" t="str">
        <x:v>250.0</x:v>
      </x:c>
      <x:c r="K915" s="2" t="str">
        <x:v>1</x:v>
      </x:c>
      <x:c r="L915" s="2" t="str">
        <x:v>3</x:v>
      </x:c>
      <x:c r="M915" s="2" t="str">
        <x:v>1</x:v>
      </x:c>
      <x:c r="N915" s="2" t="str">
        <x:v>2</x:v>
      </x:c>
      <x:c r="O915" s="2" t="str">
        <x:v>0</x:v>
      </x:c>
      <x:c r="P915" s="2" t="str">
        <x:v>true</x:v>
      </x:c>
      <x:c r="Q915" s="2" t="str">
        <x:v>-33.510210316</x:v>
      </x:c>
      <x:c r="R915" s="2" t="str">
        <x:v>13.944124992121942</x:v>
      </x:c>
      <x:c r="S915" s="2" t="str">
        <x:v>48.147199672860665</x:v>
      </x:c>
    </x:row>
    <x:row r="916">
      <x:c r="A916" s="2" t="str">
        <x:v>DE-CMP-01</x:v>
      </x:c>
      <x:c r="B916" s="2" t="str">
        <x:v>CFG-C01</x:v>
      </x:c>
      <x:c r="C916" s="2" t="n">
        <x:v>46227.70238086805</x:v>
      </x:c>
      <x:c r="D916" s="2" t="str">
        <x:v>os_cfar</x:v>
      </x:c>
      <x:c r="E916" s="2" t="str">
        <x:v>fft_edge</x:v>
      </x:c>
      <x:c r="F916" s="2" t="str">
        <x:v>458</x:v>
      </x:c>
      <x:c r="G916" s="2" t="str">
        <x:v>3144261</x:v>
      </x:c>
      <x:c r="H916" s="2" t="str">
        <x:v>2048000.0</x:v>
      </x:c>
      <x:c r="I916" s="2" t="str">
        <x:v>8192</x:v>
      </x:c>
      <x:c r="J916" s="2" t="str">
        <x:v>250.0</x:v>
      </x:c>
      <x:c r="K916" s="2" t="str">
        <x:v>1</x:v>
      </x:c>
      <x:c r="L916" s="2" t="str">
        <x:v>3</x:v>
      </x:c>
      <x:c r="M916" s="2" t="str">
        <x:v>1</x:v>
      </x:c>
      <x:c r="N916" s="2" t="str">
        <x:v>2</x:v>
      </x:c>
      <x:c r="O916" s="2" t="str">
        <x:v>0</x:v>
      </x:c>
      <x:c r="P916" s="2" t="str">
        <x:v>true</x:v>
      </x:c>
      <x:c r="Q916" s="2" t="str">
        <x:v>13.917017773</x:v>
      </x:c>
      <x:c r="R916" s="2" t="str">
        <x:v>13.750333993812092</x:v>
      </x:c>
      <x:c r="S916" s="2" t="str">
        <x:v>48.25379092843204</x:v>
      </x:c>
    </x:row>
    <x:row r="917">
      <x:c r="A917" s="2" t="str">
        <x:v>DE-CMP-01</x:v>
      </x:c>
      <x:c r="B917" s="2" t="str">
        <x:v>CFG-C01</x:v>
      </x:c>
      <x:c r="C917" s="2" t="n">
        <x:v>46227.70238086805</x:v>
      </x:c>
      <x:c r="D917" s="2" t="str">
        <x:v>adaptive</x:v>
      </x:c>
      <x:c r="E917" s="2" t="str">
        <x:v>fft_edge</x:v>
      </x:c>
      <x:c r="F917" s="2" t="str">
        <x:v>458</x:v>
      </x:c>
      <x:c r="G917" s="2" t="str">
        <x:v>3144261</x:v>
      </x:c>
      <x:c r="H917" s="2" t="str">
        <x:v>2048000.0</x:v>
      </x:c>
      <x:c r="I917" s="2" t="str">
        <x:v>8192</x:v>
      </x:c>
      <x:c r="J917" s="2" t="str">
        <x:v>250.0</x:v>
      </x:c>
      <x:c r="K917" s="2" t="str">
        <x:v>1</x:v>
      </x:c>
      <x:c r="L917" s="2" t="str">
        <x:v>3</x:v>
      </x:c>
      <x:c r="M917" s="2" t="str">
        <x:v>1</x:v>
      </x:c>
      <x:c r="N917" s="2" t="str">
        <x:v>2</x:v>
      </x:c>
      <x:c r="O917" s="2" t="str">
        <x:v>0</x:v>
      </x:c>
      <x:c r="P917" s="2" t="str">
        <x:v>true</x:v>
      </x:c>
      <x:c r="Q917" s="2" t="str">
        <x:v>13.917017773</x:v>
      </x:c>
      <x:c r="R917" s="2" t="str">
        <x:v>0.41575000796001405</x:v>
      </x:c>
      <x:c r="S917" s="2" t="str">
        <x:v>46.45831329821543</x:v>
      </x:c>
    </x:row>
    <x:row r="918">
      <x:c r="A918" s="2" t="str">
        <x:v>DE-CMP-01</x:v>
      </x:c>
      <x:c r="B918" s="2" t="str">
        <x:v>CFG-C01</x:v>
      </x:c>
      <x:c r="C918" s="2" t="n">
        <x:v>46227.70238086805</x:v>
      </x:c>
      <x:c r="D918" s="2" t="str">
        <x:v>adaptive</x:v>
      </x:c>
      <x:c r="E918" s="2" t="str">
        <x:v>fft_edge</x:v>
      </x:c>
      <x:c r="F918" s="2" t="str">
        <x:v>459</x:v>
      </x:c>
      <x:c r="G918" s="2" t="str">
        <x:v>3144262</x:v>
      </x:c>
      <x:c r="H918" s="2" t="str">
        <x:v>2048000.0</x:v>
      </x:c>
      <x:c r="I918" s="2" t="str">
        <x:v>8192</x:v>
      </x:c>
      <x:c r="J918" s="2" t="str">
        <x:v>250.0</x:v>
      </x:c>
      <x:c r="K918" s="2" t="str">
        <x:v>1</x:v>
      </x:c>
      <x:c r="L918" s="2" t="str">
        <x:v>3</x:v>
      </x:c>
      <x:c r="M918" s="2" t="str">
        <x:v>1</x:v>
      </x:c>
      <x:c r="N918" s="2" t="str">
        <x:v>2</x:v>
      </x:c>
      <x:c r="O918" s="2" t="str">
        <x:v>0</x:v>
      </x:c>
      <x:c r="P918" s="2" t="str">
        <x:v>true</x:v>
      </x:c>
      <x:c r="Q918" s="2" t="str">
        <x:v>87.512907703</x:v>
      </x:c>
      <x:c r="R918" s="2" t="str">
        <x:v>0.4099999932805076</x:v>
      </x:c>
      <x:c r="S918" s="2" t="str">
        <x:v>46.58362905896985</x:v>
      </x:c>
    </x:row>
    <x:row r="919">
      <x:c r="A919" s="2" t="str">
        <x:v>DE-CMP-01</x:v>
      </x:c>
      <x:c r="B919" s="2" t="str">
        <x:v>CFG-C01</x:v>
      </x:c>
      <x:c r="C919" s="2" t="n">
        <x:v>46227.70238086805</x:v>
      </x:c>
      <x:c r="D919" s="2" t="str">
        <x:v>os_cfar</x:v>
      </x:c>
      <x:c r="E919" s="2" t="str">
        <x:v>fft_edge</x:v>
      </x:c>
      <x:c r="F919" s="2" t="str">
        <x:v>459</x:v>
      </x:c>
      <x:c r="G919" s="2" t="str">
        <x:v>3144262</x:v>
      </x:c>
      <x:c r="H919" s="2" t="str">
        <x:v>2048000.0</x:v>
      </x:c>
      <x:c r="I919" s="2" t="str">
        <x:v>8192</x:v>
      </x:c>
      <x:c r="J919" s="2" t="str">
        <x:v>250.0</x:v>
      </x:c>
      <x:c r="K919" s="2" t="str">
        <x:v>1</x:v>
      </x:c>
      <x:c r="L919" s="2" t="str">
        <x:v>3</x:v>
      </x:c>
      <x:c r="M919" s="2" t="str">
        <x:v>1</x:v>
      </x:c>
      <x:c r="N919" s="2" t="str">
        <x:v>2</x:v>
      </x:c>
      <x:c r="O919" s="2" t="str">
        <x:v>0</x:v>
      </x:c>
      <x:c r="P919" s="2" t="str">
        <x:v>true</x:v>
      </x:c>
      <x:c r="Q919" s="2" t="str">
        <x:v>87.512907703</x:v>
      </x:c>
      <x:c r="R919" s="2" t="str">
        <x:v>13.827415998093784</x:v>
      </x:c>
      <x:c r="S919" s="2" t="str">
        <x:v>48.22806520431742</x:v>
      </x:c>
    </x:row>
    <x:row r="920">
      <x:c r="A920" s="2" t="str">
        <x:v>DE-CMP-01</x:v>
      </x:c>
      <x:c r="B920" s="2" t="str">
        <x:v>CFG-C01</x:v>
      </x:c>
      <x:c r="C920" s="2" t="n">
        <x:v>46227.70238086805</x:v>
      </x:c>
      <x:c r="D920" s="2" t="str">
        <x:v>os_cfar</x:v>
      </x:c>
      <x:c r="E920" s="2" t="str">
        <x:v>fft_edge</x:v>
      </x:c>
      <x:c r="F920" s="2" t="str">
        <x:v>460</x:v>
      </x:c>
      <x:c r="G920" s="2" t="str">
        <x:v>3144263</x:v>
      </x:c>
      <x:c r="H920" s="2" t="str">
        <x:v>2048000.0</x:v>
      </x:c>
      <x:c r="I920" s="2" t="str">
        <x:v>8192</x:v>
      </x:c>
      <x:c r="J920" s="2" t="str">
        <x:v>250.0</x:v>
      </x:c>
      <x:c r="K920" s="2" t="str">
        <x:v>1</x:v>
      </x:c>
      <x:c r="L920" s="2" t="str">
        <x:v>3</x:v>
      </x:c>
      <x:c r="M920" s="2" t="str">
        <x:v>1</x:v>
      </x:c>
      <x:c r="N920" s="2" t="str">
        <x:v>2</x:v>
      </x:c>
      <x:c r="O920" s="2" t="str">
        <x:v>0</x:v>
      </x:c>
      <x:c r="P920" s="2" t="str">
        <x:v>true</x:v>
      </x:c>
      <x:c r="Q920" s="2" t="str">
        <x:v>112.762539775</x:v>
      </x:c>
      <x:c r="R920" s="2" t="str">
        <x:v>13.811082986649126</x:v>
      </x:c>
      <x:c r="S920" s="2" t="str">
        <x:v>48.14973467923765</x:v>
      </x:c>
    </x:row>
    <x:row r="921">
      <x:c r="A921" s="2" t="str">
        <x:v>DE-CMP-01</x:v>
      </x:c>
      <x:c r="B921" s="2" t="str">
        <x:v>CFG-C01</x:v>
      </x:c>
      <x:c r="C921" s="2" t="n">
        <x:v>46227.70238086805</x:v>
      </x:c>
      <x:c r="D921" s="2" t="str">
        <x:v>adaptive</x:v>
      </x:c>
      <x:c r="E921" s="2" t="str">
        <x:v>fft_edge</x:v>
      </x:c>
      <x:c r="F921" s="2" t="str">
        <x:v>460</x:v>
      </x:c>
      <x:c r="G921" s="2" t="str">
        <x:v>3144263</x:v>
      </x:c>
      <x:c r="H921" s="2" t="str">
        <x:v>2048000.0</x:v>
      </x:c>
      <x:c r="I921" s="2" t="str">
        <x:v>8192</x:v>
      </x:c>
      <x:c r="J921" s="2" t="str">
        <x:v>250.0</x:v>
      </x:c>
      <x:c r="K921" s="2" t="str">
        <x:v>1</x:v>
      </x:c>
      <x:c r="L921" s="2" t="str">
        <x:v>3</x:v>
      </x:c>
      <x:c r="M921" s="2" t="str">
        <x:v>1</x:v>
      </x:c>
      <x:c r="N921" s="2" t="str">
        <x:v>2</x:v>
      </x:c>
      <x:c r="O921" s="2" t="str">
        <x:v>0</x:v>
      </x:c>
      <x:c r="P921" s="2" t="str">
        <x:v>true</x:v>
      </x:c>
      <x:c r="Q921" s="2" t="str">
        <x:v>112.762539775</x:v>
      </x:c>
      <x:c r="R921" s="2" t="str">
        <x:v>0.4129999870201573</x:v>
      </x:c>
      <x:c r="S921" s="2" t="str">
        <x:v>46.598222104683394</x:v>
      </x:c>
    </x:row>
    <x:row r="922">
      <x:c r="A922" s="2" t="str">
        <x:v>DE-CMP-01</x:v>
      </x:c>
      <x:c r="B922" s="2" t="str">
        <x:v>CFG-C01</x:v>
      </x:c>
      <x:c r="C922" s="2" t="n">
        <x:v>46227.70238086805</x:v>
      </x:c>
      <x:c r="D922" s="2" t="str">
        <x:v>adaptive</x:v>
      </x:c>
      <x:c r="E922" s="2" t="str">
        <x:v>fft_edge</x:v>
      </x:c>
      <x:c r="F922" s="2" t="str">
        <x:v>461</x:v>
      </x:c>
      <x:c r="G922" s="2" t="str">
        <x:v>3144264</x:v>
      </x:c>
      <x:c r="H922" s="2" t="str">
        <x:v>2048000.0</x:v>
      </x:c>
      <x:c r="I922" s="2" t="str">
        <x:v>8192</x:v>
      </x:c>
      <x:c r="J922" s="2" t="str">
        <x:v>250.0</x:v>
      </x:c>
      <x:c r="K922" s="2" t="str">
        <x:v>1</x:v>
      </x:c>
      <x:c r="L922" s="2" t="str">
        <x:v>3</x:v>
      </x:c>
      <x:c r="M922" s="2" t="str">
        <x:v>1</x:v>
      </x:c>
      <x:c r="N922" s="2" t="str">
        <x:v>2</x:v>
      </x:c>
      <x:c r="O922" s="2" t="str">
        <x:v>0</x:v>
      </x:c>
      <x:c r="P922" s="2" t="str">
        <x:v>true</x:v>
      </x:c>
      <x:c r="Q922" s="2" t="str">
        <x:v>-71.279853457</x:v>
      </x:c>
      <x:c r="R922" s="2" t="str">
        <x:v>0.4028330004075542</x:v>
      </x:c>
      <x:c r="S922" s="2" t="str">
        <x:v>46.33635708434617</x:v>
      </x:c>
    </x:row>
    <x:row r="923">
      <x:c r="A923" s="2" t="str">
        <x:v>DE-CMP-01</x:v>
      </x:c>
      <x:c r="B923" s="2" t="str">
        <x:v>CFG-C01</x:v>
      </x:c>
      <x:c r="C923" s="2" t="n">
        <x:v>46227.70238086805</x:v>
      </x:c>
      <x:c r="D923" s="2" t="str">
        <x:v>os_cfar</x:v>
      </x:c>
      <x:c r="E923" s="2" t="str">
        <x:v>fft_edge</x:v>
      </x:c>
      <x:c r="F923" s="2" t="str">
        <x:v>461</x:v>
      </x:c>
      <x:c r="G923" s="2" t="str">
        <x:v>3144264</x:v>
      </x:c>
      <x:c r="H923" s="2" t="str">
        <x:v>2048000.0</x:v>
      </x:c>
      <x:c r="I923" s="2" t="str">
        <x:v>8192</x:v>
      </x:c>
      <x:c r="J923" s="2" t="str">
        <x:v>250.0</x:v>
      </x:c>
      <x:c r="K923" s="2" t="str">
        <x:v>1</x:v>
      </x:c>
      <x:c r="L923" s="2" t="str">
        <x:v>3</x:v>
      </x:c>
      <x:c r="M923" s="2" t="str">
        <x:v>1</x:v>
      </x:c>
      <x:c r="N923" s="2" t="str">
        <x:v>2</x:v>
      </x:c>
      <x:c r="O923" s="2" t="str">
        <x:v>0</x:v>
      </x:c>
      <x:c r="P923" s="2" t="str">
        <x:v>true</x:v>
      </x:c>
      <x:c r="Q923" s="2" t="str">
        <x:v>-71.279853457</x:v>
      </x:c>
      <x:c r="R923" s="2" t="str">
        <x:v>13.776957988739014</x:v>
      </x:c>
      <x:c r="S923" s="2" t="str">
        <x:v>48.32557302691882</x:v>
      </x:c>
    </x:row>
    <x:row r="924">
      <x:c r="A924" s="2" t="str">
        <x:v>DE-CMP-01</x:v>
      </x:c>
      <x:c r="B924" s="2" t="str">
        <x:v>CFG-C01</x:v>
      </x:c>
      <x:c r="C924" s="2" t="n">
        <x:v>46227.70238086805</x:v>
      </x:c>
      <x:c r="D924" s="2" t="str">
        <x:v>os_cfar</x:v>
      </x:c>
      <x:c r="E924" s="2" t="str">
        <x:v>fft_edge</x:v>
      </x:c>
      <x:c r="F924" s="2" t="str">
        <x:v>462</x:v>
      </x:c>
      <x:c r="G924" s="2" t="str">
        <x:v>3144265</x:v>
      </x:c>
      <x:c r="H924" s="2" t="str">
        <x:v>2048000.0</x:v>
      </x:c>
      <x:c r="I924" s="2" t="str">
        <x:v>8192</x:v>
      </x:c>
      <x:c r="J924" s="2" t="str">
        <x:v>250.0</x:v>
      </x:c>
      <x:c r="K924" s="2" t="str">
        <x:v>1</x:v>
      </x:c>
      <x:c r="L924" s="2" t="str">
        <x:v>3</x:v>
      </x:c>
      <x:c r="M924" s="2" t="str">
        <x:v>1</x:v>
      </x:c>
      <x:c r="N924" s="2" t="str">
        <x:v>2</x:v>
      </x:c>
      <x:c r="O924" s="2" t="str">
        <x:v>0</x:v>
      </x:c>
      <x:c r="P924" s="2" t="str">
        <x:v>true</x:v>
      </x:c>
      <x:c r="Q924" s="2" t="str">
        <x:v>-104.016806858</x:v>
      </x:c>
      <x:c r="R924" s="2" t="str">
        <x:v>13.642624995554797</x:v>
      </x:c>
      <x:c r="S924" s="2" t="str">
        <x:v>48.21339658285433</x:v>
      </x:c>
    </x:row>
    <x:row r="925">
      <x:c r="A925" s="2" t="str">
        <x:v>DE-CMP-01</x:v>
      </x:c>
      <x:c r="B925" s="2" t="str">
        <x:v>CFG-C01</x:v>
      </x:c>
      <x:c r="C925" s="2" t="n">
        <x:v>46227.70238086805</x:v>
      </x:c>
      <x:c r="D925" s="2" t="str">
        <x:v>adaptive</x:v>
      </x:c>
      <x:c r="E925" s="2" t="str">
        <x:v>fft_edge</x:v>
      </x:c>
      <x:c r="F925" s="2" t="str">
        <x:v>462</x:v>
      </x:c>
      <x:c r="G925" s="2" t="str">
        <x:v>3144265</x:v>
      </x:c>
      <x:c r="H925" s="2" t="str">
        <x:v>2048000.0</x:v>
      </x:c>
      <x:c r="I925" s="2" t="str">
        <x:v>8192</x:v>
      </x:c>
      <x:c r="J925" s="2" t="str">
        <x:v>250.0</x:v>
      </x:c>
      <x:c r="K925" s="2" t="str">
        <x:v>1</x:v>
      </x:c>
      <x:c r="L925" s="2" t="str">
        <x:v>3</x:v>
      </x:c>
      <x:c r="M925" s="2" t="str">
        <x:v>1</x:v>
      </x:c>
      <x:c r="N925" s="2" t="str">
        <x:v>2</x:v>
      </x:c>
      <x:c r="O925" s="2" t="str">
        <x:v>0</x:v>
      </x:c>
      <x:c r="P925" s="2" t="str">
        <x:v>true</x:v>
      </x:c>
      <x:c r="Q925" s="2" t="str">
        <x:v>-104.016806858</x:v>
      </x:c>
      <x:c r="R925" s="2" t="str">
        <x:v>0.4273749946150929</x:v>
      </x:c>
      <x:c r="S925" s="2" t="str">
        <x:v>46.35820010222774</x:v>
      </x:c>
    </x:row>
    <x:row r="926">
      <x:c r="A926" s="2" t="str">
        <x:v>DE-CMP-01</x:v>
      </x:c>
      <x:c r="B926" s="2" t="str">
        <x:v>CFG-C01</x:v>
      </x:c>
      <x:c r="C926" s="2" t="n">
        <x:v>46227.70238086805</x:v>
      </x:c>
      <x:c r="D926" s="2" t="str">
        <x:v>adaptive</x:v>
      </x:c>
      <x:c r="E926" s="2" t="str">
        <x:v>fft_edge</x:v>
      </x:c>
      <x:c r="F926" s="2" t="str">
        <x:v>463</x:v>
      </x:c>
      <x:c r="G926" s="2" t="str">
        <x:v>3144266</x:v>
      </x:c>
      <x:c r="H926" s="2" t="str">
        <x:v>2048000.0</x:v>
      </x:c>
      <x:c r="I926" s="2" t="str">
        <x:v>8192</x:v>
      </x:c>
      <x:c r="J926" s="2" t="str">
        <x:v>250.0</x:v>
      </x:c>
      <x:c r="K926" s="2" t="str">
        <x:v>1</x:v>
      </x:c>
      <x:c r="L926" s="2" t="str">
        <x:v>3</x:v>
      </x:c>
      <x:c r="M926" s="2" t="str">
        <x:v>1</x:v>
      </x:c>
      <x:c r="N926" s="2" t="str">
        <x:v>2</x:v>
      </x:c>
      <x:c r="O926" s="2" t="str">
        <x:v>0</x:v>
      </x:c>
      <x:c r="P926" s="2" t="str">
        <x:v>true</x:v>
      </x:c>
      <x:c r="Q926" s="2" t="str">
        <x:v>49.790630930</x:v>
      </x:c>
      <x:c r="R926" s="2" t="str">
        <x:v>0.41616600356064737</x:v>
      </x:c>
      <x:c r="S926" s="2" t="str">
        <x:v>46.14744618290443</x:v>
      </x:c>
    </x:row>
    <x:row r="927">
      <x:c r="A927" s="2" t="str">
        <x:v>DE-CMP-01</x:v>
      </x:c>
      <x:c r="B927" s="2" t="str">
        <x:v>CFG-C01</x:v>
      </x:c>
      <x:c r="C927" s="2" t="n">
        <x:v>46227.70238086805</x:v>
      </x:c>
      <x:c r="D927" s="2" t="str">
        <x:v>os_cfar</x:v>
      </x:c>
      <x:c r="E927" s="2" t="str">
        <x:v>fft_edge</x:v>
      </x:c>
      <x:c r="F927" s="2" t="str">
        <x:v>463</x:v>
      </x:c>
      <x:c r="G927" s="2" t="str">
        <x:v>3144266</x:v>
      </x:c>
      <x:c r="H927" s="2" t="str">
        <x:v>2048000.0</x:v>
      </x:c>
      <x:c r="I927" s="2" t="str">
        <x:v>8192</x:v>
      </x:c>
      <x:c r="J927" s="2" t="str">
        <x:v>250.0</x:v>
      </x:c>
      <x:c r="K927" s="2" t="str">
        <x:v>1</x:v>
      </x:c>
      <x:c r="L927" s="2" t="str">
        <x:v>3</x:v>
      </x:c>
      <x:c r="M927" s="2" t="str">
        <x:v>1</x:v>
      </x:c>
      <x:c r="N927" s="2" t="str">
        <x:v>2</x:v>
      </x:c>
      <x:c r="O927" s="2" t="str">
        <x:v>0</x:v>
      </x:c>
      <x:c r="P927" s="2" t="str">
        <x:v>true</x:v>
      </x:c>
      <x:c r="Q927" s="2" t="str">
        <x:v>49.790630930</x:v>
      </x:c>
      <x:c r="R927" s="2" t="str">
        <x:v>13.72645799710881</x:v>
      </x:c>
      <x:c r="S927" s="2" t="str">
        <x:v>48.083722742425856</x:v>
      </x:c>
    </x:row>
    <x:row r="928">
      <x:c r="A928" s="2" t="str">
        <x:v>DE-CMP-01</x:v>
      </x:c>
      <x:c r="B928" s="2" t="str">
        <x:v>CFG-C01</x:v>
      </x:c>
      <x:c r="C928" s="2" t="n">
        <x:v>46227.70238086805</x:v>
      </x:c>
      <x:c r="D928" s="2" t="str">
        <x:v>os_cfar</x:v>
      </x:c>
      <x:c r="E928" s="2" t="str">
        <x:v>fft_edge</x:v>
      </x:c>
      <x:c r="F928" s="2" t="str">
        <x:v>464</x:v>
      </x:c>
      <x:c r="G928" s="2" t="str">
        <x:v>3144267</x:v>
      </x:c>
      <x:c r="H928" s="2" t="str">
        <x:v>2048000.0</x:v>
      </x:c>
      <x:c r="I928" s="2" t="str">
        <x:v>8192</x:v>
      </x:c>
      <x:c r="J928" s="2" t="str">
        <x:v>250.0</x:v>
      </x:c>
      <x:c r="K928" s="2" t="str">
        <x:v>1</x:v>
      </x:c>
      <x:c r="L928" s="2" t="str">
        <x:v>3</x:v>
      </x:c>
      <x:c r="M928" s="2" t="str">
        <x:v>1</x:v>
      </x:c>
      <x:c r="N928" s="2" t="str">
        <x:v>2</x:v>
      </x:c>
      <x:c r="O928" s="2" t="str">
        <x:v>0</x:v>
      </x:c>
      <x:c r="P928" s="2" t="str">
        <x:v>true</x:v>
      </x:c>
      <x:c r="Q928" s="2" t="str">
        <x:v>-102.471461544</x:v>
      </x:c>
      <x:c r="R928" s="2" t="str">
        <x:v>13.59804198727943</x:v>
      </x:c>
      <x:c r="S928" s="2" t="str">
        <x:v>48.25657761995049</x:v>
      </x:c>
    </x:row>
    <x:row r="929">
      <x:c r="A929" s="2" t="str">
        <x:v>DE-CMP-01</x:v>
      </x:c>
      <x:c r="B929" s="2" t="str">
        <x:v>CFG-C01</x:v>
      </x:c>
      <x:c r="C929" s="2" t="n">
        <x:v>46227.70238086805</x:v>
      </x:c>
      <x:c r="D929" s="2" t="str">
        <x:v>adaptive</x:v>
      </x:c>
      <x:c r="E929" s="2" t="str">
        <x:v>fft_edge</x:v>
      </x:c>
      <x:c r="F929" s="2" t="str">
        <x:v>464</x:v>
      </x:c>
      <x:c r="G929" s="2" t="str">
        <x:v>3144267</x:v>
      </x:c>
      <x:c r="H929" s="2" t="str">
        <x:v>2048000.0</x:v>
      </x:c>
      <x:c r="I929" s="2" t="str">
        <x:v>8192</x:v>
      </x:c>
      <x:c r="J929" s="2" t="str">
        <x:v>250.0</x:v>
      </x:c>
      <x:c r="K929" s="2" t="str">
        <x:v>1</x:v>
      </x:c>
      <x:c r="L929" s="2" t="str">
        <x:v>3</x:v>
      </x:c>
      <x:c r="M929" s="2" t="str">
        <x:v>1</x:v>
      </x:c>
      <x:c r="N929" s="2" t="str">
        <x:v>2</x:v>
      </x:c>
      <x:c r="O929" s="2" t="str">
        <x:v>0</x:v>
      </x:c>
      <x:c r="P929" s="2" t="str">
        <x:v>true</x:v>
      </x:c>
      <x:c r="Q929" s="2" t="str">
        <x:v>-102.471461544</x:v>
      </x:c>
      <x:c r="R929" s="2" t="str">
        <x:v>0.4232920036884025</x:v>
      </x:c>
      <x:c r="S929" s="2" t="str">
        <x:v>46.44396578117416</x:v>
      </x:c>
    </x:row>
    <x:row r="930">
      <x:c r="A930" s="2" t="str">
        <x:v>DE-CMP-01</x:v>
      </x:c>
      <x:c r="B930" s="2" t="str">
        <x:v>CFG-C01</x:v>
      </x:c>
      <x:c r="C930" s="2" t="n">
        <x:v>46227.70238086805</x:v>
      </x:c>
      <x:c r="D930" s="2" t="str">
        <x:v>adaptive</x:v>
      </x:c>
      <x:c r="E930" s="2" t="str">
        <x:v>fft_edge</x:v>
      </x:c>
      <x:c r="F930" s="2" t="str">
        <x:v>465</x:v>
      </x:c>
      <x:c r="G930" s="2" t="str">
        <x:v>3144268</x:v>
      </x:c>
      <x:c r="H930" s="2" t="str">
        <x:v>2048000.0</x:v>
      </x:c>
      <x:c r="I930" s="2" t="str">
        <x:v>8192</x:v>
      </x:c>
      <x:c r="J930" s="2" t="str">
        <x:v>250.0</x:v>
      </x:c>
      <x:c r="K930" s="2" t="str">
        <x:v>1</x:v>
      </x:c>
      <x:c r="L930" s="2" t="str">
        <x:v>3</x:v>
      </x:c>
      <x:c r="M930" s="2" t="str">
        <x:v>1</x:v>
      </x:c>
      <x:c r="N930" s="2" t="str">
        <x:v>2</x:v>
      </x:c>
      <x:c r="O930" s="2" t="str">
        <x:v>0</x:v>
      </x:c>
      <x:c r="P930" s="2" t="str">
        <x:v>true</x:v>
      </x:c>
      <x:c r="Q930" s="2" t="str">
        <x:v>26.761729148</x:v>
      </x:c>
      <x:c r="R930" s="2" t="str">
        <x:v>0.4157909861532971</x:v>
      </x:c>
      <x:c r="S930" s="2" t="str">
        <x:v>46.410885520668124</x:v>
      </x:c>
    </x:row>
    <x:row r="931">
      <x:c r="A931" s="2" t="str">
        <x:v>DE-CMP-01</x:v>
      </x:c>
      <x:c r="B931" s="2" t="str">
        <x:v>CFG-C01</x:v>
      </x:c>
      <x:c r="C931" s="2" t="n">
        <x:v>46227.70238086805</x:v>
      </x:c>
      <x:c r="D931" s="2" t="str">
        <x:v>os_cfar</x:v>
      </x:c>
      <x:c r="E931" s="2" t="str">
        <x:v>fft_edge</x:v>
      </x:c>
      <x:c r="F931" s="2" t="str">
        <x:v>465</x:v>
      </x:c>
      <x:c r="G931" s="2" t="str">
        <x:v>3144268</x:v>
      </x:c>
      <x:c r="H931" s="2" t="str">
        <x:v>2048000.0</x:v>
      </x:c>
      <x:c r="I931" s="2" t="str">
        <x:v>8192</x:v>
      </x:c>
      <x:c r="J931" s="2" t="str">
        <x:v>250.0</x:v>
      </x:c>
      <x:c r="K931" s="2" t="str">
        <x:v>1</x:v>
      </x:c>
      <x:c r="L931" s="2" t="str">
        <x:v>3</x:v>
      </x:c>
      <x:c r="M931" s="2" t="str">
        <x:v>1</x:v>
      </x:c>
      <x:c r="N931" s="2" t="str">
        <x:v>2</x:v>
      </x:c>
      <x:c r="O931" s="2" t="str">
        <x:v>0</x:v>
      </x:c>
      <x:c r="P931" s="2" t="str">
        <x:v>true</x:v>
      </x:c>
      <x:c r="Q931" s="2" t="str">
        <x:v>26.761729148</x:v>
      </x:c>
      <x:c r="R931" s="2" t="str">
        <x:v>13.73750000493601</x:v>
      </x:c>
      <x:c r="S931" s="2" t="str">
        <x:v>48.19398026085974</x:v>
      </x:c>
    </x:row>
    <x:row r="932">
      <x:c r="A932" s="2" t="str">
        <x:v>DE-CMP-01</x:v>
      </x:c>
      <x:c r="B932" s="2" t="str">
        <x:v>CFG-C01</x:v>
      </x:c>
      <x:c r="C932" s="2" t="n">
        <x:v>46227.70238086805</x:v>
      </x:c>
      <x:c r="D932" s="2" t="str">
        <x:v>os_cfar</x:v>
      </x:c>
      <x:c r="E932" s="2" t="str">
        <x:v>fft_edge</x:v>
      </x:c>
      <x:c r="F932" s="2" t="str">
        <x:v>466</x:v>
      </x:c>
      <x:c r="G932" s="2" t="str">
        <x:v>3144269</x:v>
      </x:c>
      <x:c r="H932" s="2" t="str">
        <x:v>2048000.0</x:v>
      </x:c>
      <x:c r="I932" s="2" t="str">
        <x:v>8192</x:v>
      </x:c>
      <x:c r="J932" s="2" t="str">
        <x:v>250.0</x:v>
      </x:c>
      <x:c r="K932" s="2" t="str">
        <x:v>1</x:v>
      </x:c>
      <x:c r="L932" s="2" t="str">
        <x:v>3</x:v>
      </x:c>
      <x:c r="M932" s="2" t="str">
        <x:v>1</x:v>
      </x:c>
      <x:c r="N932" s="2" t="str">
        <x:v>2</x:v>
      </x:c>
      <x:c r="O932" s="2" t="str">
        <x:v>0</x:v>
      </x:c>
      <x:c r="P932" s="2" t="str">
        <x:v>true</x:v>
      </x:c>
      <x:c r="Q932" s="2" t="str">
        <x:v>-40.522344036</x:v>
      </x:c>
      <x:c r="R932" s="2" t="str">
        <x:v>13.77245799812954</x:v>
      </x:c>
      <x:c r="S932" s="2" t="str">
        <x:v>48.24045188904087</x:v>
      </x:c>
    </x:row>
    <x:row r="933">
      <x:c r="A933" s="2" t="str">
        <x:v>DE-CMP-01</x:v>
      </x:c>
      <x:c r="B933" s="2" t="str">
        <x:v>CFG-C01</x:v>
      </x:c>
      <x:c r="C933" s="2" t="n">
        <x:v>46227.70238086805</x:v>
      </x:c>
      <x:c r="D933" s="2" t="str">
        <x:v>adaptive</x:v>
      </x:c>
      <x:c r="E933" s="2" t="str">
        <x:v>fft_edge</x:v>
      </x:c>
      <x:c r="F933" s="2" t="str">
        <x:v>466</x:v>
      </x:c>
      <x:c r="G933" s="2" t="str">
        <x:v>3144269</x:v>
      </x:c>
      <x:c r="H933" s="2" t="str">
        <x:v>2048000.0</x:v>
      </x:c>
      <x:c r="I933" s="2" t="str">
        <x:v>8192</x:v>
      </x:c>
      <x:c r="J933" s="2" t="str">
        <x:v>250.0</x:v>
      </x:c>
      <x:c r="K933" s="2" t="str">
        <x:v>1</x:v>
      </x:c>
      <x:c r="L933" s="2" t="str">
        <x:v>3</x:v>
      </x:c>
      <x:c r="M933" s="2" t="str">
        <x:v>1</x:v>
      </x:c>
      <x:c r="N933" s="2" t="str">
        <x:v>2</x:v>
      </x:c>
      <x:c r="O933" s="2" t="str">
        <x:v>0</x:v>
      </x:c>
      <x:c r="P933" s="2" t="str">
        <x:v>true</x:v>
      </x:c>
      <x:c r="Q933" s="2" t="str">
        <x:v>-40.522344036</x:v>
      </x:c>
      <x:c r="R933" s="2" t="str">
        <x:v>0.4167500010225922</x:v>
      </x:c>
      <x:c r="S933" s="2" t="str">
        <x:v>46.49365605526998</x:v>
      </x:c>
    </x:row>
    <x:row r="934">
      <x:c r="A934" s="2" t="str">
        <x:v>DE-CMP-01</x:v>
      </x:c>
      <x:c r="B934" s="2" t="str">
        <x:v>CFG-C01</x:v>
      </x:c>
      <x:c r="C934" s="2" t="n">
        <x:v>46227.70238086805</x:v>
      </x:c>
      <x:c r="D934" s="2" t="str">
        <x:v>adaptive</x:v>
      </x:c>
      <x:c r="E934" s="2" t="str">
        <x:v>fft_edge</x:v>
      </x:c>
      <x:c r="F934" s="2" t="str">
        <x:v>467</x:v>
      </x:c>
      <x:c r="G934" s="2" t="str">
        <x:v>3144270</x:v>
      </x:c>
      <x:c r="H934" s="2" t="str">
        <x:v>2048000.0</x:v>
      </x:c>
      <x:c r="I934" s="2" t="str">
        <x:v>8192</x:v>
      </x:c>
      <x:c r="J934" s="2" t="str">
        <x:v>250.0</x:v>
      </x:c>
      <x:c r="K934" s="2" t="str">
        <x:v>1</x:v>
      </x:c>
      <x:c r="L934" s="2" t="str">
        <x:v>3</x:v>
      </x:c>
      <x:c r="M934" s="2" t="str">
        <x:v>1</x:v>
      </x:c>
      <x:c r="N934" s="2" t="str">
        <x:v>2</x:v>
      </x:c>
      <x:c r="O934" s="2" t="str">
        <x:v>0</x:v>
      </x:c>
      <x:c r="P934" s="2" t="str">
        <x:v>true</x:v>
      </x:c>
      <x:c r="Q934" s="2" t="str">
        <x:v>13.598985217</x:v>
      </x:c>
      <x:c r="R934" s="2" t="str">
        <x:v>0.418625000747852</x:v>
      </x:c>
      <x:c r="S934" s="2" t="str">
        <x:v>46.63376976390127</x:v>
      </x:c>
    </x:row>
    <x:row r="935">
      <x:c r="A935" s="2" t="str">
        <x:v>DE-CMP-01</x:v>
      </x:c>
      <x:c r="B935" s="2" t="str">
        <x:v>CFG-C01</x:v>
      </x:c>
      <x:c r="C935" s="2" t="n">
        <x:v>46227.70238086805</x:v>
      </x:c>
      <x:c r="D935" s="2" t="str">
        <x:v>os_cfar</x:v>
      </x:c>
      <x:c r="E935" s="2" t="str">
        <x:v>fft_edge</x:v>
      </x:c>
      <x:c r="F935" s="2" t="str">
        <x:v>467</x:v>
      </x:c>
      <x:c r="G935" s="2" t="str">
        <x:v>3144270</x:v>
      </x:c>
      <x:c r="H935" s="2" t="str">
        <x:v>2048000.0</x:v>
      </x:c>
      <x:c r="I935" s="2" t="str">
        <x:v>8192</x:v>
      </x:c>
      <x:c r="J935" s="2" t="str">
        <x:v>250.0</x:v>
      </x:c>
      <x:c r="K935" s="2" t="str">
        <x:v>1</x:v>
      </x:c>
      <x:c r="L935" s="2" t="str">
        <x:v>3</x:v>
      </x:c>
      <x:c r="M935" s="2" t="str">
        <x:v>1</x:v>
      </x:c>
      <x:c r="N935" s="2" t="str">
        <x:v>2</x:v>
      </x:c>
      <x:c r="O935" s="2" t="str">
        <x:v>0</x:v>
      </x:c>
      <x:c r="P935" s="2" t="str">
        <x:v>true</x:v>
      </x:c>
      <x:c r="Q935" s="2" t="str">
        <x:v>13.598985217</x:v>
      </x:c>
      <x:c r="R935" s="2" t="str">
        <x:v>13.685041994904168</x:v>
      </x:c>
      <x:c r="S935" s="2" t="str">
        <x:v>48.33795272710205</x:v>
      </x:c>
    </x:row>
    <x:row r="936">
      <x:c r="A936" s="2" t="str">
        <x:v>DE-CMP-01</x:v>
      </x:c>
      <x:c r="B936" s="2" t="str">
        <x:v>CFG-C01</x:v>
      </x:c>
      <x:c r="C936" s="2" t="n">
        <x:v>46227.70238086805</x:v>
      </x:c>
      <x:c r="D936" s="2" t="str">
        <x:v>os_cfar</x:v>
      </x:c>
      <x:c r="E936" s="2" t="str">
        <x:v>fft_edge</x:v>
      </x:c>
      <x:c r="F936" s="2" t="str">
        <x:v>468</x:v>
      </x:c>
      <x:c r="G936" s="2" t="str">
        <x:v>3144271</x:v>
      </x:c>
      <x:c r="H936" s="2" t="str">
        <x:v>2048000.0</x:v>
      </x:c>
      <x:c r="I936" s="2" t="str">
        <x:v>8192</x:v>
      </x:c>
      <x:c r="J936" s="2" t="str">
        <x:v>250.0</x:v>
      </x:c>
      <x:c r="K936" s="2" t="str">
        <x:v>1</x:v>
      </x:c>
      <x:c r="L936" s="2" t="str">
        <x:v>3</x:v>
      </x:c>
      <x:c r="M936" s="2" t="str">
        <x:v>1</x:v>
      </x:c>
      <x:c r="N936" s="2" t="str">
        <x:v>2</x:v>
      </x:c>
      <x:c r="O936" s="2" t="str">
        <x:v>0</x:v>
      </x:c>
      <x:c r="P936" s="2" t="str">
        <x:v>true</x:v>
      </x:c>
      <x:c r="Q936" s="2" t="str">
        <x:v>-58.949469245</x:v>
      </x:c>
      <x:c r="R936" s="2" t="str">
        <x:v>13.705000004847534</x:v>
      </x:c>
      <x:c r="S936" s="2" t="str">
        <x:v>48.22330538388394</x:v>
      </x:c>
    </x:row>
    <x:row r="937">
      <x:c r="A937" s="2" t="str">
        <x:v>DE-CMP-01</x:v>
      </x:c>
      <x:c r="B937" s="2" t="str">
        <x:v>CFG-C01</x:v>
      </x:c>
      <x:c r="C937" s="2" t="n">
        <x:v>46227.70238086805</x:v>
      </x:c>
      <x:c r="D937" s="2" t="str">
        <x:v>adaptive</x:v>
      </x:c>
      <x:c r="E937" s="2" t="str">
        <x:v>fft_edge</x:v>
      </x:c>
      <x:c r="F937" s="2" t="str">
        <x:v>468</x:v>
      </x:c>
      <x:c r="G937" s="2" t="str">
        <x:v>3144271</x:v>
      </x:c>
      <x:c r="H937" s="2" t="str">
        <x:v>2048000.0</x:v>
      </x:c>
      <x:c r="I937" s="2" t="str">
        <x:v>8192</x:v>
      </x:c>
      <x:c r="J937" s="2" t="str">
        <x:v>250.0</x:v>
      </x:c>
      <x:c r="K937" s="2" t="str">
        <x:v>1</x:v>
      </x:c>
      <x:c r="L937" s="2" t="str">
        <x:v>3</x:v>
      </x:c>
      <x:c r="M937" s="2" t="str">
        <x:v>1</x:v>
      </x:c>
      <x:c r="N937" s="2" t="str">
        <x:v>2</x:v>
      </x:c>
      <x:c r="O937" s="2" t="str">
        <x:v>0</x:v>
      </x:c>
      <x:c r="P937" s="2" t="str">
        <x:v>true</x:v>
      </x:c>
      <x:c r="Q937" s="2" t="str">
        <x:v>-58.949469245</x:v>
      </x:c>
      <x:c r="R937" s="2" t="str">
        <x:v>0.4044999950565398</x:v>
      </x:c>
      <x:c r="S937" s="2" t="str">
        <x:v>46.417102537333456</x:v>
      </x:c>
    </x:row>
    <x:row r="938">
      <x:c r="A938" s="2" t="str">
        <x:v>DE-CMP-01</x:v>
      </x:c>
      <x:c r="B938" s="2" t="str">
        <x:v>CFG-C01</x:v>
      </x:c>
      <x:c r="C938" s="2" t="n">
        <x:v>46227.70238086805</x:v>
      </x:c>
      <x:c r="D938" s="2" t="str">
        <x:v>adaptive</x:v>
      </x:c>
      <x:c r="E938" s="2" t="str">
        <x:v>fft_edge</x:v>
      </x:c>
      <x:c r="F938" s="2" t="str">
        <x:v>469</x:v>
      </x:c>
      <x:c r="G938" s="2" t="str">
        <x:v>3144272</x:v>
      </x:c>
      <x:c r="H938" s="2" t="str">
        <x:v>2048000.0</x:v>
      </x:c>
      <x:c r="I938" s="2" t="str">
        <x:v>8192</x:v>
      </x:c>
      <x:c r="J938" s="2" t="str">
        <x:v>250.0</x:v>
      </x:c>
      <x:c r="K938" s="2" t="str">
        <x:v>1</x:v>
      </x:c>
      <x:c r="L938" s="2" t="str">
        <x:v>3</x:v>
      </x:c>
      <x:c r="M938" s="2" t="str">
        <x:v>1</x:v>
      </x:c>
      <x:c r="N938" s="2" t="str">
        <x:v>2</x:v>
      </x:c>
      <x:c r="O938" s="2" t="str">
        <x:v>0</x:v>
      </x:c>
      <x:c r="P938" s="2" t="str">
        <x:v>true</x:v>
      </x:c>
      <x:c r="Q938" s="2" t="str">
        <x:v>-36.955667223</x:v>
      </x:c>
      <x:c r="R938" s="2" t="str">
        <x:v>0.4200420080451295</x:v>
      </x:c>
      <x:c r="S938" s="2" t="str">
        <x:v>46.741271877288206</x:v>
      </x:c>
    </x:row>
    <x:row r="939">
      <x:c r="A939" s="2" t="str">
        <x:v>DE-CMP-01</x:v>
      </x:c>
      <x:c r="B939" s="2" t="str">
        <x:v>CFG-C01</x:v>
      </x:c>
      <x:c r="C939" s="2" t="n">
        <x:v>46227.70238086805</x:v>
      </x:c>
      <x:c r="D939" s="2" t="str">
        <x:v>os_cfar</x:v>
      </x:c>
      <x:c r="E939" s="2" t="str">
        <x:v>fft_edge</x:v>
      </x:c>
      <x:c r="F939" s="2" t="str">
        <x:v>469</x:v>
      </x:c>
      <x:c r="G939" s="2" t="str">
        <x:v>3144272</x:v>
      </x:c>
      <x:c r="H939" s="2" t="str">
        <x:v>2048000.0</x:v>
      </x:c>
      <x:c r="I939" s="2" t="str">
        <x:v>8192</x:v>
      </x:c>
      <x:c r="J939" s="2" t="str">
        <x:v>250.0</x:v>
      </x:c>
      <x:c r="K939" s="2" t="str">
        <x:v>1</x:v>
      </x:c>
      <x:c r="L939" s="2" t="str">
        <x:v>3</x:v>
      </x:c>
      <x:c r="M939" s="2" t="str">
        <x:v>1</x:v>
      </x:c>
      <x:c r="N939" s="2" t="str">
        <x:v>2</x:v>
      </x:c>
      <x:c r="O939" s="2" t="str">
        <x:v>0</x:v>
      </x:c>
      <x:c r="P939" s="2" t="str">
        <x:v>true</x:v>
      </x:c>
      <x:c r="Q939" s="2" t="str">
        <x:v>-36.955667223</x:v>
      </x:c>
      <x:c r="R939" s="2" t="str">
        <x:v>13.81224999204278</x:v>
      </x:c>
      <x:c r="S939" s="2" t="str">
        <x:v>48.37375709463154</x:v>
      </x:c>
    </x:row>
    <x:row r="940">
      <x:c r="A940" s="2" t="str">
        <x:v>DE-CMP-01</x:v>
      </x:c>
      <x:c r="B940" s="2" t="str">
        <x:v>CFG-C01</x:v>
      </x:c>
      <x:c r="C940" s="2" t="n">
        <x:v>46227.70238086805</x:v>
      </x:c>
      <x:c r="D940" s="2" t="str">
        <x:v>os_cfar</x:v>
      </x:c>
      <x:c r="E940" s="2" t="str">
        <x:v>fft_edge</x:v>
      </x:c>
      <x:c r="F940" s="2" t="str">
        <x:v>470</x:v>
      </x:c>
      <x:c r="G940" s="2" t="str">
        <x:v>3144273</x:v>
      </x:c>
      <x:c r="H940" s="2" t="str">
        <x:v>2048000.0</x:v>
      </x:c>
      <x:c r="I940" s="2" t="str">
        <x:v>8192</x:v>
      </x:c>
      <x:c r="J940" s="2" t="str">
        <x:v>250.0</x:v>
      </x:c>
      <x:c r="K940" s="2" t="str">
        <x:v>1</x:v>
      </x:c>
      <x:c r="L940" s="2" t="str">
        <x:v>3</x:v>
      </x:c>
      <x:c r="M940" s="2" t="str">
        <x:v>1</x:v>
      </x:c>
      <x:c r="N940" s="2" t="str">
        <x:v>2</x:v>
      </x:c>
      <x:c r="O940" s="2" t="str">
        <x:v>0</x:v>
      </x:c>
      <x:c r="P940" s="2" t="str">
        <x:v>true</x:v>
      </x:c>
      <x:c r="Q940" s="2" t="str">
        <x:v>115.023617412</x:v>
      </x:c>
      <x:c r="R940" s="2" t="str">
        <x:v>13.811208002152853</x:v>
      </x:c>
      <x:c r="S940" s="2" t="str">
        <x:v>48.315923446821536</x:v>
      </x:c>
    </x:row>
    <x:row r="941">
      <x:c r="A941" s="2" t="str">
        <x:v>DE-CMP-01</x:v>
      </x:c>
      <x:c r="B941" s="2" t="str">
        <x:v>CFG-C01</x:v>
      </x:c>
      <x:c r="C941" s="2" t="n">
        <x:v>46227.70238086805</x:v>
      </x:c>
      <x:c r="D941" s="2" t="str">
        <x:v>adaptive</x:v>
      </x:c>
      <x:c r="E941" s="2" t="str">
        <x:v>fft_edge</x:v>
      </x:c>
      <x:c r="F941" s="2" t="str">
        <x:v>470</x:v>
      </x:c>
      <x:c r="G941" s="2" t="str">
        <x:v>3144273</x:v>
      </x:c>
      <x:c r="H941" s="2" t="str">
        <x:v>2048000.0</x:v>
      </x:c>
      <x:c r="I941" s="2" t="str">
        <x:v>8192</x:v>
      </x:c>
      <x:c r="J941" s="2" t="str">
        <x:v>250.0</x:v>
      </x:c>
      <x:c r="K941" s="2" t="str">
        <x:v>1</x:v>
      </x:c>
      <x:c r="L941" s="2" t="str">
        <x:v>3</x:v>
      </x:c>
      <x:c r="M941" s="2" t="str">
        <x:v>1</x:v>
      </x:c>
      <x:c r="N941" s="2" t="str">
        <x:v>2</x:v>
      </x:c>
      <x:c r="O941" s="2" t="str">
        <x:v>0</x:v>
      </x:c>
      <x:c r="P941" s="2" t="str">
        <x:v>true</x:v>
      </x:c>
      <x:c r="Q941" s="2" t="str">
        <x:v>115.023617412</x:v>
      </x:c>
      <x:c r="R941" s="2" t="str">
        <x:v>0.39408299198839813</x:v>
      </x:c>
      <x:c r="S941" s="2" t="str">
        <x:v>46.47199357432024</x:v>
      </x:c>
    </x:row>
    <x:row r="942">
      <x:c r="A942" s="2" t="str">
        <x:v>DE-CMP-01</x:v>
      </x:c>
      <x:c r="B942" s="2" t="str">
        <x:v>CFG-C01</x:v>
      </x:c>
      <x:c r="C942" s="2" t="n">
        <x:v>46227.70238086805</x:v>
      </x:c>
      <x:c r="D942" s="2" t="str">
        <x:v>adaptive</x:v>
      </x:c>
      <x:c r="E942" s="2" t="str">
        <x:v>fft_edge</x:v>
      </x:c>
      <x:c r="F942" s="2" t="str">
        <x:v>471</x:v>
      </x:c>
      <x:c r="G942" s="2" t="str">
        <x:v>3144274</x:v>
      </x:c>
      <x:c r="H942" s="2" t="str">
        <x:v>2048000.0</x:v>
      </x:c>
      <x:c r="I942" s="2" t="str">
        <x:v>8192</x:v>
      </x:c>
      <x:c r="J942" s="2" t="str">
        <x:v>250.0</x:v>
      </x:c>
      <x:c r="K942" s="2" t="str">
        <x:v>1</x:v>
      </x:c>
      <x:c r="L942" s="2" t="str">
        <x:v>3</x:v>
      </x:c>
      <x:c r="M942" s="2" t="str">
        <x:v>1</x:v>
      </x:c>
      <x:c r="N942" s="2" t="str">
        <x:v>2</x:v>
      </x:c>
      <x:c r="O942" s="2" t="str">
        <x:v>0</x:v>
      </x:c>
      <x:c r="P942" s="2" t="str">
        <x:v>true</x:v>
      </x:c>
      <x:c r="Q942" s="2" t="str">
        <x:v>72.704180696</x:v>
      </x:c>
      <x:c r="R942" s="2" t="str">
        <x:v>0.39291700522881</x:v>
      </x:c>
      <x:c r="S942" s="2" t="str">
        <x:v>46.45553910874489</x:v>
      </x:c>
    </x:row>
    <x:row r="943">
      <x:c r="A943" s="2" t="str">
        <x:v>DE-CMP-01</x:v>
      </x:c>
      <x:c r="B943" s="2" t="str">
        <x:v>CFG-C01</x:v>
      </x:c>
      <x:c r="C943" s="2" t="n">
        <x:v>46227.70238086805</x:v>
      </x:c>
      <x:c r="D943" s="2" t="str">
        <x:v>os_cfar</x:v>
      </x:c>
      <x:c r="E943" s="2" t="str">
        <x:v>fft_edge</x:v>
      </x:c>
      <x:c r="F943" s="2" t="str">
        <x:v>471</x:v>
      </x:c>
      <x:c r="G943" s="2" t="str">
        <x:v>3144274</x:v>
      </x:c>
      <x:c r="H943" s="2" t="str">
        <x:v>2048000.0</x:v>
      </x:c>
      <x:c r="I943" s="2" t="str">
        <x:v>8192</x:v>
      </x:c>
      <x:c r="J943" s="2" t="str">
        <x:v>250.0</x:v>
      </x:c>
      <x:c r="K943" s="2" t="str">
        <x:v>1</x:v>
      </x:c>
      <x:c r="L943" s="2" t="str">
        <x:v>3</x:v>
      </x:c>
      <x:c r="M943" s="2" t="str">
        <x:v>1</x:v>
      </x:c>
      <x:c r="N943" s="2" t="str">
        <x:v>2</x:v>
      </x:c>
      <x:c r="O943" s="2" t="str">
        <x:v>0</x:v>
      </x:c>
      <x:c r="P943" s="2" t="str">
        <x:v>true</x:v>
      </x:c>
      <x:c r="Q943" s="2" t="str">
        <x:v>72.704180696</x:v>
      </x:c>
      <x:c r="R943" s="2" t="str">
        <x:v>13.64754099631682</x:v>
      </x:c>
      <x:c r="S943" s="2" t="str">
        <x:v>48.266681900451644</x:v>
      </x:c>
    </x:row>
    <x:row r="944">
      <x:c r="A944" s="2" t="str">
        <x:v>DE-CMP-01</x:v>
      </x:c>
      <x:c r="B944" s="2" t="str">
        <x:v>CFG-C01</x:v>
      </x:c>
      <x:c r="C944" s="2" t="n">
        <x:v>46227.70238086805</x:v>
      </x:c>
      <x:c r="D944" s="2" t="str">
        <x:v>os_cfar</x:v>
      </x:c>
      <x:c r="E944" s="2" t="str">
        <x:v>fft_edge</x:v>
      </x:c>
      <x:c r="F944" s="2" t="str">
        <x:v>472</x:v>
      </x:c>
      <x:c r="G944" s="2" t="str">
        <x:v>3144275</x:v>
      </x:c>
      <x:c r="H944" s="2" t="str">
        <x:v>2048000.0</x:v>
      </x:c>
      <x:c r="I944" s="2" t="str">
        <x:v>8192</x:v>
      </x:c>
      <x:c r="J944" s="2" t="str">
        <x:v>250.0</x:v>
      </x:c>
      <x:c r="K944" s="2" t="str">
        <x:v>1</x:v>
      </x:c>
      <x:c r="L944" s="2" t="str">
        <x:v>3</x:v>
      </x:c>
      <x:c r="M944" s="2" t="str">
        <x:v>1</x:v>
      </x:c>
      <x:c r="N944" s="2" t="str">
        <x:v>2</x:v>
      </x:c>
      <x:c r="O944" s="2" t="str">
        <x:v>0</x:v>
      </x:c>
      <x:c r="P944" s="2" t="str">
        <x:v>true</x:v>
      </x:c>
      <x:c r="Q944" s="2" t="str">
        <x:v>-82.197195248</x:v>
      </x:c>
      <x:c r="R944" s="2" t="str">
        <x:v>13.827500006300397</x:v>
      </x:c>
      <x:c r="S944" s="2" t="str">
        <x:v>48.22093721215811</x:v>
      </x:c>
    </x:row>
    <x:row r="945">
      <x:c r="A945" s="2" t="str">
        <x:v>DE-CMP-01</x:v>
      </x:c>
      <x:c r="B945" s="2" t="str">
        <x:v>CFG-C01</x:v>
      </x:c>
      <x:c r="C945" s="2" t="n">
        <x:v>46227.70238086805</x:v>
      </x:c>
      <x:c r="D945" s="2" t="str">
        <x:v>adaptive</x:v>
      </x:c>
      <x:c r="E945" s="2" t="str">
        <x:v>fft_edge</x:v>
      </x:c>
      <x:c r="F945" s="2" t="str">
        <x:v>472</x:v>
      </x:c>
      <x:c r="G945" s="2" t="str">
        <x:v>3144275</x:v>
      </x:c>
      <x:c r="H945" s="2" t="str">
        <x:v>2048000.0</x:v>
      </x:c>
      <x:c r="I945" s="2" t="str">
        <x:v>8192</x:v>
      </x:c>
      <x:c r="J945" s="2" t="str">
        <x:v>250.0</x:v>
      </x:c>
      <x:c r="K945" s="2" t="str">
        <x:v>1</x:v>
      </x:c>
      <x:c r="L945" s="2" t="str">
        <x:v>3</x:v>
      </x:c>
      <x:c r="M945" s="2" t="str">
        <x:v>1</x:v>
      </x:c>
      <x:c r="N945" s="2" t="str">
        <x:v>2</x:v>
      </x:c>
      <x:c r="O945" s="2" t="str">
        <x:v>0</x:v>
      </x:c>
      <x:c r="P945" s="2" t="str">
        <x:v>true</x:v>
      </x:c>
      <x:c r="Q945" s="2" t="str">
        <x:v>-82.197195248</x:v>
      </x:c>
      <x:c r="R945" s="2" t="str">
        <x:v>0.4217089881421998</x:v>
      </x:c>
      <x:c r="S945" s="2" t="str">
        <x:v>46.34879892671316</x:v>
      </x:c>
    </x:row>
    <x:row r="946">
      <x:c r="A946" s="2" t="str">
        <x:v>DE-CMP-01</x:v>
      </x:c>
      <x:c r="B946" s="2" t="str">
        <x:v>CFG-C01</x:v>
      </x:c>
      <x:c r="C946" s="2" t="n">
        <x:v>46227.70238086805</x:v>
      </x:c>
      <x:c r="D946" s="2" t="str">
        <x:v>adaptive</x:v>
      </x:c>
      <x:c r="E946" s="2" t="str">
        <x:v>fft_edge</x:v>
      </x:c>
      <x:c r="F946" s="2" t="str">
        <x:v>473</x:v>
      </x:c>
      <x:c r="G946" s="2" t="str">
        <x:v>3144276</x:v>
      </x:c>
      <x:c r="H946" s="2" t="str">
        <x:v>2048000.0</x:v>
      </x:c>
      <x:c r="I946" s="2" t="str">
        <x:v>8192</x:v>
      </x:c>
      <x:c r="J946" s="2" t="str">
        <x:v>250.0</x:v>
      </x:c>
      <x:c r="K946" s="2" t="str">
        <x:v>1</x:v>
      </x:c>
      <x:c r="L946" s="2" t="str">
        <x:v>3</x:v>
      </x:c>
      <x:c r="M946" s="2" t="str">
        <x:v>1</x:v>
      </x:c>
      <x:c r="N946" s="2" t="str">
        <x:v>2</x:v>
      </x:c>
      <x:c r="O946" s="2" t="str">
        <x:v>0</x:v>
      </x:c>
      <x:c r="P946" s="2" t="str">
        <x:v>true</x:v>
      </x:c>
      <x:c r="Q946" s="2" t="str">
        <x:v>47.804074276</x:v>
      </x:c>
      <x:c r="R946" s="2" t="str">
        <x:v>0.42883299465756863</x:v>
      </x:c>
      <x:c r="S946" s="2" t="str">
        <x:v>46.57928148140392</x:v>
      </x:c>
    </x:row>
    <x:row r="947">
      <x:c r="A947" s="2" t="str">
        <x:v>DE-CMP-01</x:v>
      </x:c>
      <x:c r="B947" s="2" t="str">
        <x:v>CFG-C01</x:v>
      </x:c>
      <x:c r="C947" s="2" t="n">
        <x:v>46227.70238086805</x:v>
      </x:c>
      <x:c r="D947" s="2" t="str">
        <x:v>os_cfar</x:v>
      </x:c>
      <x:c r="E947" s="2" t="str">
        <x:v>fft_edge</x:v>
      </x:c>
      <x:c r="F947" s="2" t="str">
        <x:v>473</x:v>
      </x:c>
      <x:c r="G947" s="2" t="str">
        <x:v>3144276</x:v>
      </x:c>
      <x:c r="H947" s="2" t="str">
        <x:v>2048000.0</x:v>
      </x:c>
      <x:c r="I947" s="2" t="str">
        <x:v>8192</x:v>
      </x:c>
      <x:c r="J947" s="2" t="str">
        <x:v>250.0</x:v>
      </x:c>
      <x:c r="K947" s="2" t="str">
        <x:v>1</x:v>
      </x:c>
      <x:c r="L947" s="2" t="str">
        <x:v>3</x:v>
      </x:c>
      <x:c r="M947" s="2" t="str">
        <x:v>1</x:v>
      </x:c>
      <x:c r="N947" s="2" t="str">
        <x:v>2</x:v>
      </x:c>
      <x:c r="O947" s="2" t="str">
        <x:v>0</x:v>
      </x:c>
      <x:c r="P947" s="2" t="str">
        <x:v>true</x:v>
      </x:c>
      <x:c r="Q947" s="2" t="str">
        <x:v>47.804074276</x:v>
      </x:c>
      <x:c r="R947" s="2" t="str">
        <x:v>13.6982080002781</x:v>
      </x:c>
      <x:c r="S947" s="2" t="str">
        <x:v>48.2587547777963</x:v>
      </x:c>
    </x:row>
    <x:row r="948">
      <x:c r="A948" s="2" t="str">
        <x:v>DE-CMP-01</x:v>
      </x:c>
      <x:c r="B948" s="2" t="str">
        <x:v>CFG-C01</x:v>
      </x:c>
      <x:c r="C948" s="2" t="n">
        <x:v>46227.70238086805</x:v>
      </x:c>
      <x:c r="D948" s="2" t="str">
        <x:v>os_cfar</x:v>
      </x:c>
      <x:c r="E948" s="2" t="str">
        <x:v>fft_edge</x:v>
      </x:c>
      <x:c r="F948" s="2" t="str">
        <x:v>474</x:v>
      </x:c>
      <x:c r="G948" s="2" t="str">
        <x:v>3144277</x:v>
      </x:c>
      <x:c r="H948" s="2" t="str">
        <x:v>2048000.0</x:v>
      </x:c>
      <x:c r="I948" s="2" t="str">
        <x:v>8192</x:v>
      </x:c>
      <x:c r="J948" s="2" t="str">
        <x:v>250.0</x:v>
      </x:c>
      <x:c r="K948" s="2" t="str">
        <x:v>1</x:v>
      </x:c>
      <x:c r="L948" s="2" t="str">
        <x:v>3</x:v>
      </x:c>
      <x:c r="M948" s="2" t="str">
        <x:v>1</x:v>
      </x:c>
      <x:c r="N948" s="2" t="str">
        <x:v>2</x:v>
      </x:c>
      <x:c r="O948" s="2" t="str">
        <x:v>0</x:v>
      </x:c>
      <x:c r="P948" s="2" t="str">
        <x:v>true</x:v>
      </x:c>
      <x:c r="Q948" s="2" t="str">
        <x:v>-86.223677611</x:v>
      </x:c>
      <x:c r="R948" s="2" t="str">
        <x:v>13.854582997737452</x:v>
      </x:c>
      <x:c r="S948" s="2" t="str">
        <x:v>48.09507187454092</x:v>
      </x:c>
    </x:row>
    <x:row r="949">
      <x:c r="A949" s="2" t="str">
        <x:v>DE-CMP-01</x:v>
      </x:c>
      <x:c r="B949" s="2" t="str">
        <x:v>CFG-C01</x:v>
      </x:c>
      <x:c r="C949" s="2" t="n">
        <x:v>46227.70238086805</x:v>
      </x:c>
      <x:c r="D949" s="2" t="str">
        <x:v>adaptive</x:v>
      </x:c>
      <x:c r="E949" s="2" t="str">
        <x:v>fft_edge</x:v>
      </x:c>
      <x:c r="F949" s="2" t="str">
        <x:v>474</x:v>
      </x:c>
      <x:c r="G949" s="2" t="str">
        <x:v>3144277</x:v>
      </x:c>
      <x:c r="H949" s="2" t="str">
        <x:v>2048000.0</x:v>
      </x:c>
      <x:c r="I949" s="2" t="str">
        <x:v>8192</x:v>
      </x:c>
      <x:c r="J949" s="2" t="str">
        <x:v>250.0</x:v>
      </x:c>
      <x:c r="K949" s="2" t="str">
        <x:v>1</x:v>
      </x:c>
      <x:c r="L949" s="2" t="str">
        <x:v>3</x:v>
      </x:c>
      <x:c r="M949" s="2" t="str">
        <x:v>1</x:v>
      </x:c>
      <x:c r="N949" s="2" t="str">
        <x:v>2</x:v>
      </x:c>
      <x:c r="O949" s="2" t="str">
        <x:v>0</x:v>
      </x:c>
      <x:c r="P949" s="2" t="str">
        <x:v>true</x:v>
      </x:c>
      <x:c r="Q949" s="2" t="str">
        <x:v>-86.223677611</x:v>
      </x:c>
      <x:c r="R949" s="2" t="str">
        <x:v>0.4281250003259629</x:v>
      </x:c>
      <x:c r="S949" s="2" t="str">
        <x:v>46.25949932985882</x:v>
      </x:c>
    </x:row>
    <x:row r="950">
      <x:c r="A950" s="2" t="str">
        <x:v>DE-CMP-01</x:v>
      </x:c>
      <x:c r="B950" s="2" t="str">
        <x:v>CFG-C01</x:v>
      </x:c>
      <x:c r="C950" s="2" t="n">
        <x:v>46227.70238086805</x:v>
      </x:c>
      <x:c r="D950" s="2" t="str">
        <x:v>adaptive</x:v>
      </x:c>
      <x:c r="E950" s="2" t="str">
        <x:v>fft_edge</x:v>
      </x:c>
      <x:c r="F950" s="2" t="str">
        <x:v>475</x:v>
      </x:c>
      <x:c r="G950" s="2" t="str">
        <x:v>3144278</x:v>
      </x:c>
      <x:c r="H950" s="2" t="str">
        <x:v>2048000.0</x:v>
      </x:c>
      <x:c r="I950" s="2" t="str">
        <x:v>8192</x:v>
      </x:c>
      <x:c r="J950" s="2" t="str">
        <x:v>250.0</x:v>
      </x:c>
      <x:c r="K950" s="2" t="str">
        <x:v>1</x:v>
      </x:c>
      <x:c r="L950" s="2" t="str">
        <x:v>3</x:v>
      </x:c>
      <x:c r="M950" s="2" t="str">
        <x:v>1</x:v>
      </x:c>
      <x:c r="N950" s="2" t="str">
        <x:v>2</x:v>
      </x:c>
      <x:c r="O950" s="2" t="str">
        <x:v>0</x:v>
      </x:c>
      <x:c r="P950" s="2" t="str">
        <x:v>true</x:v>
      </x:c>
      <x:c r="Q950" s="2" t="str">
        <x:v>95.685316226</x:v>
      </x:c>
      <x:c r="R950" s="2" t="str">
        <x:v>0.4154170019319281</x:v>
      </x:c>
      <x:c r="S950" s="2" t="str">
        <x:v>46.65482048571545</x:v>
      </x:c>
    </x:row>
    <x:row r="951">
      <x:c r="A951" s="2" t="str">
        <x:v>DE-CMP-01</x:v>
      </x:c>
      <x:c r="B951" s="2" t="str">
        <x:v>CFG-C01</x:v>
      </x:c>
      <x:c r="C951" s="2" t="n">
        <x:v>46227.70238086805</x:v>
      </x:c>
      <x:c r="D951" s="2" t="str">
        <x:v>os_cfar</x:v>
      </x:c>
      <x:c r="E951" s="2" t="str">
        <x:v>fft_edge</x:v>
      </x:c>
      <x:c r="F951" s="2" t="str">
        <x:v>475</x:v>
      </x:c>
      <x:c r="G951" s="2" t="str">
        <x:v>3144278</x:v>
      </x:c>
      <x:c r="H951" s="2" t="str">
        <x:v>2048000.0</x:v>
      </x:c>
      <x:c r="I951" s="2" t="str">
        <x:v>8192</x:v>
      </x:c>
      <x:c r="J951" s="2" t="str">
        <x:v>250.0</x:v>
      </x:c>
      <x:c r="K951" s="2" t="str">
        <x:v>1</x:v>
      </x:c>
      <x:c r="L951" s="2" t="str">
        <x:v>3</x:v>
      </x:c>
      <x:c r="M951" s="2" t="str">
        <x:v>1</x:v>
      </x:c>
      <x:c r="N951" s="2" t="str">
        <x:v>2</x:v>
      </x:c>
      <x:c r="O951" s="2" t="str">
        <x:v>0</x:v>
      </x:c>
      <x:c r="P951" s="2" t="str">
        <x:v>true</x:v>
      </x:c>
      <x:c r="Q951" s="2" t="str">
        <x:v>95.685316226</x:v>
      </x:c>
      <x:c r="R951" s="2" t="str">
        <x:v>13.830333002260886</x:v>
      </x:c>
      <x:c r="S951" s="2" t="str">
        <x:v>48.388374083554176</x:v>
      </x:c>
    </x:row>
    <x:row r="952">
      <x:c r="A952" s="2" t="str">
        <x:v>DE-CMP-01</x:v>
      </x:c>
      <x:c r="B952" s="2" t="str">
        <x:v>CFG-C01</x:v>
      </x:c>
      <x:c r="C952" s="2" t="n">
        <x:v>46227.70238086805</x:v>
      </x:c>
      <x:c r="D952" s="2" t="str">
        <x:v>os_cfar</x:v>
      </x:c>
      <x:c r="E952" s="2" t="str">
        <x:v>fft_edge</x:v>
      </x:c>
      <x:c r="F952" s="2" t="str">
        <x:v>476</x:v>
      </x:c>
      <x:c r="G952" s="2" t="str">
        <x:v>3144279</x:v>
      </x:c>
      <x:c r="H952" s="2" t="str">
        <x:v>2048000.0</x:v>
      </x:c>
      <x:c r="I952" s="2" t="str">
        <x:v>8192</x:v>
      </x:c>
      <x:c r="J952" s="2" t="str">
        <x:v>250.0</x:v>
      </x:c>
      <x:c r="K952" s="2" t="str">
        <x:v>1</x:v>
      </x:c>
      <x:c r="L952" s="2" t="str">
        <x:v>3</x:v>
      </x:c>
      <x:c r="M952" s="2" t="str">
        <x:v>1</x:v>
      </x:c>
      <x:c r="N952" s="2" t="str">
        <x:v>2</x:v>
      </x:c>
      <x:c r="O952" s="2" t="str">
        <x:v>0</x:v>
      </x:c>
      <x:c r="P952" s="2" t="str">
        <x:v>true</x:v>
      </x:c>
      <x:c r="Q952" s="2" t="str">
        <x:v>106.256337099</x:v>
      </x:c>
      <x:c r="R952" s="2" t="str">
        <x:v>13.980999996419996</x:v>
      </x:c>
      <x:c r="S952" s="2" t="str">
        <x:v>48.20737681309343</x:v>
      </x:c>
    </x:row>
    <x:row r="953">
      <x:c r="A953" s="2" t="str">
        <x:v>DE-CMP-01</x:v>
      </x:c>
      <x:c r="B953" s="2" t="str">
        <x:v>CFG-C01</x:v>
      </x:c>
      <x:c r="C953" s="2" t="n">
        <x:v>46227.70238086805</x:v>
      </x:c>
      <x:c r="D953" s="2" t="str">
        <x:v>adaptive</x:v>
      </x:c>
      <x:c r="E953" s="2" t="str">
        <x:v>fft_edge</x:v>
      </x:c>
      <x:c r="F953" s="2" t="str">
        <x:v>476</x:v>
      </x:c>
      <x:c r="G953" s="2" t="str">
        <x:v>3144279</x:v>
      </x:c>
      <x:c r="H953" s="2" t="str">
        <x:v>2048000.0</x:v>
      </x:c>
      <x:c r="I953" s="2" t="str">
        <x:v>8192</x:v>
      </x:c>
      <x:c r="J953" s="2" t="str">
        <x:v>250.0</x:v>
      </x:c>
      <x:c r="K953" s="2" t="str">
        <x:v>1</x:v>
      </x:c>
      <x:c r="L953" s="2" t="str">
        <x:v>3</x:v>
      </x:c>
      <x:c r="M953" s="2" t="str">
        <x:v>1</x:v>
      </x:c>
      <x:c r="N953" s="2" t="str">
        <x:v>2</x:v>
      </x:c>
      <x:c r="O953" s="2" t="str">
        <x:v>0</x:v>
      </x:c>
      <x:c r="P953" s="2" t="str">
        <x:v>true</x:v>
      </x:c>
      <x:c r="Q953" s="2" t="str">
        <x:v>106.256337099</x:v>
      </x:c>
      <x:c r="R953" s="2" t="str">
        <x:v>0.44837499444838613</x:v>
      </x:c>
      <x:c r="S953" s="2" t="str">
        <x:v>46.5572987696734</x:v>
      </x:c>
    </x:row>
    <x:row r="954">
      <x:c r="A954" s="2" t="str">
        <x:v>DE-CMP-01</x:v>
      </x:c>
      <x:c r="B954" s="2" t="str">
        <x:v>CFG-C01</x:v>
      </x:c>
      <x:c r="C954" s="2" t="n">
        <x:v>46227.70238086805</x:v>
      </x:c>
      <x:c r="D954" s="2" t="str">
        <x:v>adaptive</x:v>
      </x:c>
      <x:c r="E954" s="2" t="str">
        <x:v>fft_edge</x:v>
      </x:c>
      <x:c r="F954" s="2" t="str">
        <x:v>477</x:v>
      </x:c>
      <x:c r="G954" s="2" t="str">
        <x:v>3144280</x:v>
      </x:c>
      <x:c r="H954" s="2" t="str">
        <x:v>2048000.0</x:v>
      </x:c>
      <x:c r="I954" s="2" t="str">
        <x:v>8192</x:v>
      </x:c>
      <x:c r="J954" s="2" t="str">
        <x:v>250.0</x:v>
      </x:c>
      <x:c r="K954" s="2" t="str">
        <x:v>1</x:v>
      </x:c>
      <x:c r="L954" s="2" t="str">
        <x:v>3</x:v>
      </x:c>
      <x:c r="M954" s="2" t="str">
        <x:v>1</x:v>
      </x:c>
      <x:c r="N954" s="2" t="str">
        <x:v>2</x:v>
      </x:c>
      <x:c r="O954" s="2" t="str">
        <x:v>0</x:v>
      </x:c>
      <x:c r="P954" s="2" t="str">
        <x:v>true</x:v>
      </x:c>
      <x:c r="Q954" s="2" t="str">
        <x:v>10.305350001</x:v>
      </x:c>
      <x:c r="R954" s="2" t="str">
        <x:v>0.4158329975325614</x:v>
      </x:c>
      <x:c r="S954" s="2" t="str">
        <x:v>46.45184482329822</x:v>
      </x:c>
    </x:row>
    <x:row r="955">
      <x:c r="A955" s="2" t="str">
        <x:v>DE-CMP-01</x:v>
      </x:c>
      <x:c r="B955" s="2" t="str">
        <x:v>CFG-C01</x:v>
      </x:c>
      <x:c r="C955" s="2" t="n">
        <x:v>46227.70238086805</x:v>
      </x:c>
      <x:c r="D955" s="2" t="str">
        <x:v>os_cfar</x:v>
      </x:c>
      <x:c r="E955" s="2" t="str">
        <x:v>fft_edge</x:v>
      </x:c>
      <x:c r="F955" s="2" t="str">
        <x:v>477</x:v>
      </x:c>
      <x:c r="G955" s="2" t="str">
        <x:v>3144280</x:v>
      </x:c>
      <x:c r="H955" s="2" t="str">
        <x:v>2048000.0</x:v>
      </x:c>
      <x:c r="I955" s="2" t="str">
        <x:v>8192</x:v>
      </x:c>
      <x:c r="J955" s="2" t="str">
        <x:v>250.0</x:v>
      </x:c>
      <x:c r="K955" s="2" t="str">
        <x:v>1</x:v>
      </x:c>
      <x:c r="L955" s="2" t="str">
        <x:v>3</x:v>
      </x:c>
      <x:c r="M955" s="2" t="str">
        <x:v>1</x:v>
      </x:c>
      <x:c r="N955" s="2" t="str">
        <x:v>2</x:v>
      </x:c>
      <x:c r="O955" s="2" t="str">
        <x:v>0</x:v>
      </x:c>
      <x:c r="P955" s="2" t="str">
        <x:v>true</x:v>
      </x:c>
      <x:c r="Q955" s="2" t="str">
        <x:v>10.305350001</x:v>
      </x:c>
      <x:c r="R955" s="2" t="str">
        <x:v>14.094250000198372</x:v>
      </x:c>
      <x:c r="S955" s="2" t="str">
        <x:v>48.14994894230389</x:v>
      </x:c>
    </x:row>
    <x:row r="956">
      <x:c r="A956" s="2" t="str">
        <x:v>DE-CMP-01</x:v>
      </x:c>
      <x:c r="B956" s="2" t="str">
        <x:v>CFG-C01</x:v>
      </x:c>
      <x:c r="C956" s="2" t="n">
        <x:v>46227.70238086805</x:v>
      </x:c>
      <x:c r="D956" s="2" t="str">
        <x:v>os_cfar</x:v>
      </x:c>
      <x:c r="E956" s="2" t="str">
        <x:v>fft_edge</x:v>
      </x:c>
      <x:c r="F956" s="2" t="str">
        <x:v>478</x:v>
      </x:c>
      <x:c r="G956" s="2" t="str">
        <x:v>3144281</x:v>
      </x:c>
      <x:c r="H956" s="2" t="str">
        <x:v>2048000.0</x:v>
      </x:c>
      <x:c r="I956" s="2" t="str">
        <x:v>8192</x:v>
      </x:c>
      <x:c r="J956" s="2" t="str">
        <x:v>250.0</x:v>
      </x:c>
      <x:c r="K956" s="2" t="str">
        <x:v>1</x:v>
      </x:c>
      <x:c r="L956" s="2" t="str">
        <x:v>3</x:v>
      </x:c>
      <x:c r="M956" s="2" t="str">
        <x:v>1</x:v>
      </x:c>
      <x:c r="N956" s="2" t="str">
        <x:v>2</x:v>
      </x:c>
      <x:c r="O956" s="2" t="str">
        <x:v>0</x:v>
      </x:c>
      <x:c r="P956" s="2" t="str">
        <x:v>true</x:v>
      </x:c>
      <x:c r="Q956" s="2" t="str">
        <x:v>-38.469852735</x:v>
      </x:c>
      <x:c r="R956" s="2" t="str">
        <x:v>14.053542006877251</x:v>
      </x:c>
      <x:c r="S956" s="2" t="str">
        <x:v>48.177203488671765</x:v>
      </x:c>
    </x:row>
    <x:row r="957">
      <x:c r="A957" s="2" t="str">
        <x:v>DE-CMP-01</x:v>
      </x:c>
      <x:c r="B957" s="2" t="str">
        <x:v>CFG-C01</x:v>
      </x:c>
      <x:c r="C957" s="2" t="n">
        <x:v>46227.70238086805</x:v>
      </x:c>
      <x:c r="D957" s="2" t="str">
        <x:v>adaptive</x:v>
      </x:c>
      <x:c r="E957" s="2" t="str">
        <x:v>fft_edge</x:v>
      </x:c>
      <x:c r="F957" s="2" t="str">
        <x:v>478</x:v>
      </x:c>
      <x:c r="G957" s="2" t="str">
        <x:v>3144281</x:v>
      </x:c>
      <x:c r="H957" s="2" t="str">
        <x:v>2048000.0</x:v>
      </x:c>
      <x:c r="I957" s="2" t="str">
        <x:v>8192</x:v>
      </x:c>
      <x:c r="J957" s="2" t="str">
        <x:v>250.0</x:v>
      </x:c>
      <x:c r="K957" s="2" t="str">
        <x:v>1</x:v>
      </x:c>
      <x:c r="L957" s="2" t="str">
        <x:v>3</x:v>
      </x:c>
      <x:c r="M957" s="2" t="str">
        <x:v>1</x:v>
      </x:c>
      <x:c r="N957" s="2" t="str">
        <x:v>2</x:v>
      </x:c>
      <x:c r="O957" s="2" t="str">
        <x:v>0</x:v>
      </x:c>
      <x:c r="P957" s="2" t="str">
        <x:v>true</x:v>
      </x:c>
      <x:c r="Q957" s="2" t="str">
        <x:v>-38.469852735</x:v>
      </x:c>
      <x:c r="R957" s="2" t="str">
        <x:v>0.4249580088071525</x:v>
      </x:c>
      <x:c r="S957" s="2" t="str">
        <x:v>46.31201205354905</x:v>
      </x:c>
    </x:row>
    <x:row r="958">
      <x:c r="A958" s="2" t="str">
        <x:v>DE-CMP-01</x:v>
      </x:c>
      <x:c r="B958" s="2" t="str">
        <x:v>CFG-C01</x:v>
      </x:c>
      <x:c r="C958" s="2" t="n">
        <x:v>46227.70238086805</x:v>
      </x:c>
      <x:c r="D958" s="2" t="str">
        <x:v>adaptive</x:v>
      </x:c>
      <x:c r="E958" s="2" t="str">
        <x:v>fft_edge</x:v>
      </x:c>
      <x:c r="F958" s="2" t="str">
        <x:v>479</x:v>
      </x:c>
      <x:c r="G958" s="2" t="str">
        <x:v>3144282</x:v>
      </x:c>
      <x:c r="H958" s="2" t="str">
        <x:v>2048000.0</x:v>
      </x:c>
      <x:c r="I958" s="2" t="str">
        <x:v>8192</x:v>
      </x:c>
      <x:c r="J958" s="2" t="str">
        <x:v>250.0</x:v>
      </x:c>
      <x:c r="K958" s="2" t="str">
        <x:v>1</x:v>
      </x:c>
      <x:c r="L958" s="2" t="str">
        <x:v>3</x:v>
      </x:c>
      <x:c r="M958" s="2" t="str">
        <x:v>1</x:v>
      </x:c>
      <x:c r="N958" s="2" t="str">
        <x:v>2</x:v>
      </x:c>
      <x:c r="O958" s="2" t="str">
        <x:v>0</x:v>
      </x:c>
      <x:c r="P958" s="2" t="str">
        <x:v>true</x:v>
      </x:c>
      <x:c r="Q958" s="2" t="str">
        <x:v>8.516904975</x:v>
      </x:c>
      <x:c r="R958" s="2" t="str">
        <x:v>0.48183400940615684</x:v>
      </x:c>
      <x:c r="S958" s="2" t="str">
        <x:v>46.265445962159944</x:v>
      </x:c>
    </x:row>
    <x:row r="959">
      <x:c r="A959" s="2" t="str">
        <x:v>DE-CMP-01</x:v>
      </x:c>
      <x:c r="B959" s="2" t="str">
        <x:v>CFG-C01</x:v>
      </x:c>
      <x:c r="C959" s="2" t="n">
        <x:v>46227.70238086805</x:v>
      </x:c>
      <x:c r="D959" s="2" t="str">
        <x:v>os_cfar</x:v>
      </x:c>
      <x:c r="E959" s="2" t="str">
        <x:v>fft_edge</x:v>
      </x:c>
      <x:c r="F959" s="2" t="str">
        <x:v>479</x:v>
      </x:c>
      <x:c r="G959" s="2" t="str">
        <x:v>3144282</x:v>
      </x:c>
      <x:c r="H959" s="2" t="str">
        <x:v>2048000.0</x:v>
      </x:c>
      <x:c r="I959" s="2" t="str">
        <x:v>8192</x:v>
      </x:c>
      <x:c r="J959" s="2" t="str">
        <x:v>250.0</x:v>
      </x:c>
      <x:c r="K959" s="2" t="str">
        <x:v>1</x:v>
      </x:c>
      <x:c r="L959" s="2" t="str">
        <x:v>3</x:v>
      </x:c>
      <x:c r="M959" s="2" t="str">
        <x:v>1</x:v>
      </x:c>
      <x:c r="N959" s="2" t="str">
        <x:v>2</x:v>
      </x:c>
      <x:c r="O959" s="2" t="str">
        <x:v>0</x:v>
      </x:c>
      <x:c r="P959" s="2" t="str">
        <x:v>true</x:v>
      </x:c>
      <x:c r="Q959" s="2" t="str">
        <x:v>8.516904975</x:v>
      </x:c>
      <x:c r="R959" s="2" t="str">
        <x:v>13.67633300833404</x:v>
      </x:c>
      <x:c r="S959" s="2" t="str">
        <x:v>48.23696716536411</x:v>
      </x:c>
    </x:row>
    <x:row r="960">
      <x:c r="A960" s="2" t="str">
        <x:v>DE-CMP-01</x:v>
      </x:c>
      <x:c r="B960" s="2" t="str">
        <x:v>CFG-C01</x:v>
      </x:c>
      <x:c r="C960" s="2" t="n">
        <x:v>46227.70238086805</x:v>
      </x:c>
      <x:c r="D960" s="2" t="str">
        <x:v>os_cfar</x:v>
      </x:c>
      <x:c r="E960" s="2" t="str">
        <x:v>fft_edge</x:v>
      </x:c>
      <x:c r="F960" s="2" t="str">
        <x:v>480</x:v>
      </x:c>
      <x:c r="G960" s="2" t="str">
        <x:v>3144283</x:v>
      </x:c>
      <x:c r="H960" s="2" t="str">
        <x:v>2048000.0</x:v>
      </x:c>
      <x:c r="I960" s="2" t="str">
        <x:v>8192</x:v>
      </x:c>
      <x:c r="J960" s="2" t="str">
        <x:v>250.0</x:v>
      </x:c>
      <x:c r="K960" s="2" t="str">
        <x:v>1</x:v>
      </x:c>
      <x:c r="L960" s="2" t="str">
        <x:v>3</x:v>
      </x:c>
      <x:c r="M960" s="2" t="str">
        <x:v>1</x:v>
      </x:c>
      <x:c r="N960" s="2" t="str">
        <x:v>2</x:v>
      </x:c>
      <x:c r="O960" s="2" t="str">
        <x:v>0</x:v>
      </x:c>
      <x:c r="P960" s="2" t="str">
        <x:v>true</x:v>
      </x:c>
      <x:c r="Q960" s="2" t="str">
        <x:v>73.520674229</x:v>
      </x:c>
      <x:c r="R960" s="2" t="str">
        <x:v>13.979375013150275</x:v>
      </x:c>
      <x:c r="S960" s="2" t="str">
        <x:v>48.28979123799962</x:v>
      </x:c>
    </x:row>
    <x:row r="961">
      <x:c r="A961" s="2" t="str">
        <x:v>DE-CMP-01</x:v>
      </x:c>
      <x:c r="B961" s="2" t="str">
        <x:v>CFG-C01</x:v>
      </x:c>
      <x:c r="C961" s="2" t="n">
        <x:v>46227.70238086805</x:v>
      </x:c>
      <x:c r="D961" s="2" t="str">
        <x:v>adaptive</x:v>
      </x:c>
      <x:c r="E961" s="2" t="str">
        <x:v>fft_edge</x:v>
      </x:c>
      <x:c r="F961" s="2" t="str">
        <x:v>480</x:v>
      </x:c>
      <x:c r="G961" s="2" t="str">
        <x:v>3144283</x:v>
      </x:c>
      <x:c r="H961" s="2" t="str">
        <x:v>2048000.0</x:v>
      </x:c>
      <x:c r="I961" s="2" t="str">
        <x:v>8192</x:v>
      </x:c>
      <x:c r="J961" s="2" t="str">
        <x:v>250.0</x:v>
      </x:c>
      <x:c r="K961" s="2" t="str">
        <x:v>1</x:v>
      </x:c>
      <x:c r="L961" s="2" t="str">
        <x:v>3</x:v>
      </x:c>
      <x:c r="M961" s="2" t="str">
        <x:v>1</x:v>
      </x:c>
      <x:c r="N961" s="2" t="str">
        <x:v>2</x:v>
      </x:c>
      <x:c r="O961" s="2" t="str">
        <x:v>0</x:v>
      </x:c>
      <x:c r="P961" s="2" t="str">
        <x:v>true</x:v>
      </x:c>
      <x:c r="Q961" s="2" t="str">
        <x:v>73.520674229</x:v>
      </x:c>
      <x:c r="R961" s="2" t="str">
        <x:v>0.47458299377467483</x:v>
      </x:c>
      <x:c r="S961" s="2" t="str">
        <x:v>46.40121988951832</x:v>
      </x:c>
    </x:row>
    <x:row r="962">
      <x:c r="A962" s="2" t="str">
        <x:v>DE-CMP-01</x:v>
      </x:c>
      <x:c r="B962" s="2" t="str">
        <x:v>CFG-C01</x:v>
      </x:c>
      <x:c r="C962" s="2" t="n">
        <x:v>46227.70238086805</x:v>
      </x:c>
      <x:c r="D962" s="2" t="str">
        <x:v>adaptive</x:v>
      </x:c>
      <x:c r="E962" s="2" t="str">
        <x:v>fft_edge</x:v>
      </x:c>
      <x:c r="F962" s="2" t="str">
        <x:v>481</x:v>
      </x:c>
      <x:c r="G962" s="2" t="str">
        <x:v>3144284</x:v>
      </x:c>
      <x:c r="H962" s="2" t="str">
        <x:v>2048000.0</x:v>
      </x:c>
      <x:c r="I962" s="2" t="str">
        <x:v>8192</x:v>
      </x:c>
      <x:c r="J962" s="2" t="str">
        <x:v>250.0</x:v>
      </x:c>
      <x:c r="K962" s="2" t="str">
        <x:v>1</x:v>
      </x:c>
      <x:c r="L962" s="2" t="str">
        <x:v>3</x:v>
      </x:c>
      <x:c r="M962" s="2" t="str">
        <x:v>1</x:v>
      </x:c>
      <x:c r="N962" s="2" t="str">
        <x:v>2</x:v>
      </x:c>
      <x:c r="O962" s="2" t="str">
        <x:v>0</x:v>
      </x:c>
      <x:c r="P962" s="2" t="str">
        <x:v>true</x:v>
      </x:c>
      <x:c r="Q962" s="2" t="str">
        <x:v>77.248538444</x:v>
      </x:c>
      <x:c r="R962" s="2" t="str">
        <x:v>0.4474159941310063</x:v>
      </x:c>
      <x:c r="S962" s="2" t="str">
        <x:v>46.43019578360178</x:v>
      </x:c>
    </x:row>
    <x:row r="963">
      <x:c r="A963" s="2" t="str">
        <x:v>DE-CMP-01</x:v>
      </x:c>
      <x:c r="B963" s="2" t="str">
        <x:v>CFG-C01</x:v>
      </x:c>
      <x:c r="C963" s="2" t="n">
        <x:v>46227.70238086805</x:v>
      </x:c>
      <x:c r="D963" s="2" t="str">
        <x:v>os_cfar</x:v>
      </x:c>
      <x:c r="E963" s="2" t="str">
        <x:v>fft_edge</x:v>
      </x:c>
      <x:c r="F963" s="2" t="str">
        <x:v>481</x:v>
      </x:c>
      <x:c r="G963" s="2" t="str">
        <x:v>3144284</x:v>
      </x:c>
      <x:c r="H963" s="2" t="str">
        <x:v>2048000.0</x:v>
      </x:c>
      <x:c r="I963" s="2" t="str">
        <x:v>8192</x:v>
      </x:c>
      <x:c r="J963" s="2" t="str">
        <x:v>250.0</x:v>
      </x:c>
      <x:c r="K963" s="2" t="str">
        <x:v>1</x:v>
      </x:c>
      <x:c r="L963" s="2" t="str">
        <x:v>3</x:v>
      </x:c>
      <x:c r="M963" s="2" t="str">
        <x:v>1</x:v>
      </x:c>
      <x:c r="N963" s="2" t="str">
        <x:v>2</x:v>
      </x:c>
      <x:c r="O963" s="2" t="str">
        <x:v>0</x:v>
      </x:c>
      <x:c r="P963" s="2" t="str">
        <x:v>true</x:v>
      </x:c>
      <x:c r="Q963" s="2" t="str">
        <x:v>77.248538444</x:v>
      </x:c>
      <x:c r="R963" s="2" t="str">
        <x:v>13.968416998977773</x:v>
      </x:c>
      <x:c r="S963" s="2" t="str">
        <x:v>48.1743764433239</x:v>
      </x:c>
    </x:row>
    <x:row r="964">
      <x:c r="A964" s="2" t="str">
        <x:v>DE-CMP-01</x:v>
      </x:c>
      <x:c r="B964" s="2" t="str">
        <x:v>CFG-C01</x:v>
      </x:c>
      <x:c r="C964" s="2" t="n">
        <x:v>46227.70238086805</x:v>
      </x:c>
      <x:c r="D964" s="2" t="str">
        <x:v>os_cfar</x:v>
      </x:c>
      <x:c r="E964" s="2" t="str">
        <x:v>fft_edge</x:v>
      </x:c>
      <x:c r="F964" s="2" t="str">
        <x:v>482</x:v>
      </x:c>
      <x:c r="G964" s="2" t="str">
        <x:v>3144285</x:v>
      </x:c>
      <x:c r="H964" s="2" t="str">
        <x:v>2048000.0</x:v>
      </x:c>
      <x:c r="I964" s="2" t="str">
        <x:v>8192</x:v>
      </x:c>
      <x:c r="J964" s="2" t="str">
        <x:v>250.0</x:v>
      </x:c>
      <x:c r="K964" s="2" t="str">
        <x:v>1</x:v>
      </x:c>
      <x:c r="L964" s="2" t="str">
        <x:v>3</x:v>
      </x:c>
      <x:c r="M964" s="2" t="str">
        <x:v>1</x:v>
      </x:c>
      <x:c r="N964" s="2" t="str">
        <x:v>2</x:v>
      </x:c>
      <x:c r="O964" s="2" t="str">
        <x:v>0</x:v>
      </x:c>
      <x:c r="P964" s="2" t="str">
        <x:v>true</x:v>
      </x:c>
      <x:c r="Q964" s="2" t="str">
        <x:v>73.440609386</x:v>
      </x:c>
      <x:c r="R964" s="2" t="str">
        <x:v>14.014958011102863</x:v>
      </x:c>
      <x:c r="S964" s="2" t="str">
        <x:v>48.27539215281675</x:v>
      </x:c>
    </x:row>
    <x:row r="965">
      <x:c r="A965" s="2" t="str">
        <x:v>DE-CMP-01</x:v>
      </x:c>
      <x:c r="B965" s="2" t="str">
        <x:v>CFG-C01</x:v>
      </x:c>
      <x:c r="C965" s="2" t="n">
        <x:v>46227.70238086805</x:v>
      </x:c>
      <x:c r="D965" s="2" t="str">
        <x:v>adaptive</x:v>
      </x:c>
      <x:c r="E965" s="2" t="str">
        <x:v>fft_edge</x:v>
      </x:c>
      <x:c r="F965" s="2" t="str">
        <x:v>482</x:v>
      </x:c>
      <x:c r="G965" s="2" t="str">
        <x:v>3144285</x:v>
      </x:c>
      <x:c r="H965" s="2" t="str">
        <x:v>2048000.0</x:v>
      </x:c>
      <x:c r="I965" s="2" t="str">
        <x:v>8192</x:v>
      </x:c>
      <x:c r="J965" s="2" t="str">
        <x:v>250.0</x:v>
      </x:c>
      <x:c r="K965" s="2" t="str">
        <x:v>1</x:v>
      </x:c>
      <x:c r="L965" s="2" t="str">
        <x:v>3</x:v>
      </x:c>
      <x:c r="M965" s="2" t="str">
        <x:v>1</x:v>
      </x:c>
      <x:c r="N965" s="2" t="str">
        <x:v>2</x:v>
      </x:c>
      <x:c r="O965" s="2" t="str">
        <x:v>0</x:v>
      </x:c>
      <x:c r="P965" s="2" t="str">
        <x:v>true</x:v>
      </x:c>
      <x:c r="Q965" s="2" t="str">
        <x:v>73.440609386</x:v>
      </x:c>
      <x:c r="R965" s="2" t="str">
        <x:v>0.4335830017225817</x:v>
      </x:c>
      <x:c r="S965" s="2" t="str">
        <x:v>46.3718694495488</x:v>
      </x:c>
    </x:row>
    <x:row r="966">
      <x:c r="A966" s="2" t="str">
        <x:v>DE-CMP-01</x:v>
      </x:c>
      <x:c r="B966" s="2" t="str">
        <x:v>CFG-C01</x:v>
      </x:c>
      <x:c r="C966" s="2" t="n">
        <x:v>46227.70238086805</x:v>
      </x:c>
      <x:c r="D966" s="2" t="str">
        <x:v>adaptive</x:v>
      </x:c>
      <x:c r="E966" s="2" t="str">
        <x:v>fft_edge</x:v>
      </x:c>
      <x:c r="F966" s="2" t="str">
        <x:v>483</x:v>
      </x:c>
      <x:c r="G966" s="2" t="str">
        <x:v>3144286</x:v>
      </x:c>
      <x:c r="H966" s="2" t="str">
        <x:v>2048000.0</x:v>
      </x:c>
      <x:c r="I966" s="2" t="str">
        <x:v>8192</x:v>
      </x:c>
      <x:c r="J966" s="2" t="str">
        <x:v>250.0</x:v>
      </x:c>
      <x:c r="K966" s="2" t="str">
        <x:v>1</x:v>
      </x:c>
      <x:c r="L966" s="2" t="str">
        <x:v>3</x:v>
      </x:c>
      <x:c r="M966" s="2" t="str">
        <x:v>1</x:v>
      </x:c>
      <x:c r="N966" s="2" t="str">
        <x:v>2</x:v>
      </x:c>
      <x:c r="O966" s="2" t="str">
        <x:v>0</x:v>
      </x:c>
      <x:c r="P966" s="2" t="str">
        <x:v>true</x:v>
      </x:c>
      <x:c r="Q966" s="2" t="str">
        <x:v>110.921161349</x:v>
      </x:c>
      <x:c r="R966" s="2" t="str">
        <x:v>0.4082500090589747</x:v>
      </x:c>
      <x:c r="S966" s="2" t="str">
        <x:v>46.45810436664608</x:v>
      </x:c>
    </x:row>
    <x:row r="967">
      <x:c r="A967" s="2" t="str">
        <x:v>DE-CMP-01</x:v>
      </x:c>
      <x:c r="B967" s="2" t="str">
        <x:v>CFG-C01</x:v>
      </x:c>
      <x:c r="C967" s="2" t="n">
        <x:v>46227.70238086805</x:v>
      </x:c>
      <x:c r="D967" s="2" t="str">
        <x:v>os_cfar</x:v>
      </x:c>
      <x:c r="E967" s="2" t="str">
        <x:v>fft_edge</x:v>
      </x:c>
      <x:c r="F967" s="2" t="str">
        <x:v>483</x:v>
      </x:c>
      <x:c r="G967" s="2" t="str">
        <x:v>3144286</x:v>
      </x:c>
      <x:c r="H967" s="2" t="str">
        <x:v>2048000.0</x:v>
      </x:c>
      <x:c r="I967" s="2" t="str">
        <x:v>8192</x:v>
      </x:c>
      <x:c r="J967" s="2" t="str">
        <x:v>250.0</x:v>
      </x:c>
      <x:c r="K967" s="2" t="str">
        <x:v>1</x:v>
      </x:c>
      <x:c r="L967" s="2" t="str">
        <x:v>3</x:v>
      </x:c>
      <x:c r="M967" s="2" t="str">
        <x:v>1</x:v>
      </x:c>
      <x:c r="N967" s="2" t="str">
        <x:v>2</x:v>
      </x:c>
      <x:c r="O967" s="2" t="str">
        <x:v>0</x:v>
      </x:c>
      <x:c r="P967" s="2" t="str">
        <x:v>true</x:v>
      </x:c>
      <x:c r="Q967" s="2" t="str">
        <x:v>110.921161349</x:v>
      </x:c>
      <x:c r="R967" s="2" t="str">
        <x:v>13.971374995890073</x:v>
      </x:c>
      <x:c r="S967" s="2" t="str">
        <x:v>48.306717349704236</x:v>
      </x:c>
    </x:row>
    <x:row r="968">
      <x:c r="A968" s="2" t="str">
        <x:v>DE-CMP-01</x:v>
      </x:c>
      <x:c r="B968" s="2" t="str">
        <x:v>CFG-C01</x:v>
      </x:c>
      <x:c r="C968" s="2" t="n">
        <x:v>46227.70238086805</x:v>
      </x:c>
      <x:c r="D968" s="2" t="str">
        <x:v>os_cfar</x:v>
      </x:c>
      <x:c r="E968" s="2" t="str">
        <x:v>fft_edge</x:v>
      </x:c>
      <x:c r="F968" s="2" t="str">
        <x:v>484</x:v>
      </x:c>
      <x:c r="G968" s="2" t="str">
        <x:v>3144287</x:v>
      </x:c>
      <x:c r="H968" s="2" t="str">
        <x:v>2048000.0</x:v>
      </x:c>
      <x:c r="I968" s="2" t="str">
        <x:v>8192</x:v>
      </x:c>
      <x:c r="J968" s="2" t="str">
        <x:v>250.0</x:v>
      </x:c>
      <x:c r="K968" s="2" t="str">
        <x:v>1</x:v>
      </x:c>
      <x:c r="L968" s="2" t="str">
        <x:v>3</x:v>
      </x:c>
      <x:c r="M968" s="2" t="str">
        <x:v>1</x:v>
      </x:c>
      <x:c r="N968" s="2" t="str">
        <x:v>2</x:v>
      </x:c>
      <x:c r="O968" s="2" t="str">
        <x:v>0</x:v>
      </x:c>
      <x:c r="P968" s="2" t="str">
        <x:v>true</x:v>
      </x:c>
      <x:c r="Q968" s="2" t="str">
        <x:v>92.967262921</x:v>
      </x:c>
      <x:c r="R968" s="2" t="str">
        <x:v>14.073625003220513</x:v>
      </x:c>
      <x:c r="S968" s="2" t="str">
        <x:v>48.27842529968105</x:v>
      </x:c>
    </x:row>
    <x:row r="969">
      <x:c r="A969" s="2" t="str">
        <x:v>DE-CMP-01</x:v>
      </x:c>
      <x:c r="B969" s="2" t="str">
        <x:v>CFG-C01</x:v>
      </x:c>
      <x:c r="C969" s="2" t="n">
        <x:v>46227.70238086805</x:v>
      </x:c>
      <x:c r="D969" s="2" t="str">
        <x:v>adaptive</x:v>
      </x:c>
      <x:c r="E969" s="2" t="str">
        <x:v>fft_edge</x:v>
      </x:c>
      <x:c r="F969" s="2" t="str">
        <x:v>484</x:v>
      </x:c>
      <x:c r="G969" s="2" t="str">
        <x:v>3144287</x:v>
      </x:c>
      <x:c r="H969" s="2" t="str">
        <x:v>2048000.0</x:v>
      </x:c>
      <x:c r="I969" s="2" t="str">
        <x:v>8192</x:v>
      </x:c>
      <x:c r="J969" s="2" t="str">
        <x:v>250.0</x:v>
      </x:c>
      <x:c r="K969" s="2" t="str">
        <x:v>1</x:v>
      </x:c>
      <x:c r="L969" s="2" t="str">
        <x:v>3</x:v>
      </x:c>
      <x:c r="M969" s="2" t="str">
        <x:v>1</x:v>
      </x:c>
      <x:c r="N969" s="2" t="str">
        <x:v>2</x:v>
      </x:c>
      <x:c r="O969" s="2" t="str">
        <x:v>0</x:v>
      </x:c>
      <x:c r="P969" s="2" t="str">
        <x:v>true</x:v>
      </x:c>
      <x:c r="Q969" s="2" t="str">
        <x:v>92.967262921</x:v>
      </x:c>
      <x:c r="R969" s="2" t="str">
        <x:v>0.42866700096055865</x:v>
      </x:c>
      <x:c r="S969" s="2" t="str">
        <x:v>46.524716942822806</x:v>
      </x:c>
    </x:row>
    <x:row r="970">
      <x:c r="A970" s="2" t="str">
        <x:v>DE-CMP-01</x:v>
      </x:c>
      <x:c r="B970" s="2" t="str">
        <x:v>CFG-C01</x:v>
      </x:c>
      <x:c r="C970" s="2" t="n">
        <x:v>46227.70238086805</x:v>
      </x:c>
      <x:c r="D970" s="2" t="str">
        <x:v>adaptive</x:v>
      </x:c>
      <x:c r="E970" s="2" t="str">
        <x:v>fft_edge</x:v>
      </x:c>
      <x:c r="F970" s="2" t="str">
        <x:v>485</x:v>
      </x:c>
      <x:c r="G970" s="2" t="str">
        <x:v>3144288</x:v>
      </x:c>
      <x:c r="H970" s="2" t="str">
        <x:v>2048000.0</x:v>
      </x:c>
      <x:c r="I970" s="2" t="str">
        <x:v>8192</x:v>
      </x:c>
      <x:c r="J970" s="2" t="str">
        <x:v>250.0</x:v>
      </x:c>
      <x:c r="K970" s="2" t="str">
        <x:v>1</x:v>
      </x:c>
      <x:c r="L970" s="2" t="str">
        <x:v>3</x:v>
      </x:c>
      <x:c r="M970" s="2" t="str">
        <x:v>1</x:v>
      </x:c>
      <x:c r="N970" s="2" t="str">
        <x:v>2</x:v>
      </x:c>
      <x:c r="O970" s="2" t="str">
        <x:v>0</x:v>
      </x:c>
      <x:c r="P970" s="2" t="str">
        <x:v>true</x:v>
      </x:c>
      <x:c r="Q970" s="2" t="str">
        <x:v>-31.560003205</x:v>
      </x:c>
      <x:c r="R970" s="2" t="str">
        <x:v>0.4214590007904917</x:v>
      </x:c>
      <x:c r="S970" s="2" t="str">
        <x:v>46.350071854028286</x:v>
      </x:c>
    </x:row>
    <x:row r="971">
      <x:c r="A971" s="2" t="str">
        <x:v>DE-CMP-01</x:v>
      </x:c>
      <x:c r="B971" s="2" t="str">
        <x:v>CFG-C01</x:v>
      </x:c>
      <x:c r="C971" s="2" t="n">
        <x:v>46227.70238086805</x:v>
      </x:c>
      <x:c r="D971" s="2" t="str">
        <x:v>os_cfar</x:v>
      </x:c>
      <x:c r="E971" s="2" t="str">
        <x:v>fft_edge</x:v>
      </x:c>
      <x:c r="F971" s="2" t="str">
        <x:v>485</x:v>
      </x:c>
      <x:c r="G971" s="2" t="str">
        <x:v>3144288</x:v>
      </x:c>
      <x:c r="H971" s="2" t="str">
        <x:v>2048000.0</x:v>
      </x:c>
      <x:c r="I971" s="2" t="str">
        <x:v>8192</x:v>
      </x:c>
      <x:c r="J971" s="2" t="str">
        <x:v>250.0</x:v>
      </x:c>
      <x:c r="K971" s="2" t="str">
        <x:v>1</x:v>
      </x:c>
      <x:c r="L971" s="2" t="str">
        <x:v>3</x:v>
      </x:c>
      <x:c r="M971" s="2" t="str">
        <x:v>1</x:v>
      </x:c>
      <x:c r="N971" s="2" t="str">
        <x:v>2</x:v>
      </x:c>
      <x:c r="O971" s="2" t="str">
        <x:v>0</x:v>
      </x:c>
      <x:c r="P971" s="2" t="str">
        <x:v>true</x:v>
      </x:c>
      <x:c r="Q971" s="2" t="str">
        <x:v>-31.560003205</x:v>
      </x:c>
      <x:c r="R971" s="2" t="str">
        <x:v>13.821832995745353</x:v>
      </x:c>
      <x:c r="S971" s="2" t="str">
        <x:v>48.096883525446174</x:v>
      </x:c>
    </x:row>
    <x:row r="972">
      <x:c r="A972" s="2" t="str">
        <x:v>DE-CMP-01</x:v>
      </x:c>
      <x:c r="B972" s="2" t="str">
        <x:v>CFG-C01</x:v>
      </x:c>
      <x:c r="C972" s="2" t="n">
        <x:v>46227.70238086805</x:v>
      </x:c>
      <x:c r="D972" s="2" t="str">
        <x:v>os_cfar</x:v>
      </x:c>
      <x:c r="E972" s="2" t="str">
        <x:v>fft_edge</x:v>
      </x:c>
      <x:c r="F972" s="2" t="str">
        <x:v>486</x:v>
      </x:c>
      <x:c r="G972" s="2" t="str">
        <x:v>3144289</x:v>
      </x:c>
      <x:c r="H972" s="2" t="str">
        <x:v>2048000.0</x:v>
      </x:c>
      <x:c r="I972" s="2" t="str">
        <x:v>8192</x:v>
      </x:c>
      <x:c r="J972" s="2" t="str">
        <x:v>250.0</x:v>
      </x:c>
      <x:c r="K972" s="2" t="str">
        <x:v>1</x:v>
      </x:c>
      <x:c r="L972" s="2" t="str">
        <x:v>3</x:v>
      </x:c>
      <x:c r="M972" s="2" t="str">
        <x:v>1</x:v>
      </x:c>
      <x:c r="N972" s="2" t="str">
        <x:v>2</x:v>
      </x:c>
      <x:c r="O972" s="2" t="str">
        <x:v>0</x:v>
      </x:c>
      <x:c r="P972" s="2" t="str">
        <x:v>true</x:v>
      </x:c>
      <x:c r="Q972" s="2" t="str">
        <x:v>74.943407015</x:v>
      </x:c>
      <x:c r="R972" s="2" t="str">
        <x:v>13.900542006012984</x:v>
      </x:c>
      <x:c r="S972" s="2" t="str">
        <x:v>48.16835923074222</x:v>
      </x:c>
    </x:row>
    <x:row r="973">
      <x:c r="A973" s="2" t="str">
        <x:v>DE-CMP-01</x:v>
      </x:c>
      <x:c r="B973" s="2" t="str">
        <x:v>CFG-C01</x:v>
      </x:c>
      <x:c r="C973" s="2" t="n">
        <x:v>46227.70238086805</x:v>
      </x:c>
      <x:c r="D973" s="2" t="str">
        <x:v>adaptive</x:v>
      </x:c>
      <x:c r="E973" s="2" t="str">
        <x:v>fft_edge</x:v>
      </x:c>
      <x:c r="F973" s="2" t="str">
        <x:v>486</x:v>
      </x:c>
      <x:c r="G973" s="2" t="str">
        <x:v>3144289</x:v>
      </x:c>
      <x:c r="H973" s="2" t="str">
        <x:v>2048000.0</x:v>
      </x:c>
      <x:c r="I973" s="2" t="str">
        <x:v>8192</x:v>
      </x:c>
      <x:c r="J973" s="2" t="str">
        <x:v>250.0</x:v>
      </x:c>
      <x:c r="K973" s="2" t="str">
        <x:v>1</x:v>
      </x:c>
      <x:c r="L973" s="2" t="str">
        <x:v>3</x:v>
      </x:c>
      <x:c r="M973" s="2" t="str">
        <x:v>1</x:v>
      </x:c>
      <x:c r="N973" s="2" t="str">
        <x:v>2</x:v>
      </x:c>
      <x:c r="O973" s="2" t="str">
        <x:v>0</x:v>
      </x:c>
      <x:c r="P973" s="2" t="str">
        <x:v>true</x:v>
      </x:c>
      <x:c r="Q973" s="2" t="str">
        <x:v>74.943407015</x:v>
      </x:c>
      <x:c r="R973" s="2" t="str">
        <x:v>0.46112498966977</x:v>
      </x:c>
      <x:c r="S973" s="2" t="str">
        <x:v>46.20584124772308</x:v>
      </x:c>
    </x:row>
    <x:row r="974">
      <x:c r="A974" s="2" t="str">
        <x:v>DE-CMP-01</x:v>
      </x:c>
      <x:c r="B974" s="2" t="str">
        <x:v>CFG-C01</x:v>
      </x:c>
      <x:c r="C974" s="2" t="n">
        <x:v>46227.70238086805</x:v>
      </x:c>
      <x:c r="D974" s="2" t="str">
        <x:v>adaptive</x:v>
      </x:c>
      <x:c r="E974" s="2" t="str">
        <x:v>fft_edge</x:v>
      </x:c>
      <x:c r="F974" s="2" t="str">
        <x:v>487</x:v>
      </x:c>
      <x:c r="G974" s="2" t="str">
        <x:v>3144290</x:v>
      </x:c>
      <x:c r="H974" s="2" t="str">
        <x:v>2048000.0</x:v>
      </x:c>
      <x:c r="I974" s="2" t="str">
        <x:v>8192</x:v>
      </x:c>
      <x:c r="J974" s="2" t="str">
        <x:v>250.0</x:v>
      </x:c>
      <x:c r="K974" s="2" t="str">
        <x:v>1</x:v>
      </x:c>
      <x:c r="L974" s="2" t="str">
        <x:v>3</x:v>
      </x:c>
      <x:c r="M974" s="2" t="str">
        <x:v>1</x:v>
      </x:c>
      <x:c r="N974" s="2" t="str">
        <x:v>2</x:v>
      </x:c>
      <x:c r="O974" s="2" t="str">
        <x:v>0</x:v>
      </x:c>
      <x:c r="P974" s="2" t="str">
        <x:v>true</x:v>
      </x:c>
      <x:c r="Q974" s="2" t="str">
        <x:v>-38.555401695</x:v>
      </x:c>
      <x:c r="R974" s="2" t="str">
        <x:v>0.42675000440794975</x:v>
      </x:c>
      <x:c r="S974" s="2" t="str">
        <x:v>46.33157044318588</x:v>
      </x:c>
    </x:row>
    <x:row r="975">
      <x:c r="A975" s="2" t="str">
        <x:v>DE-CMP-01</x:v>
      </x:c>
      <x:c r="B975" s="2" t="str">
        <x:v>CFG-C01</x:v>
      </x:c>
      <x:c r="C975" s="2" t="n">
        <x:v>46227.70238086805</x:v>
      </x:c>
      <x:c r="D975" s="2" t="str">
        <x:v>os_cfar</x:v>
      </x:c>
      <x:c r="E975" s="2" t="str">
        <x:v>fft_edge</x:v>
      </x:c>
      <x:c r="F975" s="2" t="str">
        <x:v>487</x:v>
      </x:c>
      <x:c r="G975" s="2" t="str">
        <x:v>3144290</x:v>
      </x:c>
      <x:c r="H975" s="2" t="str">
        <x:v>2048000.0</x:v>
      </x:c>
      <x:c r="I975" s="2" t="str">
        <x:v>8192</x:v>
      </x:c>
      <x:c r="J975" s="2" t="str">
        <x:v>250.0</x:v>
      </x:c>
      <x:c r="K975" s="2" t="str">
        <x:v>1</x:v>
      </x:c>
      <x:c r="L975" s="2" t="str">
        <x:v>3</x:v>
      </x:c>
      <x:c r="M975" s="2" t="str">
        <x:v>1</x:v>
      </x:c>
      <x:c r="N975" s="2" t="str">
        <x:v>2</x:v>
      </x:c>
      <x:c r="O975" s="2" t="str">
        <x:v>0</x:v>
      </x:c>
      <x:c r="P975" s="2" t="str">
        <x:v>true</x:v>
      </x:c>
      <x:c r="Q975" s="2" t="str">
        <x:v>-38.555401695</x:v>
      </x:c>
      <x:c r="R975" s="2" t="str">
        <x:v>13.878124998882413</x:v>
      </x:c>
      <x:c r="S975" s="2" t="str">
        <x:v>48.37883652691967</x:v>
      </x:c>
    </x:row>
    <x:row r="976">
      <x:c r="A976" s="2" t="str">
        <x:v>DE-CMP-01</x:v>
      </x:c>
      <x:c r="B976" s="2" t="str">
        <x:v>CFG-C01</x:v>
      </x:c>
      <x:c r="C976" s="2" t="n">
        <x:v>46227.70238086805</x:v>
      </x:c>
      <x:c r="D976" s="2" t="str">
        <x:v>os_cfar</x:v>
      </x:c>
      <x:c r="E976" s="2" t="str">
        <x:v>fft_edge</x:v>
      </x:c>
      <x:c r="F976" s="2" t="str">
        <x:v>488</x:v>
      </x:c>
      <x:c r="G976" s="2" t="str">
        <x:v>3144291</x:v>
      </x:c>
      <x:c r="H976" s="2" t="str">
        <x:v>2048000.0</x:v>
      </x:c>
      <x:c r="I976" s="2" t="str">
        <x:v>8192</x:v>
      </x:c>
      <x:c r="J976" s="2" t="str">
        <x:v>250.0</x:v>
      </x:c>
      <x:c r="K976" s="2" t="str">
        <x:v>1</x:v>
      </x:c>
      <x:c r="L976" s="2" t="str">
        <x:v>3</x:v>
      </x:c>
      <x:c r="M976" s="2" t="str">
        <x:v>1</x:v>
      </x:c>
      <x:c r="N976" s="2" t="str">
        <x:v>2</x:v>
      </x:c>
      <x:c r="O976" s="2" t="str">
        <x:v>0</x:v>
      </x:c>
      <x:c r="P976" s="2" t="str">
        <x:v>true</x:v>
      </x:c>
      <x:c r="Q976" s="2" t="str">
        <x:v>-50.981024271</x:v>
      </x:c>
      <x:c r="R976" s="2" t="str">
        <x:v>14.044709008885548</x:v>
      </x:c>
      <x:c r="S976" s="2" t="str">
        <x:v>48.139149727480806</x:v>
      </x:c>
    </x:row>
    <x:row r="977">
      <x:c r="A977" s="2" t="str">
        <x:v>DE-CMP-01</x:v>
      </x:c>
      <x:c r="B977" s="2" t="str">
        <x:v>CFG-C01</x:v>
      </x:c>
      <x:c r="C977" s="2" t="n">
        <x:v>46227.70238086805</x:v>
      </x:c>
      <x:c r="D977" s="2" t="str">
        <x:v>adaptive</x:v>
      </x:c>
      <x:c r="E977" s="2" t="str">
        <x:v>fft_edge</x:v>
      </x:c>
      <x:c r="F977" s="2" t="str">
        <x:v>488</x:v>
      </x:c>
      <x:c r="G977" s="2" t="str">
        <x:v>3144291</x:v>
      </x:c>
      <x:c r="H977" s="2" t="str">
        <x:v>2048000.0</x:v>
      </x:c>
      <x:c r="I977" s="2" t="str">
        <x:v>8192</x:v>
      </x:c>
      <x:c r="J977" s="2" t="str">
        <x:v>250.0</x:v>
      </x:c>
      <x:c r="K977" s="2" t="str">
        <x:v>1</x:v>
      </x:c>
      <x:c r="L977" s="2" t="str">
        <x:v>3</x:v>
      </x:c>
      <x:c r="M977" s="2" t="str">
        <x:v>1</x:v>
      </x:c>
      <x:c r="N977" s="2" t="str">
        <x:v>2</x:v>
      </x:c>
      <x:c r="O977" s="2" t="str">
        <x:v>0</x:v>
      </x:c>
      <x:c r="P977" s="2" t="str">
        <x:v>true</x:v>
      </x:c>
      <x:c r="Q977" s="2" t="str">
        <x:v>-50.981024271</x:v>
      </x:c>
      <x:c r="R977" s="2" t="str">
        <x:v>0.4541249945759773</x:v>
      </x:c>
      <x:c r="S977" s="2" t="str">
        <x:v>46.498773381078585</x:v>
      </x:c>
    </x:row>
    <x:row r="978">
      <x:c r="A978" s="2" t="str">
        <x:v>DE-CMP-01</x:v>
      </x:c>
      <x:c r="B978" s="2" t="str">
        <x:v>CFG-C01</x:v>
      </x:c>
      <x:c r="C978" s="2" t="n">
        <x:v>46227.70238086805</x:v>
      </x:c>
      <x:c r="D978" s="2" t="str">
        <x:v>adaptive</x:v>
      </x:c>
      <x:c r="E978" s="2" t="str">
        <x:v>fft_edge</x:v>
      </x:c>
      <x:c r="F978" s="2" t="str">
        <x:v>489</x:v>
      </x:c>
      <x:c r="G978" s="2" t="str">
        <x:v>3144292</x:v>
      </x:c>
      <x:c r="H978" s="2" t="str">
        <x:v>2048000.0</x:v>
      </x:c>
      <x:c r="I978" s="2" t="str">
        <x:v>8192</x:v>
      </x:c>
      <x:c r="J978" s="2" t="str">
        <x:v>250.0</x:v>
      </x:c>
      <x:c r="K978" s="2" t="str">
        <x:v>1</x:v>
      </x:c>
      <x:c r="L978" s="2" t="str">
        <x:v>3</x:v>
      </x:c>
      <x:c r="M978" s="2" t="str">
        <x:v>1</x:v>
      </x:c>
      <x:c r="N978" s="2" t="str">
        <x:v>2</x:v>
      </x:c>
      <x:c r="O978" s="2" t="str">
        <x:v>0</x:v>
      </x:c>
      <x:c r="P978" s="2" t="str">
        <x:v>true</x:v>
      </x:c>
      <x:c r="Q978" s="2" t="str">
        <x:v>34.493586133</x:v>
      </x:c>
      <x:c r="R978" s="2" t="str">
        <x:v>0.43316700612194836</x:v>
      </x:c>
      <x:c r="S978" s="2" t="str">
        <x:v>46.350513088902126</x:v>
      </x:c>
    </x:row>
    <x:row r="979">
      <x:c r="A979" s="2" t="str">
        <x:v>DE-CMP-01</x:v>
      </x:c>
      <x:c r="B979" s="2" t="str">
        <x:v>CFG-C01</x:v>
      </x:c>
      <x:c r="C979" s="2" t="n">
        <x:v>46227.70238086805</x:v>
      </x:c>
      <x:c r="D979" s="2" t="str">
        <x:v>os_cfar</x:v>
      </x:c>
      <x:c r="E979" s="2" t="str">
        <x:v>fft_edge</x:v>
      </x:c>
      <x:c r="F979" s="2" t="str">
        <x:v>489</x:v>
      </x:c>
      <x:c r="G979" s="2" t="str">
        <x:v>3144292</x:v>
      </x:c>
      <x:c r="H979" s="2" t="str">
        <x:v>2048000.0</x:v>
      </x:c>
      <x:c r="I979" s="2" t="str">
        <x:v>8192</x:v>
      </x:c>
      <x:c r="J979" s="2" t="str">
        <x:v>250.0</x:v>
      </x:c>
      <x:c r="K979" s="2" t="str">
        <x:v>1</x:v>
      </x:c>
      <x:c r="L979" s="2" t="str">
        <x:v>3</x:v>
      </x:c>
      <x:c r="M979" s="2" t="str">
        <x:v>1</x:v>
      </x:c>
      <x:c r="N979" s="2" t="str">
        <x:v>2</x:v>
      </x:c>
      <x:c r="O979" s="2" t="str">
        <x:v>0</x:v>
      </x:c>
      <x:c r="P979" s="2" t="str">
        <x:v>true</x:v>
      </x:c>
      <x:c r="Q979" s="2" t="str">
        <x:v>34.493586133</x:v>
      </x:c>
      <x:c r="R979" s="2" t="str">
        <x:v>14.188542001647875</x:v>
      </x:c>
      <x:c r="S979" s="2" t="str">
        <x:v>48.174998968677784</x:v>
      </x:c>
    </x:row>
    <x:row r="980">
      <x:c r="A980" s="2" t="str">
        <x:v>DE-CMP-01</x:v>
      </x:c>
      <x:c r="B980" s="2" t="str">
        <x:v>CFG-C01</x:v>
      </x:c>
      <x:c r="C980" s="2" t="n">
        <x:v>46227.70238086805</x:v>
      </x:c>
      <x:c r="D980" s="2" t="str">
        <x:v>os_cfar</x:v>
      </x:c>
      <x:c r="E980" s="2" t="str">
        <x:v>fft_edge</x:v>
      </x:c>
      <x:c r="F980" s="2" t="str">
        <x:v>490</x:v>
      </x:c>
      <x:c r="G980" s="2" t="str">
        <x:v>3144293</x:v>
      </x:c>
      <x:c r="H980" s="2" t="str">
        <x:v>2048000.0</x:v>
      </x:c>
      <x:c r="I980" s="2" t="str">
        <x:v>8192</x:v>
      </x:c>
      <x:c r="J980" s="2" t="str">
        <x:v>250.0</x:v>
      </x:c>
      <x:c r="K980" s="2" t="str">
        <x:v>1</x:v>
      </x:c>
      <x:c r="L980" s="2" t="str">
        <x:v>3</x:v>
      </x:c>
      <x:c r="M980" s="2" t="str">
        <x:v>1</x:v>
      </x:c>
      <x:c r="N980" s="2" t="str">
        <x:v>2</x:v>
      </x:c>
      <x:c r="O980" s="2" t="str">
        <x:v>0</x:v>
      </x:c>
      <x:c r="P980" s="2" t="str">
        <x:v>true</x:v>
      </x:c>
      <x:c r="Q980" s="2" t="str">
        <x:v>-78.076419905</x:v>
      </x:c>
      <x:c r="R980" s="2" t="str">
        <x:v>14.16404198971577</x:v>
      </x:c>
      <x:c r="S980" s="2" t="str">
        <x:v>48.35303204479171</x:v>
      </x:c>
    </x:row>
    <x:row r="981">
      <x:c r="A981" s="2" t="str">
        <x:v>DE-CMP-01</x:v>
      </x:c>
      <x:c r="B981" s="2" t="str">
        <x:v>CFG-C01</x:v>
      </x:c>
      <x:c r="C981" s="2" t="n">
        <x:v>46227.70238086805</x:v>
      </x:c>
      <x:c r="D981" s="2" t="str">
        <x:v>adaptive</x:v>
      </x:c>
      <x:c r="E981" s="2" t="str">
        <x:v>fft_edge</x:v>
      </x:c>
      <x:c r="F981" s="2" t="str">
        <x:v>490</x:v>
      </x:c>
      <x:c r="G981" s="2" t="str">
        <x:v>3144293</x:v>
      </x:c>
      <x:c r="H981" s="2" t="str">
        <x:v>2048000.0</x:v>
      </x:c>
      <x:c r="I981" s="2" t="str">
        <x:v>8192</x:v>
      </x:c>
      <x:c r="J981" s="2" t="str">
        <x:v>250.0</x:v>
      </x:c>
      <x:c r="K981" s="2" t="str">
        <x:v>1</x:v>
      </x:c>
      <x:c r="L981" s="2" t="str">
        <x:v>3</x:v>
      </x:c>
      <x:c r="M981" s="2" t="str">
        <x:v>1</x:v>
      </x:c>
      <x:c r="N981" s="2" t="str">
        <x:v>2</x:v>
      </x:c>
      <x:c r="O981" s="2" t="str">
        <x:v>0</x:v>
      </x:c>
      <x:c r="P981" s="2" t="str">
        <x:v>true</x:v>
      </x:c>
      <x:c r="Q981" s="2" t="str">
        <x:v>-78.076419905</x:v>
      </x:c>
      <x:c r="R981" s="2" t="str">
        <x:v>0.47041599464137107</x:v>
      </x:c>
      <x:c r="S981" s="2" t="str">
        <x:v>46.615068050393006</x:v>
      </x:c>
    </x:row>
    <x:row r="982">
      <x:c r="A982" s="2" t="str">
        <x:v>DE-CMP-01</x:v>
      </x:c>
      <x:c r="B982" s="2" t="str">
        <x:v>CFG-C01</x:v>
      </x:c>
      <x:c r="C982" s="2" t="n">
        <x:v>46227.70238086805</x:v>
      </x:c>
      <x:c r="D982" s="2" t="str">
        <x:v>adaptive</x:v>
      </x:c>
      <x:c r="E982" s="2" t="str">
        <x:v>fft_edge</x:v>
      </x:c>
      <x:c r="F982" s="2" t="str">
        <x:v>491</x:v>
      </x:c>
      <x:c r="G982" s="2" t="str">
        <x:v>3144294</x:v>
      </x:c>
      <x:c r="H982" s="2" t="str">
        <x:v>2048000.0</x:v>
      </x:c>
      <x:c r="I982" s="2" t="str">
        <x:v>8192</x:v>
      </x:c>
      <x:c r="J982" s="2" t="str">
        <x:v>250.0</x:v>
      </x:c>
      <x:c r="K982" s="2" t="str">
        <x:v>1</x:v>
      </x:c>
      <x:c r="L982" s="2" t="str">
        <x:v>3</x:v>
      </x:c>
      <x:c r="M982" s="2" t="str">
        <x:v>1</x:v>
      </x:c>
      <x:c r="N982" s="2" t="str">
        <x:v>2</x:v>
      </x:c>
      <x:c r="O982" s="2" t="str">
        <x:v>0</x:v>
      </x:c>
      <x:c r="P982" s="2" t="str">
        <x:v>true</x:v>
      </x:c>
      <x:c r="Q982" s="2" t="str">
        <x:v>-46.704219469</x:v>
      </x:c>
      <x:c r="R982" s="2" t="str">
        <x:v>0.4389169916976243</x:v>
      </x:c>
      <x:c r="S982" s="2" t="str">
        <x:v>46.44017737374314</x:v>
      </x:c>
    </x:row>
    <x:row r="983">
      <x:c r="A983" s="2" t="str">
        <x:v>DE-CMP-01</x:v>
      </x:c>
      <x:c r="B983" s="2" t="str">
        <x:v>CFG-C01</x:v>
      </x:c>
      <x:c r="C983" s="2" t="n">
        <x:v>46227.70238086805</x:v>
      </x:c>
      <x:c r="D983" s="2" t="str">
        <x:v>os_cfar</x:v>
      </x:c>
      <x:c r="E983" s="2" t="str">
        <x:v>fft_edge</x:v>
      </x:c>
      <x:c r="F983" s="2" t="str">
        <x:v>491</x:v>
      </x:c>
      <x:c r="G983" s="2" t="str">
        <x:v>3144294</x:v>
      </x:c>
      <x:c r="H983" s="2" t="str">
        <x:v>2048000.0</x:v>
      </x:c>
      <x:c r="I983" s="2" t="str">
        <x:v>8192</x:v>
      </x:c>
      <x:c r="J983" s="2" t="str">
        <x:v>250.0</x:v>
      </x:c>
      <x:c r="K983" s="2" t="str">
        <x:v>1</x:v>
      </x:c>
      <x:c r="L983" s="2" t="str">
        <x:v>3</x:v>
      </x:c>
      <x:c r="M983" s="2" t="str">
        <x:v>1</x:v>
      </x:c>
      <x:c r="N983" s="2" t="str">
        <x:v>2</x:v>
      </x:c>
      <x:c r="O983" s="2" t="str">
        <x:v>0</x:v>
      </x:c>
      <x:c r="P983" s="2" t="str">
        <x:v>true</x:v>
      </x:c>
      <x:c r="Q983" s="2" t="str">
        <x:v>-46.704219469</x:v>
      </x:c>
      <x:c r="R983" s="2" t="str">
        <x:v>14.132249998510815</x:v>
      </x:c>
      <x:c r="S983" s="2" t="str">
        <x:v>48.04212333496584</x:v>
      </x:c>
    </x:row>
    <x:row r="984">
      <x:c r="A984" s="2" t="str">
        <x:v>DE-CMP-01</x:v>
      </x:c>
      <x:c r="B984" s="2" t="str">
        <x:v>CFG-C01</x:v>
      </x:c>
      <x:c r="C984" s="2" t="n">
        <x:v>46227.70238086805</x:v>
      </x:c>
      <x:c r="D984" s="2" t="str">
        <x:v>os_cfar</x:v>
      </x:c>
      <x:c r="E984" s="2" t="str">
        <x:v>fft_edge</x:v>
      </x:c>
      <x:c r="F984" s="2" t="str">
        <x:v>492</x:v>
      </x:c>
      <x:c r="G984" s="2" t="str">
        <x:v>3144295</x:v>
      </x:c>
      <x:c r="H984" s="2" t="str">
        <x:v>2048000.0</x:v>
      </x:c>
      <x:c r="I984" s="2" t="str">
        <x:v>8192</x:v>
      </x:c>
      <x:c r="J984" s="2" t="str">
        <x:v>250.0</x:v>
      </x:c>
      <x:c r="K984" s="2" t="str">
        <x:v>1</x:v>
      </x:c>
      <x:c r="L984" s="2" t="str">
        <x:v>3</x:v>
      </x:c>
      <x:c r="M984" s="2" t="str">
        <x:v>1</x:v>
      </x:c>
      <x:c r="N984" s="2" t="str">
        <x:v>2</x:v>
      </x:c>
      <x:c r="O984" s="2" t="str">
        <x:v>0</x:v>
      </x:c>
      <x:c r="P984" s="2" t="str">
        <x:v>true</x:v>
      </x:c>
      <x:c r="Q984" s="2" t="str">
        <x:v>20.269037994</x:v>
      </x:c>
      <x:c r="R984" s="2" t="str">
        <x:v>14.194625007803552</x:v>
      </x:c>
      <x:c r="S984" s="2" t="str">
        <x:v>48.154144081122226</x:v>
      </x:c>
    </x:row>
    <x:row r="985">
      <x:c r="A985" s="2" t="str">
        <x:v>DE-CMP-01</x:v>
      </x:c>
      <x:c r="B985" s="2" t="str">
        <x:v>CFG-C01</x:v>
      </x:c>
      <x:c r="C985" s="2" t="n">
        <x:v>46227.70238086805</x:v>
      </x:c>
      <x:c r="D985" s="2" t="str">
        <x:v>adaptive</x:v>
      </x:c>
      <x:c r="E985" s="2" t="str">
        <x:v>fft_edge</x:v>
      </x:c>
      <x:c r="F985" s="2" t="str">
        <x:v>492</x:v>
      </x:c>
      <x:c r="G985" s="2" t="str">
        <x:v>3144295</x:v>
      </x:c>
      <x:c r="H985" s="2" t="str">
        <x:v>2048000.0</x:v>
      </x:c>
      <x:c r="I985" s="2" t="str">
        <x:v>8192</x:v>
      </x:c>
      <x:c r="J985" s="2" t="str">
        <x:v>250.0</x:v>
      </x:c>
      <x:c r="K985" s="2" t="str">
        <x:v>1</x:v>
      </x:c>
      <x:c r="L985" s="2" t="str">
        <x:v>3</x:v>
      </x:c>
      <x:c r="M985" s="2" t="str">
        <x:v>1</x:v>
      </x:c>
      <x:c r="N985" s="2" t="str">
        <x:v>2</x:v>
      </x:c>
      <x:c r="O985" s="2" t="str">
        <x:v>0</x:v>
      </x:c>
      <x:c r="P985" s="2" t="str">
        <x:v>true</x:v>
      </x:c>
      <x:c r="Q985" s="2" t="str">
        <x:v>20.269037994</x:v>
      </x:c>
      <x:c r="R985" s="2" t="str">
        <x:v>0.4012499994132668</x:v>
      </x:c>
      <x:c r="S985" s="2" t="str">
        <x:v>46.38884223579614</x:v>
      </x:c>
    </x:row>
    <x:row r="986">
      <x:c r="A986" s="2" t="str">
        <x:v>DE-CMP-01</x:v>
      </x:c>
      <x:c r="B986" s="2" t="str">
        <x:v>CFG-C01</x:v>
      </x:c>
      <x:c r="C986" s="2" t="n">
        <x:v>46227.70238086805</x:v>
      </x:c>
      <x:c r="D986" s="2" t="str">
        <x:v>adaptive</x:v>
      </x:c>
      <x:c r="E986" s="2" t="str">
        <x:v>fft_edge</x:v>
      </x:c>
      <x:c r="F986" s="2" t="str">
        <x:v>493</x:v>
      </x:c>
      <x:c r="G986" s="2" t="str">
        <x:v>3144296</x:v>
      </x:c>
      <x:c r="H986" s="2" t="str">
        <x:v>2048000.0</x:v>
      </x:c>
      <x:c r="I986" s="2" t="str">
        <x:v>8192</x:v>
      </x:c>
      <x:c r="J986" s="2" t="str">
        <x:v>250.0</x:v>
      </x:c>
      <x:c r="K986" s="2" t="str">
        <x:v>1</x:v>
      </x:c>
      <x:c r="L986" s="2" t="str">
        <x:v>3</x:v>
      </x:c>
      <x:c r="M986" s="2" t="str">
        <x:v>1</x:v>
      </x:c>
      <x:c r="N986" s="2" t="str">
        <x:v>2</x:v>
      </x:c>
      <x:c r="O986" s="2" t="str">
        <x:v>0</x:v>
      </x:c>
      <x:c r="P986" s="2" t="str">
        <x:v>true</x:v>
      </x:c>
      <x:c r="Q986" s="2" t="str">
        <x:v>-123.780315271</x:v>
      </x:c>
      <x:c r="R986" s="2" t="str">
        <x:v>0.4040830099256709</x:v>
      </x:c>
      <x:c r="S986" s="2" t="str">
        <x:v>46.406581457367565</x:v>
      </x:c>
    </x:row>
    <x:row r="987">
      <x:c r="A987" s="2" t="str">
        <x:v>DE-CMP-01</x:v>
      </x:c>
      <x:c r="B987" s="2" t="str">
        <x:v>CFG-C01</x:v>
      </x:c>
      <x:c r="C987" s="2" t="n">
        <x:v>46227.70238086805</x:v>
      </x:c>
      <x:c r="D987" s="2" t="str">
        <x:v>os_cfar</x:v>
      </x:c>
      <x:c r="E987" s="2" t="str">
        <x:v>fft_edge</x:v>
      </x:c>
      <x:c r="F987" s="2" t="str">
        <x:v>493</x:v>
      </x:c>
      <x:c r="G987" s="2" t="str">
        <x:v>3144296</x:v>
      </x:c>
      <x:c r="H987" s="2" t="str">
        <x:v>2048000.0</x:v>
      </x:c>
      <x:c r="I987" s="2" t="str">
        <x:v>8192</x:v>
      </x:c>
      <x:c r="J987" s="2" t="str">
        <x:v>250.0</x:v>
      </x:c>
      <x:c r="K987" s="2" t="str">
        <x:v>1</x:v>
      </x:c>
      <x:c r="L987" s="2" t="str">
        <x:v>3</x:v>
      </x:c>
      <x:c r="M987" s="2" t="str">
        <x:v>1</x:v>
      </x:c>
      <x:c r="N987" s="2" t="str">
        <x:v>2</x:v>
      </x:c>
      <x:c r="O987" s="2" t="str">
        <x:v>0</x:v>
      </x:c>
      <x:c r="P987" s="2" t="str">
        <x:v>true</x:v>
      </x:c>
      <x:c r="Q987" s="2" t="str">
        <x:v>-123.780315271</x:v>
      </x:c>
      <x:c r="R987" s="2" t="str">
        <x:v>13.988082995638251</x:v>
      </x:c>
      <x:c r="S987" s="2" t="str">
        <x:v>48.22324332450651</x:v>
      </x:c>
    </x:row>
    <x:row r="988">
      <x:c r="A988" s="2" t="str">
        <x:v>DE-CMP-01</x:v>
      </x:c>
      <x:c r="B988" s="2" t="str">
        <x:v>CFG-C01</x:v>
      </x:c>
      <x:c r="C988" s="2" t="n">
        <x:v>46227.70238086805</x:v>
      </x:c>
      <x:c r="D988" s="2" t="str">
        <x:v>os_cfar</x:v>
      </x:c>
      <x:c r="E988" s="2" t="str">
        <x:v>fft_edge</x:v>
      </x:c>
      <x:c r="F988" s="2" t="str">
        <x:v>494</x:v>
      </x:c>
      <x:c r="G988" s="2" t="str">
        <x:v>3144297</x:v>
      </x:c>
      <x:c r="H988" s="2" t="str">
        <x:v>2048000.0</x:v>
      </x:c>
      <x:c r="I988" s="2" t="str">
        <x:v>8192</x:v>
      </x:c>
      <x:c r="J988" s="2" t="str">
        <x:v>250.0</x:v>
      </x:c>
      <x:c r="K988" s="2" t="str">
        <x:v>1</x:v>
      </x:c>
      <x:c r="L988" s="2" t="str">
        <x:v>3</x:v>
      </x:c>
      <x:c r="M988" s="2" t="str">
        <x:v>1</x:v>
      </x:c>
      <x:c r="N988" s="2" t="str">
        <x:v>2</x:v>
      </x:c>
      <x:c r="O988" s="2" t="str">
        <x:v>0</x:v>
      </x:c>
      <x:c r="P988" s="2" t="str">
        <x:v>true</x:v>
      </x:c>
      <x:c r="Q988" s="2" t="str">
        <x:v>-67.232206464</x:v>
      </x:c>
      <x:c r="R988" s="2" t="str">
        <x:v>13.776583000435494</x:v>
      </x:c>
      <x:c r="S988" s="2" t="str">
        <x:v>48.23442925751455</x:v>
      </x:c>
    </x:row>
    <x:row r="989">
      <x:c r="A989" s="2" t="str">
        <x:v>DE-CMP-01</x:v>
      </x:c>
      <x:c r="B989" s="2" t="str">
        <x:v>CFG-C01</x:v>
      </x:c>
      <x:c r="C989" s="2" t="n">
        <x:v>46227.70238086805</x:v>
      </x:c>
      <x:c r="D989" s="2" t="str">
        <x:v>adaptive</x:v>
      </x:c>
      <x:c r="E989" s="2" t="str">
        <x:v>fft_edge</x:v>
      </x:c>
      <x:c r="F989" s="2" t="str">
        <x:v>494</x:v>
      </x:c>
      <x:c r="G989" s="2" t="str">
        <x:v>3144297</x:v>
      </x:c>
      <x:c r="H989" s="2" t="str">
        <x:v>2048000.0</x:v>
      </x:c>
      <x:c r="I989" s="2" t="str">
        <x:v>8192</x:v>
      </x:c>
      <x:c r="J989" s="2" t="str">
        <x:v>250.0</x:v>
      </x:c>
      <x:c r="K989" s="2" t="str">
        <x:v>1</x:v>
      </x:c>
      <x:c r="L989" s="2" t="str">
        <x:v>3</x:v>
      </x:c>
      <x:c r="M989" s="2" t="str">
        <x:v>1</x:v>
      </x:c>
      <x:c r="N989" s="2" t="str">
        <x:v>2</x:v>
      </x:c>
      <x:c r="O989" s="2" t="str">
        <x:v>0</x:v>
      </x:c>
      <x:c r="P989" s="2" t="str">
        <x:v>true</x:v>
      </x:c>
      <x:c r="Q989" s="2" t="str">
        <x:v>-67.232206464</x:v>
      </x:c>
      <x:c r="R989" s="2" t="str">
        <x:v>0.426040991442278</x:v>
      </x:c>
      <x:c r="S989" s="2" t="str">
        <x:v>46.380089842212485</x:v>
      </x:c>
    </x:row>
    <x:row r="990">
      <x:c r="A990" s="2" t="str">
        <x:v>DE-CMP-01</x:v>
      </x:c>
      <x:c r="B990" s="2" t="str">
        <x:v>CFG-C01</x:v>
      </x:c>
      <x:c r="C990" s="2" t="n">
        <x:v>46227.70238086805</x:v>
      </x:c>
      <x:c r="D990" s="2" t="str">
        <x:v>adaptive</x:v>
      </x:c>
      <x:c r="E990" s="2" t="str">
        <x:v>fft_edge</x:v>
      </x:c>
      <x:c r="F990" s="2" t="str">
        <x:v>495</x:v>
      </x:c>
      <x:c r="G990" s="2" t="str">
        <x:v>3144298</x:v>
      </x:c>
      <x:c r="H990" s="2" t="str">
        <x:v>2048000.0</x:v>
      </x:c>
      <x:c r="I990" s="2" t="str">
        <x:v>8192</x:v>
      </x:c>
      <x:c r="J990" s="2" t="str">
        <x:v>250.0</x:v>
      </x:c>
      <x:c r="K990" s="2" t="str">
        <x:v>1</x:v>
      </x:c>
      <x:c r="L990" s="2" t="str">
        <x:v>3</x:v>
      </x:c>
      <x:c r="M990" s="2" t="str">
        <x:v>1</x:v>
      </x:c>
      <x:c r="N990" s="2" t="str">
        <x:v>2</x:v>
      </x:c>
      <x:c r="O990" s="2" t="str">
        <x:v>0</x:v>
      </x:c>
      <x:c r="P990" s="2" t="str">
        <x:v>true</x:v>
      </x:c>
      <x:c r="Q990" s="2" t="str">
        <x:v>67.020454571</x:v>
      </x:c>
      <x:c r="R990" s="2" t="str">
        <x:v>0.4134170012548566</x:v>
      </x:c>
      <x:c r="S990" s="2" t="str">
        <x:v>46.25653100685675</x:v>
      </x:c>
    </x:row>
    <x:row r="991">
      <x:c r="A991" s="2" t="str">
        <x:v>DE-CMP-01</x:v>
      </x:c>
      <x:c r="B991" s="2" t="str">
        <x:v>CFG-C01</x:v>
      </x:c>
      <x:c r="C991" s="2" t="n">
        <x:v>46227.70238086805</x:v>
      </x:c>
      <x:c r="D991" s="2" t="str">
        <x:v>os_cfar</x:v>
      </x:c>
      <x:c r="E991" s="2" t="str">
        <x:v>fft_edge</x:v>
      </x:c>
      <x:c r="F991" s="2" t="str">
        <x:v>495</x:v>
      </x:c>
      <x:c r="G991" s="2" t="str">
        <x:v>3144298</x:v>
      </x:c>
      <x:c r="H991" s="2" t="str">
        <x:v>2048000.0</x:v>
      </x:c>
      <x:c r="I991" s="2" t="str">
        <x:v>8192</x:v>
      </x:c>
      <x:c r="J991" s="2" t="str">
        <x:v>250.0</x:v>
      </x:c>
      <x:c r="K991" s="2" t="str">
        <x:v>1</x:v>
      </x:c>
      <x:c r="L991" s="2" t="str">
        <x:v>3</x:v>
      </x:c>
      <x:c r="M991" s="2" t="str">
        <x:v>1</x:v>
      </x:c>
      <x:c r="N991" s="2" t="str">
        <x:v>2</x:v>
      </x:c>
      <x:c r="O991" s="2" t="str">
        <x:v>0</x:v>
      </x:c>
      <x:c r="P991" s="2" t="str">
        <x:v>true</x:v>
      </x:c>
      <x:c r="Q991" s="2" t="str">
        <x:v>67.020454571</x:v>
      </x:c>
      <x:c r="R991" s="2" t="str">
        <x:v>14.040790993021801</x:v>
      </x:c>
      <x:c r="S991" s="2" t="str">
        <x:v>48.14116942258214</x:v>
      </x:c>
    </x:row>
    <x:row r="992">
      <x:c r="A992" s="2" t="str">
        <x:v>DE-CMP-01</x:v>
      </x:c>
      <x:c r="B992" s="2" t="str">
        <x:v>CFG-C01</x:v>
      </x:c>
      <x:c r="C992" s="2" t="n">
        <x:v>46227.70238086805</x:v>
      </x:c>
      <x:c r="D992" s="2" t="str">
        <x:v>os_cfar</x:v>
      </x:c>
      <x:c r="E992" s="2" t="str">
        <x:v>fft_edge</x:v>
      </x:c>
      <x:c r="F992" s="2" t="str">
        <x:v>496</x:v>
      </x:c>
      <x:c r="G992" s="2" t="str">
        <x:v>3144299</x:v>
      </x:c>
      <x:c r="H992" s="2" t="str">
        <x:v>2048000.0</x:v>
      </x:c>
      <x:c r="I992" s="2" t="str">
        <x:v>8192</x:v>
      </x:c>
      <x:c r="J992" s="2" t="str">
        <x:v>250.0</x:v>
      </x:c>
      <x:c r="K992" s="2" t="str">
        <x:v>1</x:v>
      </x:c>
      <x:c r="L992" s="2" t="str">
        <x:v>3</x:v>
      </x:c>
      <x:c r="M992" s="2" t="str">
        <x:v>1</x:v>
      </x:c>
      <x:c r="N992" s="2" t="str">
        <x:v>2</x:v>
      </x:c>
      <x:c r="O992" s="2" t="str">
        <x:v>0</x:v>
      </x:c>
      <x:c r="P992" s="2" t="str">
        <x:v>true</x:v>
      </x:c>
      <x:c r="Q992" s="2" t="str">
        <x:v>-78.011122351</x:v>
      </x:c>
      <x:c r="R992" s="2" t="str">
        <x:v>13.91824999882374</x:v>
      </x:c>
      <x:c r="S992" s="2" t="str">
        <x:v>48.27910223368168</x:v>
      </x:c>
    </x:row>
    <x:row r="993">
      <x:c r="A993" s="2" t="str">
        <x:v>DE-CMP-01</x:v>
      </x:c>
      <x:c r="B993" s="2" t="str">
        <x:v>CFG-C01</x:v>
      </x:c>
      <x:c r="C993" s="2" t="n">
        <x:v>46227.70238086805</x:v>
      </x:c>
      <x:c r="D993" s="2" t="str">
        <x:v>adaptive</x:v>
      </x:c>
      <x:c r="E993" s="2" t="str">
        <x:v>fft_edge</x:v>
      </x:c>
      <x:c r="F993" s="2" t="str">
        <x:v>496</x:v>
      </x:c>
      <x:c r="G993" s="2" t="str">
        <x:v>3144299</x:v>
      </x:c>
      <x:c r="H993" s="2" t="str">
        <x:v>2048000.0</x:v>
      </x:c>
      <x:c r="I993" s="2" t="str">
        <x:v>8192</x:v>
      </x:c>
      <x:c r="J993" s="2" t="str">
        <x:v>250.0</x:v>
      </x:c>
      <x:c r="K993" s="2" t="str">
        <x:v>1</x:v>
      </x:c>
      <x:c r="L993" s="2" t="str">
        <x:v>3</x:v>
      </x:c>
      <x:c r="M993" s="2" t="str">
        <x:v>1</x:v>
      </x:c>
      <x:c r="N993" s="2" t="str">
        <x:v>2</x:v>
      </x:c>
      <x:c r="O993" s="2" t="str">
        <x:v>0</x:v>
      </x:c>
      <x:c r="P993" s="2" t="str">
        <x:v>true</x:v>
      </x:c>
      <x:c r="Q993" s="2" t="str">
        <x:v>-78.011122351</x:v>
      </x:c>
      <x:c r="R993" s="2" t="str">
        <x:v>0.43583300430327654</x:v>
      </x:c>
      <x:c r="S993" s="2" t="str">
        <x:v>46.390025843113534</x:v>
      </x:c>
    </x:row>
    <x:row r="994">
      <x:c r="A994" s="2" t="str">
        <x:v>DE-CMP-01</x:v>
      </x:c>
      <x:c r="B994" s="2" t="str">
        <x:v>CFG-C01</x:v>
      </x:c>
      <x:c r="C994" s="2" t="n">
        <x:v>46227.70238086805</x:v>
      </x:c>
      <x:c r="D994" s="2" t="str">
        <x:v>adaptive</x:v>
      </x:c>
      <x:c r="E994" s="2" t="str">
        <x:v>fft_edge</x:v>
      </x:c>
      <x:c r="F994" s="2" t="str">
        <x:v>497</x:v>
      </x:c>
      <x:c r="G994" s="2" t="str">
        <x:v>3144300</x:v>
      </x:c>
      <x:c r="H994" s="2" t="str">
        <x:v>2048000.0</x:v>
      </x:c>
      <x:c r="I994" s="2" t="str">
        <x:v>8192</x:v>
      </x:c>
      <x:c r="J994" s="2" t="str">
        <x:v>250.0</x:v>
      </x:c>
      <x:c r="K994" s="2" t="str">
        <x:v>1</x:v>
      </x:c>
      <x:c r="L994" s="2" t="str">
        <x:v>3</x:v>
      </x:c>
      <x:c r="M994" s="2" t="str">
        <x:v>1</x:v>
      </x:c>
      <x:c r="N994" s="2" t="str">
        <x:v>2</x:v>
      </x:c>
      <x:c r="O994" s="2" t="str">
        <x:v>0</x:v>
      </x:c>
      <x:c r="P994" s="2" t="str">
        <x:v>true</x:v>
      </x:c>
      <x:c r="Q994" s="2" t="str">
        <x:v>88.574611039</x:v>
      </x:c>
      <x:c r="R994" s="2" t="str">
        <x:v>0.4334169934736565</x:v>
      </x:c>
      <x:c r="S994" s="2" t="str">
        <x:v>46.406143913129235</x:v>
      </x:c>
    </x:row>
    <x:row r="995">
      <x:c r="A995" s="2" t="str">
        <x:v>DE-CMP-01</x:v>
      </x:c>
      <x:c r="B995" s="2" t="str">
        <x:v>CFG-C01</x:v>
      </x:c>
      <x:c r="C995" s="2" t="n">
        <x:v>46227.70238086805</x:v>
      </x:c>
      <x:c r="D995" s="2" t="str">
        <x:v>os_cfar</x:v>
      </x:c>
      <x:c r="E995" s="2" t="str">
        <x:v>fft_edge</x:v>
      </x:c>
      <x:c r="F995" s="2" t="str">
        <x:v>497</x:v>
      </x:c>
      <x:c r="G995" s="2" t="str">
        <x:v>3144300</x:v>
      </x:c>
      <x:c r="H995" s="2" t="str">
        <x:v>2048000.0</x:v>
      </x:c>
      <x:c r="I995" s="2" t="str">
        <x:v>8192</x:v>
      </x:c>
      <x:c r="J995" s="2" t="str">
        <x:v>250.0</x:v>
      </x:c>
      <x:c r="K995" s="2" t="str">
        <x:v>1</x:v>
      </x:c>
      <x:c r="L995" s="2" t="str">
        <x:v>3</x:v>
      </x:c>
      <x:c r="M995" s="2" t="str">
        <x:v>1</x:v>
      </x:c>
      <x:c r="N995" s="2" t="str">
        <x:v>2</x:v>
      </x:c>
      <x:c r="O995" s="2" t="str">
        <x:v>0</x:v>
      </x:c>
      <x:c r="P995" s="2" t="str">
        <x:v>true</x:v>
      </x:c>
      <x:c r="Q995" s="2" t="str">
        <x:v>88.574611039</x:v>
      </x:c>
      <x:c r="R995" s="2" t="str">
        <x:v>13.994583001476713</x:v>
      </x:c>
      <x:c r="S995" s="2" t="str">
        <x:v>48.20018858549501</x:v>
      </x:c>
    </x:row>
    <x:row r="996">
      <x:c r="A996" s="2" t="str">
        <x:v>DE-CMP-01</x:v>
      </x:c>
      <x:c r="B996" s="2" t="str">
        <x:v>CFG-C01</x:v>
      </x:c>
      <x:c r="C996" s="2" t="n">
        <x:v>46227.70238086805</x:v>
      </x:c>
      <x:c r="D996" s="2" t="str">
        <x:v>os_cfar</x:v>
      </x:c>
      <x:c r="E996" s="2" t="str">
        <x:v>fft_edge</x:v>
      </x:c>
      <x:c r="F996" s="2" t="str">
        <x:v>498</x:v>
      </x:c>
      <x:c r="G996" s="2" t="str">
        <x:v>3144301</x:v>
      </x:c>
      <x:c r="H996" s="2" t="str">
        <x:v>2048000.0</x:v>
      </x:c>
      <x:c r="I996" s="2" t="str">
        <x:v>8192</x:v>
      </x:c>
      <x:c r="J996" s="2" t="str">
        <x:v>250.0</x:v>
      </x:c>
      <x:c r="K996" s="2" t="str">
        <x:v>1</x:v>
      </x:c>
      <x:c r="L996" s="2" t="str">
        <x:v>3</x:v>
      </x:c>
      <x:c r="M996" s="2" t="str">
        <x:v>1</x:v>
      </x:c>
      <x:c r="N996" s="2" t="str">
        <x:v>2</x:v>
      </x:c>
      <x:c r="O996" s="2" t="str">
        <x:v>0</x:v>
      </x:c>
      <x:c r="P996" s="2" t="str">
        <x:v>true</x:v>
      </x:c>
      <x:c r="Q996" s="2" t="str">
        <x:v>23.424300393</x:v>
      </x:c>
      <x:c r="R996" s="2" t="str">
        <x:v>13.979082999867387</x:v>
      </x:c>
      <x:c r="S996" s="2" t="str">
        <x:v>48.21550252531967</x:v>
      </x:c>
    </x:row>
    <x:row r="997">
      <x:c r="A997" s="2" t="str">
        <x:v>DE-CMP-01</x:v>
      </x:c>
      <x:c r="B997" s="2" t="str">
        <x:v>CFG-C01</x:v>
      </x:c>
      <x:c r="C997" s="2" t="n">
        <x:v>46227.70238086805</x:v>
      </x:c>
      <x:c r="D997" s="2" t="str">
        <x:v>adaptive</x:v>
      </x:c>
      <x:c r="E997" s="2" t="str">
        <x:v>fft_edge</x:v>
      </x:c>
      <x:c r="F997" s="2" t="str">
        <x:v>498</x:v>
      </x:c>
      <x:c r="G997" s="2" t="str">
        <x:v>3144301</x:v>
      </x:c>
      <x:c r="H997" s="2" t="str">
        <x:v>2048000.0</x:v>
      </x:c>
      <x:c r="I997" s="2" t="str">
        <x:v>8192</x:v>
      </x:c>
      <x:c r="J997" s="2" t="str">
        <x:v>250.0</x:v>
      </x:c>
      <x:c r="K997" s="2" t="str">
        <x:v>1</x:v>
      </x:c>
      <x:c r="L997" s="2" t="str">
        <x:v>3</x:v>
      </x:c>
      <x:c r="M997" s="2" t="str">
        <x:v>1</x:v>
      </x:c>
      <x:c r="N997" s="2" t="str">
        <x:v>2</x:v>
      </x:c>
      <x:c r="O997" s="2" t="str">
        <x:v>0</x:v>
      </x:c>
      <x:c r="P997" s="2" t="str">
        <x:v>true</x:v>
      </x:c>
      <x:c r="Q997" s="2" t="str">
        <x:v>23.424300393</x:v>
      </x:c>
      <x:c r="R997" s="2" t="str">
        <x:v>0.41024999518413097</x:v>
      </x:c>
      <x:c r="S997" s="2" t="str">
        <x:v>46.52739999225378</x:v>
      </x:c>
    </x:row>
    <x:row r="998">
      <x:c r="A998" s="2" t="str">
        <x:v>DE-CMP-01</x:v>
      </x:c>
      <x:c r="B998" s="2" t="str">
        <x:v>CFG-C01</x:v>
      </x:c>
      <x:c r="C998" s="2" t="n">
        <x:v>46227.70238086805</x:v>
      </x:c>
      <x:c r="D998" s="2" t="str">
        <x:v>adaptive</x:v>
      </x:c>
      <x:c r="E998" s="2" t="str">
        <x:v>fft_edge</x:v>
      </x:c>
      <x:c r="F998" s="2" t="str">
        <x:v>499</x:v>
      </x:c>
      <x:c r="G998" s="2" t="str">
        <x:v>3144302</x:v>
      </x:c>
      <x:c r="H998" s="2" t="str">
        <x:v>2048000.0</x:v>
      </x:c>
      <x:c r="I998" s="2" t="str">
        <x:v>8192</x:v>
      </x:c>
      <x:c r="J998" s="2" t="str">
        <x:v>250.0</x:v>
      </x:c>
      <x:c r="K998" s="2" t="str">
        <x:v>1</x:v>
      </x:c>
      <x:c r="L998" s="2" t="str">
        <x:v>3</x:v>
      </x:c>
      <x:c r="M998" s="2" t="str">
        <x:v>1</x:v>
      </x:c>
      <x:c r="N998" s="2" t="str">
        <x:v>2</x:v>
      </x:c>
      <x:c r="O998" s="2" t="str">
        <x:v>0</x:v>
      </x:c>
      <x:c r="P998" s="2" t="str">
        <x:v>true</x:v>
      </x:c>
      <x:c r="Q998" s="2" t="str">
        <x:v>78.974004201</x:v>
      </x:c>
      <x:c r="R998" s="2" t="str">
        <x:v>0.4011670098407194</x:v>
      </x:c>
      <x:c r="S998" s="2" t="str">
        <x:v>46.32658258187096</x:v>
      </x:c>
    </x:row>
    <x:row r="999">
      <x:c r="A999" s="2" t="str">
        <x:v>DE-CMP-01</x:v>
      </x:c>
      <x:c r="B999" s="2" t="str">
        <x:v>CFG-C01</x:v>
      </x:c>
      <x:c r="C999" s="2" t="n">
        <x:v>46227.70238086805</x:v>
      </x:c>
      <x:c r="D999" s="2" t="str">
        <x:v>os_cfar</x:v>
      </x:c>
      <x:c r="E999" s="2" t="str">
        <x:v>fft_edge</x:v>
      </x:c>
      <x:c r="F999" s="2" t="str">
        <x:v>499</x:v>
      </x:c>
      <x:c r="G999" s="2" t="str">
        <x:v>3144302</x:v>
      </x:c>
      <x:c r="H999" s="2" t="str">
        <x:v>2048000.0</x:v>
      </x:c>
      <x:c r="I999" s="2" t="str">
        <x:v>8192</x:v>
      </x:c>
      <x:c r="J999" s="2" t="str">
        <x:v>250.0</x:v>
      </x:c>
      <x:c r="K999" s="2" t="str">
        <x:v>1</x:v>
      </x:c>
      <x:c r="L999" s="2" t="str">
        <x:v>3</x:v>
      </x:c>
      <x:c r="M999" s="2" t="str">
        <x:v>1</x:v>
      </x:c>
      <x:c r="N999" s="2" t="str">
        <x:v>2</x:v>
      </x:c>
      <x:c r="O999" s="2" t="str">
        <x:v>0</x:v>
      </x:c>
      <x:c r="P999" s="2" t="str">
        <x:v>true</x:v>
      </x:c>
      <x:c r="Q999" s="2" t="str">
        <x:v>78.974004201</x:v>
      </x:c>
      <x:c r="R999" s="2" t="str">
        <x:v>13.772666003205813</x:v>
      </x:c>
      <x:c r="S999" s="2" t="str">
        <x:v>48.23225177796722</x:v>
      </x:c>
    </x:row>
    <x:row r="1000">
      <x:c r="A1000" s="2" t="str">
        <x:v>DE-CMP-01</x:v>
      </x:c>
      <x:c r="B1000" s="2" t="str">
        <x:v>CFG-C01</x:v>
      </x:c>
      <x:c r="C1000" s="2" t="n">
        <x:v>46227.70238086805</x:v>
      </x:c>
      <x:c r="D1000" s="2" t="str">
        <x:v>os_cfar</x:v>
      </x:c>
      <x:c r="E1000" s="2" t="str">
        <x:v>fft_edge</x:v>
      </x:c>
      <x:c r="F1000" s="2" t="str">
        <x:v>500</x:v>
      </x:c>
      <x:c r="G1000" s="2" t="str">
        <x:v>3144303</x:v>
      </x:c>
      <x:c r="H1000" s="2" t="str">
        <x:v>2048000.0</x:v>
      </x:c>
      <x:c r="I1000" s="2" t="str">
        <x:v>8192</x:v>
      </x:c>
      <x:c r="J1000" s="2" t="str">
        <x:v>250.0</x:v>
      </x:c>
      <x:c r="K1000" s="2" t="str">
        <x:v>1</x:v>
      </x:c>
      <x:c r="L1000" s="2" t="str">
        <x:v>3</x:v>
      </x:c>
      <x:c r="M1000" s="2" t="str">
        <x:v>1</x:v>
      </x:c>
      <x:c r="N1000" s="2" t="str">
        <x:v>2</x:v>
      </x:c>
      <x:c r="O1000" s="2" t="str">
        <x:v>0</x:v>
      </x:c>
      <x:c r="P1000" s="2" t="str">
        <x:v>true</x:v>
      </x:c>
      <x:c r="Q1000" s="2" t="str">
        <x:v>-75.674387781</x:v>
      </x:c>
      <x:c r="R1000" s="2" t="str">
        <x:v>13.879374993848614</x:v>
      </x:c>
      <x:c r="S1000" s="2" t="str">
        <x:v>48.2516661530975</x:v>
      </x:c>
    </x:row>
    <x:row r="1001">
      <x:c r="A1001" s="2" t="str">
        <x:v>DE-CMP-01</x:v>
      </x:c>
      <x:c r="B1001" s="2" t="str">
        <x:v>CFG-C01</x:v>
      </x:c>
      <x:c r="C1001" s="2" t="n">
        <x:v>46227.70238086805</x:v>
      </x:c>
      <x:c r="D1001" s="2" t="str">
        <x:v>adaptive</x:v>
      </x:c>
      <x:c r="E1001" s="2" t="str">
        <x:v>fft_edge</x:v>
      </x:c>
      <x:c r="F1001" s="2" t="str">
        <x:v>500</x:v>
      </x:c>
      <x:c r="G1001" s="2" t="str">
        <x:v>3144303</x:v>
      </x:c>
      <x:c r="H1001" s="2" t="str">
        <x:v>2048000.0</x:v>
      </x:c>
      <x:c r="I1001" s="2" t="str">
        <x:v>8192</x:v>
      </x:c>
      <x:c r="J1001" s="2" t="str">
        <x:v>250.0</x:v>
      </x:c>
      <x:c r="K1001" s="2" t="str">
        <x:v>1</x:v>
      </x:c>
      <x:c r="L1001" s="2" t="str">
        <x:v>3</x:v>
      </x:c>
      <x:c r="M1001" s="2" t="str">
        <x:v>1</x:v>
      </x:c>
      <x:c r="N1001" s="2" t="str">
        <x:v>2</x:v>
      </x:c>
      <x:c r="O1001" s="2" t="str">
        <x:v>0</x:v>
      </x:c>
      <x:c r="P1001" s="2" t="str">
        <x:v>true</x:v>
      </x:c>
      <x:c r="Q1001" s="2" t="str">
        <x:v>-75.674387781</x:v>
      </x:c>
      <x:c r="R1001" s="2" t="str">
        <x:v>0.4458339972188696</x:v>
      </x:c>
      <x:c r="S1001" s="2" t="str">
        <x:v>46.494923331063845</x:v>
      </x:c>
    </x:row>
    <x:row r="1002">
      <x:c r="A1002" s="2" t="str">
        <x:v>DE-CMP-01</x:v>
      </x:c>
      <x:c r="B1002" s="2" t="str">
        <x:v>CFG-C01</x:v>
      </x:c>
      <x:c r="C1002" s="2" t="n">
        <x:v>46227.70238086805</x:v>
      </x:c>
      <x:c r="D1002" s="2" t="str">
        <x:v>adaptive</x:v>
      </x:c>
      <x:c r="E1002" s="2" t="str">
        <x:v>closely_spaced_carriers</x:v>
      </x:c>
      <x:c r="F1002" s="2" t="str">
        <x:v>501</x:v>
      </x:c>
      <x:c r="G1002" s="2" t="str">
        <x:v>3154204</x:v>
      </x:c>
      <x:c r="H1002" s="2" t="str">
        <x:v>2048000.0</x:v>
      </x:c>
      <x:c r="I1002" s="2" t="str">
        <x:v>8192</x:v>
      </x:c>
      <x:c r="J1002" s="2" t="str">
        <x:v>250.0</x:v>
      </x:c>
      <x:c r="K1002" s="2" t="str">
        <x:v>2</x:v>
      </x:c>
      <x:c r="L1002" s="2" t="str">
        <x:v>3</x:v>
      </x:c>
      <x:c r="M1002" s="2" t="str">
        <x:v>2</x:v>
      </x:c>
      <x:c r="N1002" s="2" t="str">
        <x:v>1</x:v>
      </x:c>
      <x:c r="O1002" s="2" t="str">
        <x:v>0</x:v>
      </x:c>
      <x:c r="P1002" s="2" t="str">
        <x:v>true</x:v>
      </x:c>
      <x:c r="Q1002" s="2" t="str">
        <x:v>-34.296913429;-34.296913429</x:v>
      </x:c>
      <x:c r="R1002" s="2" t="str">
        <x:v>0.43695799831766635</x:v>
      </x:c>
      <x:c r="S1002" s="2" t="str">
        <x:v>46.306522385339576</x:v>
      </x:c>
    </x:row>
    <x:row r="1003">
      <x:c r="A1003" s="2" t="str">
        <x:v>DE-CMP-01</x:v>
      </x:c>
      <x:c r="B1003" s="2" t="str">
        <x:v>CFG-C01</x:v>
      </x:c>
      <x:c r="C1003" s="2" t="n">
        <x:v>46227.70238086805</x:v>
      </x:c>
      <x:c r="D1003" s="2" t="str">
        <x:v>os_cfar</x:v>
      </x:c>
      <x:c r="E1003" s="2" t="str">
        <x:v>closely_spaced_carriers</x:v>
      </x:c>
      <x:c r="F1003" s="2" t="str">
        <x:v>501</x:v>
      </x:c>
      <x:c r="G1003" s="2" t="str">
        <x:v>3154204</x:v>
      </x:c>
      <x:c r="H1003" s="2" t="str">
        <x:v>2048000.0</x:v>
      </x:c>
      <x:c r="I1003" s="2" t="str">
        <x:v>8192</x:v>
      </x:c>
      <x:c r="J1003" s="2" t="str">
        <x:v>250.0</x:v>
      </x:c>
      <x:c r="K1003" s="2" t="str">
        <x:v>2</x:v>
      </x:c>
      <x:c r="L1003" s="2" t="str">
        <x:v>3</x:v>
      </x:c>
      <x:c r="M1003" s="2" t="str">
        <x:v>2</x:v>
      </x:c>
      <x:c r="N1003" s="2" t="str">
        <x:v>1</x:v>
      </x:c>
      <x:c r="O1003" s="2" t="str">
        <x:v>0</x:v>
      </x:c>
      <x:c r="P1003" s="2" t="str">
        <x:v>true</x:v>
      </x:c>
      <x:c r="Q1003" s="2" t="str">
        <x:v>-34.296913429;-34.296913429</x:v>
      </x:c>
      <x:c r="R1003" s="2" t="str">
        <x:v>13.842208994901739</x:v>
      </x:c>
      <x:c r="S1003" s="2" t="str">
        <x:v>48.183247196586414</x:v>
      </x:c>
    </x:row>
    <x:row r="1004">
      <x:c r="A1004" s="2" t="str">
        <x:v>DE-CMP-01</x:v>
      </x:c>
      <x:c r="B1004" s="2" t="str">
        <x:v>CFG-C01</x:v>
      </x:c>
      <x:c r="C1004" s="2" t="n">
        <x:v>46227.70238086805</x:v>
      </x:c>
      <x:c r="D1004" s="2" t="str">
        <x:v>os_cfar</x:v>
      </x:c>
      <x:c r="E1004" s="2" t="str">
        <x:v>closely_spaced_carriers</x:v>
      </x:c>
      <x:c r="F1004" s="2" t="str">
        <x:v>502</x:v>
      </x:c>
      <x:c r="G1004" s="2" t="str">
        <x:v>3154205</x:v>
      </x:c>
      <x:c r="H1004" s="2" t="str">
        <x:v>2048000.0</x:v>
      </x:c>
      <x:c r="I1004" s="2" t="str">
        <x:v>8192</x:v>
      </x:c>
      <x:c r="J1004" s="2" t="str">
        <x:v>250.0</x:v>
      </x:c>
      <x:c r="K1004" s="2" t="str">
        <x:v>2</x:v>
      </x:c>
      <x:c r="L1004" s="2" t="str">
        <x:v>3</x:v>
      </x:c>
      <x:c r="M1004" s="2" t="str">
        <x:v>2</x:v>
      </x:c>
      <x:c r="N1004" s="2" t="str">
        <x:v>1</x:v>
      </x:c>
      <x:c r="O1004" s="2" t="str">
        <x:v>0</x:v>
      </x:c>
      <x:c r="P1004" s="2" t="str">
        <x:v>true</x:v>
      </x:c>
      <x:c r="Q1004" s="2" t="str">
        <x:v>34.437514596;34.437514596</x:v>
      </x:c>
      <x:c r="R1004" s="2" t="str">
        <x:v>13.839708000887185</x:v>
      </x:c>
      <x:c r="S1004" s="2" t="str">
        <x:v>48.26977082394039</x:v>
      </x:c>
    </x:row>
    <x:row r="1005">
      <x:c r="A1005" s="2" t="str">
        <x:v>DE-CMP-01</x:v>
      </x:c>
      <x:c r="B1005" s="2" t="str">
        <x:v>CFG-C01</x:v>
      </x:c>
      <x:c r="C1005" s="2" t="n">
        <x:v>46227.70238086805</x:v>
      </x:c>
      <x:c r="D1005" s="2" t="str">
        <x:v>adaptive</x:v>
      </x:c>
      <x:c r="E1005" s="2" t="str">
        <x:v>closely_spaced_carriers</x:v>
      </x:c>
      <x:c r="F1005" s="2" t="str">
        <x:v>502</x:v>
      </x:c>
      <x:c r="G1005" s="2" t="str">
        <x:v>3154205</x:v>
      </x:c>
      <x:c r="H1005" s="2" t="str">
        <x:v>2048000.0</x:v>
      </x:c>
      <x:c r="I1005" s="2" t="str">
        <x:v>8192</x:v>
      </x:c>
      <x:c r="J1005" s="2" t="str">
        <x:v>250.0</x:v>
      </x:c>
      <x:c r="K1005" s="2" t="str">
        <x:v>2</x:v>
      </x:c>
      <x:c r="L1005" s="2" t="str">
        <x:v>3</x:v>
      </x:c>
      <x:c r="M1005" s="2" t="str">
        <x:v>2</x:v>
      </x:c>
      <x:c r="N1005" s="2" t="str">
        <x:v>1</x:v>
      </x:c>
      <x:c r="O1005" s="2" t="str">
        <x:v>0</x:v>
      </x:c>
      <x:c r="P1005" s="2" t="str">
        <x:v>true</x:v>
      </x:c>
      <x:c r="Q1005" s="2" t="str">
        <x:v>34.437514596;34.437514596</x:v>
      </x:c>
      <x:c r="R1005" s="2" t="str">
        <x:v>0.41254100506193936</x:v>
      </x:c>
      <x:c r="S1005" s="2" t="str">
        <x:v>46.59121084382108</x:v>
      </x:c>
    </x:row>
    <x:row r="1006">
      <x:c r="A1006" s="2" t="str">
        <x:v>DE-CMP-01</x:v>
      </x:c>
      <x:c r="B1006" s="2" t="str">
        <x:v>CFG-C01</x:v>
      </x:c>
      <x:c r="C1006" s="2" t="n">
        <x:v>46227.70238086805</x:v>
      </x:c>
      <x:c r="D1006" s="2" t="str">
        <x:v>adaptive</x:v>
      </x:c>
      <x:c r="E1006" s="2" t="str">
        <x:v>closely_spaced_carriers</x:v>
      </x:c>
      <x:c r="F1006" s="2" t="str">
        <x:v>503</x:v>
      </x:c>
      <x:c r="G1006" s="2" t="str">
        <x:v>3154206</x:v>
      </x:c>
      <x:c r="H1006" s="2" t="str">
        <x:v>2048000.0</x:v>
      </x:c>
      <x:c r="I1006" s="2" t="str">
        <x:v>8192</x:v>
      </x:c>
      <x:c r="J1006" s="2" t="str">
        <x:v>250.0</x:v>
      </x:c>
      <x:c r="K1006" s="2" t="str">
        <x:v>2</x:v>
      </x:c>
      <x:c r="L1006" s="2" t="str">
        <x:v>3</x:v>
      </x:c>
      <x:c r="M1006" s="2" t="str">
        <x:v>2</x:v>
      </x:c>
      <x:c r="N1006" s="2" t="str">
        <x:v>1</x:v>
      </x:c>
      <x:c r="O1006" s="2" t="str">
        <x:v>0</x:v>
      </x:c>
      <x:c r="P1006" s="2" t="str">
        <x:v>true</x:v>
      </x:c>
      <x:c r="Q1006" s="2" t="str">
        <x:v>-21.112848215;-21.112848215</x:v>
      </x:c>
      <x:c r="R1006" s="2" t="str">
        <x:v>0.4260419955244288</x:v>
      </x:c>
      <x:c r="S1006" s="2" t="str">
        <x:v>46.666532912859495</x:v>
      </x:c>
    </x:row>
    <x:row r="1007">
      <x:c r="A1007" s="2" t="str">
        <x:v>DE-CMP-01</x:v>
      </x:c>
      <x:c r="B1007" s="2" t="str">
        <x:v>CFG-C01</x:v>
      </x:c>
      <x:c r="C1007" s="2" t="n">
        <x:v>46227.70238086805</x:v>
      </x:c>
      <x:c r="D1007" s="2" t="str">
        <x:v>os_cfar</x:v>
      </x:c>
      <x:c r="E1007" s="2" t="str">
        <x:v>closely_spaced_carriers</x:v>
      </x:c>
      <x:c r="F1007" s="2" t="str">
        <x:v>503</x:v>
      </x:c>
      <x:c r="G1007" s="2" t="str">
        <x:v>3154206</x:v>
      </x:c>
      <x:c r="H1007" s="2" t="str">
        <x:v>2048000.0</x:v>
      </x:c>
      <x:c r="I1007" s="2" t="str">
        <x:v>8192</x:v>
      </x:c>
      <x:c r="J1007" s="2" t="str">
        <x:v>250.0</x:v>
      </x:c>
      <x:c r="K1007" s="2" t="str">
        <x:v>2</x:v>
      </x:c>
      <x:c r="L1007" s="2" t="str">
        <x:v>3</x:v>
      </x:c>
      <x:c r="M1007" s="2" t="str">
        <x:v>2</x:v>
      </x:c>
      <x:c r="N1007" s="2" t="str">
        <x:v>1</x:v>
      </x:c>
      <x:c r="O1007" s="2" t="str">
        <x:v>0</x:v>
      </x:c>
      <x:c r="P1007" s="2" t="str">
        <x:v>true</x:v>
      </x:c>
      <x:c r="Q1007" s="2" t="str">
        <x:v>-21.112848215;-21.112848215</x:v>
      </x:c>
      <x:c r="R1007" s="2" t="str">
        <x:v>13.68420899962075</x:v>
      </x:c>
      <x:c r="S1007" s="2" t="str">
        <x:v>48.34506196470659</x:v>
      </x:c>
    </x:row>
    <x:row r="1008">
      <x:c r="A1008" s="2" t="str">
        <x:v>DE-CMP-01</x:v>
      </x:c>
      <x:c r="B1008" s="2" t="str">
        <x:v>CFG-C01</x:v>
      </x:c>
      <x:c r="C1008" s="2" t="n">
        <x:v>46227.70238086805</x:v>
      </x:c>
      <x:c r="D1008" s="2" t="str">
        <x:v>os_cfar</x:v>
      </x:c>
      <x:c r="E1008" s="2" t="str">
        <x:v>closely_spaced_carriers</x:v>
      </x:c>
      <x:c r="F1008" s="2" t="str">
        <x:v>504</x:v>
      </x:c>
      <x:c r="G1008" s="2" t="str">
        <x:v>3154207</x:v>
      </x:c>
      <x:c r="H1008" s="2" t="str">
        <x:v>2048000.0</x:v>
      </x:c>
      <x:c r="I1008" s="2" t="str">
        <x:v>8192</x:v>
      </x:c>
      <x:c r="J1008" s="2" t="str">
        <x:v>250.0</x:v>
      </x:c>
      <x:c r="K1008" s="2" t="str">
        <x:v>2</x:v>
      </x:c>
      <x:c r="L1008" s="2" t="str">
        <x:v>3</x:v>
      </x:c>
      <x:c r="M1008" s="2" t="str">
        <x:v>2</x:v>
      </x:c>
      <x:c r="N1008" s="2" t="str">
        <x:v>1</x:v>
      </x:c>
      <x:c r="O1008" s="2" t="str">
        <x:v>0</x:v>
      </x:c>
      <x:c r="P1008" s="2" t="str">
        <x:v>true</x:v>
      </x:c>
      <x:c r="Q1008" s="2" t="str">
        <x:v>17.180020092;17.180020092</x:v>
      </x:c>
      <x:c r="R1008" s="2" t="str">
        <x:v>13.787207994027995</x:v>
      </x:c>
      <x:c r="S1008" s="2" t="str">
        <x:v>48.217933086037995</x:v>
      </x:c>
    </x:row>
    <x:row r="1009">
      <x:c r="A1009" s="2" t="str">
        <x:v>DE-CMP-01</x:v>
      </x:c>
      <x:c r="B1009" s="2" t="str">
        <x:v>CFG-C01</x:v>
      </x:c>
      <x:c r="C1009" s="2" t="n">
        <x:v>46227.70238086805</x:v>
      </x:c>
      <x:c r="D1009" s="2" t="str">
        <x:v>adaptive</x:v>
      </x:c>
      <x:c r="E1009" s="2" t="str">
        <x:v>closely_spaced_carriers</x:v>
      </x:c>
      <x:c r="F1009" s="2" t="str">
        <x:v>504</x:v>
      </x:c>
      <x:c r="G1009" s="2" t="str">
        <x:v>3154207</x:v>
      </x:c>
      <x:c r="H1009" s="2" t="str">
        <x:v>2048000.0</x:v>
      </x:c>
      <x:c r="I1009" s="2" t="str">
        <x:v>8192</x:v>
      </x:c>
      <x:c r="J1009" s="2" t="str">
        <x:v>250.0</x:v>
      </x:c>
      <x:c r="K1009" s="2" t="str">
        <x:v>2</x:v>
      </x:c>
      <x:c r="L1009" s="2" t="str">
        <x:v>3</x:v>
      </x:c>
      <x:c r="M1009" s="2" t="str">
        <x:v>2</x:v>
      </x:c>
      <x:c r="N1009" s="2" t="str">
        <x:v>1</x:v>
      </x:c>
      <x:c r="O1009" s="2" t="str">
        <x:v>0</x:v>
      </x:c>
      <x:c r="P1009" s="2" t="str">
        <x:v>true</x:v>
      </x:c>
      <x:c r="Q1009" s="2" t="str">
        <x:v>17.180020092;17.180020092</x:v>
      </x:c>
      <x:c r="R1009" s="2" t="str">
        <x:v>0.41395900188945234</x:v>
      </x:c>
      <x:c r="S1009" s="2" t="str">
        <x:v>46.50989998018781</x:v>
      </x:c>
    </x:row>
    <x:row r="1010">
      <x:c r="A1010" s="2" t="str">
        <x:v>DE-CMP-01</x:v>
      </x:c>
      <x:c r="B1010" s="2" t="str">
        <x:v>CFG-C01</x:v>
      </x:c>
      <x:c r="C1010" s="2" t="n">
        <x:v>46227.70238086805</x:v>
      </x:c>
      <x:c r="D1010" s="2" t="str">
        <x:v>adaptive</x:v>
      </x:c>
      <x:c r="E1010" s="2" t="str">
        <x:v>closely_spaced_carriers</x:v>
      </x:c>
      <x:c r="F1010" s="2" t="str">
        <x:v>505</x:v>
      </x:c>
      <x:c r="G1010" s="2" t="str">
        <x:v>3154208</x:v>
      </x:c>
      <x:c r="H1010" s="2" t="str">
        <x:v>2048000.0</x:v>
      </x:c>
      <x:c r="I1010" s="2" t="str">
        <x:v>8192</x:v>
      </x:c>
      <x:c r="J1010" s="2" t="str">
        <x:v>250.0</x:v>
      </x:c>
      <x:c r="K1010" s="2" t="str">
        <x:v>2</x:v>
      </x:c>
      <x:c r="L1010" s="2" t="str">
        <x:v>3</x:v>
      </x:c>
      <x:c r="M1010" s="2" t="str">
        <x:v>2</x:v>
      </x:c>
      <x:c r="N1010" s="2" t="str">
        <x:v>1</x:v>
      </x:c>
      <x:c r="O1010" s="2" t="str">
        <x:v>0</x:v>
      </x:c>
      <x:c r="P1010" s="2" t="str">
        <x:v>true</x:v>
      </x:c>
      <x:c r="Q1010" s="2" t="str">
        <x:v>110.228566897;110.228566897</x:v>
      </x:c>
      <x:c r="R1010" s="2" t="str">
        <x:v>0.4228750040056184</x:v>
      </x:c>
      <x:c r="S1010" s="2" t="str">
        <x:v>46.143463145120556</x:v>
      </x:c>
    </x:row>
    <x:row r="1011">
      <x:c r="A1011" s="2" t="str">
        <x:v>DE-CMP-01</x:v>
      </x:c>
      <x:c r="B1011" s="2" t="str">
        <x:v>CFG-C01</x:v>
      </x:c>
      <x:c r="C1011" s="2" t="n">
        <x:v>46227.70238086805</x:v>
      </x:c>
      <x:c r="D1011" s="2" t="str">
        <x:v>os_cfar</x:v>
      </x:c>
      <x:c r="E1011" s="2" t="str">
        <x:v>closely_spaced_carriers</x:v>
      </x:c>
      <x:c r="F1011" s="2" t="str">
        <x:v>505</x:v>
      </x:c>
      <x:c r="G1011" s="2" t="str">
        <x:v>3154208</x:v>
      </x:c>
      <x:c r="H1011" s="2" t="str">
        <x:v>2048000.0</x:v>
      </x:c>
      <x:c r="I1011" s="2" t="str">
        <x:v>8192</x:v>
      </x:c>
      <x:c r="J1011" s="2" t="str">
        <x:v>250.0</x:v>
      </x:c>
      <x:c r="K1011" s="2" t="str">
        <x:v>2</x:v>
      </x:c>
      <x:c r="L1011" s="2" t="str">
        <x:v>3</x:v>
      </x:c>
      <x:c r="M1011" s="2" t="str">
        <x:v>2</x:v>
      </x:c>
      <x:c r="N1011" s="2" t="str">
        <x:v>1</x:v>
      </x:c>
      <x:c r="O1011" s="2" t="str">
        <x:v>0</x:v>
      </x:c>
      <x:c r="P1011" s="2" t="str">
        <x:v>true</x:v>
      </x:c>
      <x:c r="Q1011" s="2" t="str">
        <x:v>110.228566897;110.228566897</x:v>
      </x:c>
      <x:c r="R1011" s="2" t="str">
        <x:v>13.743791991146281</x:v>
      </x:c>
      <x:c r="S1011" s="2" t="str">
        <x:v>48.13196103996646</x:v>
      </x:c>
    </x:row>
    <x:row r="1012">
      <x:c r="A1012" s="2" t="str">
        <x:v>DE-CMP-01</x:v>
      </x:c>
      <x:c r="B1012" s="2" t="str">
        <x:v>CFG-C01</x:v>
      </x:c>
      <x:c r="C1012" s="2" t="n">
        <x:v>46227.70238086805</x:v>
      </x:c>
      <x:c r="D1012" s="2" t="str">
        <x:v>os_cfar</x:v>
      </x:c>
      <x:c r="E1012" s="2" t="str">
        <x:v>closely_spaced_carriers</x:v>
      </x:c>
      <x:c r="F1012" s="2" t="str">
        <x:v>506</x:v>
      </x:c>
      <x:c r="G1012" s="2" t="str">
        <x:v>3154209</x:v>
      </x:c>
      <x:c r="H1012" s="2" t="str">
        <x:v>2048000.0</x:v>
      </x:c>
      <x:c r="I1012" s="2" t="str">
        <x:v>8192</x:v>
      </x:c>
      <x:c r="J1012" s="2" t="str">
        <x:v>250.0</x:v>
      </x:c>
      <x:c r="K1012" s="2" t="str">
        <x:v>2</x:v>
      </x:c>
      <x:c r="L1012" s="2" t="str">
        <x:v>3</x:v>
      </x:c>
      <x:c r="M1012" s="2" t="str">
        <x:v>2</x:v>
      </x:c>
      <x:c r="N1012" s="2" t="str">
        <x:v>1</x:v>
      </x:c>
      <x:c r="O1012" s="2" t="str">
        <x:v>0</x:v>
      </x:c>
      <x:c r="P1012" s="2" t="str">
        <x:v>true</x:v>
      </x:c>
      <x:c r="Q1012" s="2" t="str">
        <x:v>-2.617070548;-2.617070548</x:v>
      </x:c>
      <x:c r="R1012" s="2" t="str">
        <x:v>13.857791011105292</x:v>
      </x:c>
      <x:c r="S1012" s="2" t="str">
        <x:v>48.250042961972255</x:v>
      </x:c>
    </x:row>
    <x:row r="1013">
      <x:c r="A1013" s="2" t="str">
        <x:v>DE-CMP-01</x:v>
      </x:c>
      <x:c r="B1013" s="2" t="str">
        <x:v>CFG-C01</x:v>
      </x:c>
      <x:c r="C1013" s="2" t="n">
        <x:v>46227.70238086805</x:v>
      </x:c>
      <x:c r="D1013" s="2" t="str">
        <x:v>adaptive</x:v>
      </x:c>
      <x:c r="E1013" s="2" t="str">
        <x:v>closely_spaced_carriers</x:v>
      </x:c>
      <x:c r="F1013" s="2" t="str">
        <x:v>506</x:v>
      </x:c>
      <x:c r="G1013" s="2" t="str">
        <x:v>3154209</x:v>
      </x:c>
      <x:c r="H1013" s="2" t="str">
        <x:v>2048000.0</x:v>
      </x:c>
      <x:c r="I1013" s="2" t="str">
        <x:v>8192</x:v>
      </x:c>
      <x:c r="J1013" s="2" t="str">
        <x:v>250.0</x:v>
      </x:c>
      <x:c r="K1013" s="2" t="str">
        <x:v>2</x:v>
      </x:c>
      <x:c r="L1013" s="2" t="str">
        <x:v>3</x:v>
      </x:c>
      <x:c r="M1013" s="2" t="str">
        <x:v>2</x:v>
      </x:c>
      <x:c r="N1013" s="2" t="str">
        <x:v>1</x:v>
      </x:c>
      <x:c r="O1013" s="2" t="str">
        <x:v>0</x:v>
      </x:c>
      <x:c r="P1013" s="2" t="str">
        <x:v>true</x:v>
      </x:c>
      <x:c r="Q1013" s="2" t="str">
        <x:v>-2.617070548;-2.617070548</x:v>
      </x:c>
      <x:c r="R1013" s="2" t="str">
        <x:v>0.42962499719578773</x:v>
      </x:c>
      <x:c r="S1013" s="2" t="str">
        <x:v>46.57667709292612</x:v>
      </x:c>
    </x:row>
    <x:row r="1014">
      <x:c r="A1014" s="2" t="str">
        <x:v>DE-CMP-01</x:v>
      </x:c>
      <x:c r="B1014" s="2" t="str">
        <x:v>CFG-C01</x:v>
      </x:c>
      <x:c r="C1014" s="2" t="n">
        <x:v>46227.70238086805</x:v>
      </x:c>
      <x:c r="D1014" s="2" t="str">
        <x:v>adaptive</x:v>
      </x:c>
      <x:c r="E1014" s="2" t="str">
        <x:v>closely_spaced_carriers</x:v>
      </x:c>
      <x:c r="F1014" s="2" t="str">
        <x:v>507</x:v>
      </x:c>
      <x:c r="G1014" s="2" t="str">
        <x:v>3154210</x:v>
      </x:c>
      <x:c r="H1014" s="2" t="str">
        <x:v>2048000.0</x:v>
      </x:c>
      <x:c r="I1014" s="2" t="str">
        <x:v>8192</x:v>
      </x:c>
      <x:c r="J1014" s="2" t="str">
        <x:v>250.0</x:v>
      </x:c>
      <x:c r="K1014" s="2" t="str">
        <x:v>2</x:v>
      </x:c>
      <x:c r="L1014" s="2" t="str">
        <x:v>3</x:v>
      </x:c>
      <x:c r="M1014" s="2" t="str">
        <x:v>2</x:v>
      </x:c>
      <x:c r="N1014" s="2" t="str">
        <x:v>1</x:v>
      </x:c>
      <x:c r="O1014" s="2" t="str">
        <x:v>0</x:v>
      </x:c>
      <x:c r="P1014" s="2" t="str">
        <x:v>true</x:v>
      </x:c>
      <x:c r="Q1014" s="2" t="str">
        <x:v>-101.869460230;-101.869460230</x:v>
      </x:c>
      <x:c r="R1014" s="2" t="str">
        <x:v>0.4097909986739978</x:v>
      </x:c>
      <x:c r="S1014" s="2" t="str">
        <x:v>46.28283877338276</x:v>
      </x:c>
    </x:row>
    <x:row r="1015">
      <x:c r="A1015" s="2" t="str">
        <x:v>DE-CMP-01</x:v>
      </x:c>
      <x:c r="B1015" s="2" t="str">
        <x:v>CFG-C01</x:v>
      </x:c>
      <x:c r="C1015" s="2" t="n">
        <x:v>46227.70238086805</x:v>
      </x:c>
      <x:c r="D1015" s="2" t="str">
        <x:v>os_cfar</x:v>
      </x:c>
      <x:c r="E1015" s="2" t="str">
        <x:v>closely_spaced_carriers</x:v>
      </x:c>
      <x:c r="F1015" s="2" t="str">
        <x:v>507</x:v>
      </x:c>
      <x:c r="G1015" s="2" t="str">
        <x:v>3154210</x:v>
      </x:c>
      <x:c r="H1015" s="2" t="str">
        <x:v>2048000.0</x:v>
      </x:c>
      <x:c r="I1015" s="2" t="str">
        <x:v>8192</x:v>
      </x:c>
      <x:c r="J1015" s="2" t="str">
        <x:v>250.0</x:v>
      </x:c>
      <x:c r="K1015" s="2" t="str">
        <x:v>2</x:v>
      </x:c>
      <x:c r="L1015" s="2" t="str">
        <x:v>3</x:v>
      </x:c>
      <x:c r="M1015" s="2" t="str">
        <x:v>2</x:v>
      </x:c>
      <x:c r="N1015" s="2" t="str">
        <x:v>1</x:v>
      </x:c>
      <x:c r="O1015" s="2" t="str">
        <x:v>0</x:v>
      </x:c>
      <x:c r="P1015" s="2" t="str">
        <x:v>true</x:v>
      </x:c>
      <x:c r="Q1015" s="2" t="str">
        <x:v>-101.869460230;-101.869460230</x:v>
      </x:c>
      <x:c r="R1015" s="2" t="str">
        <x:v>13.861542000086047</x:v>
      </x:c>
      <x:c r="S1015" s="2" t="str">
        <x:v>48.257171854663106</x:v>
      </x:c>
    </x:row>
    <x:row r="1016">
      <x:c r="A1016" s="2" t="str">
        <x:v>DE-CMP-01</x:v>
      </x:c>
      <x:c r="B1016" s="2" t="str">
        <x:v>CFG-C01</x:v>
      </x:c>
      <x:c r="C1016" s="2" t="n">
        <x:v>46227.70238086805</x:v>
      </x:c>
      <x:c r="D1016" s="2" t="str">
        <x:v>os_cfar</x:v>
      </x:c>
      <x:c r="E1016" s="2" t="str">
        <x:v>closely_spaced_carriers</x:v>
      </x:c>
      <x:c r="F1016" s="2" t="str">
        <x:v>508</x:v>
      </x:c>
      <x:c r="G1016" s="2" t="str">
        <x:v>3154211</x:v>
      </x:c>
      <x:c r="H1016" s="2" t="str">
        <x:v>2048000.0</x:v>
      </x:c>
      <x:c r="I1016" s="2" t="str">
        <x:v>8192</x:v>
      </x:c>
      <x:c r="J1016" s="2" t="str">
        <x:v>250.0</x:v>
      </x:c>
      <x:c r="K1016" s="2" t="str">
        <x:v>2</x:v>
      </x:c>
      <x:c r="L1016" s="2" t="str">
        <x:v>3</x:v>
      </x:c>
      <x:c r="M1016" s="2" t="str">
        <x:v>2</x:v>
      </x:c>
      <x:c r="N1016" s="2" t="str">
        <x:v>1</x:v>
      </x:c>
      <x:c r="O1016" s="2" t="str">
        <x:v>0</x:v>
      </x:c>
      <x:c r="P1016" s="2" t="str">
        <x:v>true</x:v>
      </x:c>
      <x:c r="Q1016" s="2" t="str">
        <x:v>-98.248780398;-98.248780398</x:v>
      </x:c>
      <x:c r="R1016" s="2" t="str">
        <x:v>13.65037499635946</x:v>
      </x:c>
      <x:c r="S1016" s="2" t="str">
        <x:v>48.16893450550707</x:v>
      </x:c>
    </x:row>
    <x:row r="1017">
      <x:c r="A1017" s="2" t="str">
        <x:v>DE-CMP-01</x:v>
      </x:c>
      <x:c r="B1017" s="2" t="str">
        <x:v>CFG-C01</x:v>
      </x:c>
      <x:c r="C1017" s="2" t="n">
        <x:v>46227.70238086805</x:v>
      </x:c>
      <x:c r="D1017" s="2" t="str">
        <x:v>adaptive</x:v>
      </x:c>
      <x:c r="E1017" s="2" t="str">
        <x:v>closely_spaced_carriers</x:v>
      </x:c>
      <x:c r="F1017" s="2" t="str">
        <x:v>508</x:v>
      </x:c>
      <x:c r="G1017" s="2" t="str">
        <x:v>3154211</x:v>
      </x:c>
      <x:c r="H1017" s="2" t="str">
        <x:v>2048000.0</x:v>
      </x:c>
      <x:c r="I1017" s="2" t="str">
        <x:v>8192</x:v>
      </x:c>
      <x:c r="J1017" s="2" t="str">
        <x:v>250.0</x:v>
      </x:c>
      <x:c r="K1017" s="2" t="str">
        <x:v>2</x:v>
      </x:c>
      <x:c r="L1017" s="2" t="str">
        <x:v>3</x:v>
      </x:c>
      <x:c r="M1017" s="2" t="str">
        <x:v>2</x:v>
      </x:c>
      <x:c r="N1017" s="2" t="str">
        <x:v>1</x:v>
      </x:c>
      <x:c r="O1017" s="2" t="str">
        <x:v>0</x:v>
      </x:c>
      <x:c r="P1017" s="2" t="str">
        <x:v>true</x:v>
      </x:c>
      <x:c r="Q1017" s="2" t="str">
        <x:v>-98.248780398;-98.248780398</x:v>
      </x:c>
      <x:c r="R1017" s="2" t="str">
        <x:v>0.5080839910078794</x:v>
      </x:c>
      <x:c r="S1017" s="2" t="str">
        <x:v>46.14382514494935</x:v>
      </x:c>
    </x:row>
    <x:row r="1018">
      <x:c r="A1018" s="2" t="str">
        <x:v>DE-CMP-01</x:v>
      </x:c>
      <x:c r="B1018" s="2" t="str">
        <x:v>CFG-C01</x:v>
      </x:c>
      <x:c r="C1018" s="2" t="n">
        <x:v>46227.70238086805</x:v>
      </x:c>
      <x:c r="D1018" s="2" t="str">
        <x:v>adaptive</x:v>
      </x:c>
      <x:c r="E1018" s="2" t="str">
        <x:v>closely_spaced_carriers</x:v>
      </x:c>
      <x:c r="F1018" s="2" t="str">
        <x:v>509</x:v>
      </x:c>
      <x:c r="G1018" s="2" t="str">
        <x:v>3154212</x:v>
      </x:c>
      <x:c r="H1018" s="2" t="str">
        <x:v>2048000.0</x:v>
      </x:c>
      <x:c r="I1018" s="2" t="str">
        <x:v>8192</x:v>
      </x:c>
      <x:c r="J1018" s="2" t="str">
        <x:v>250.0</x:v>
      </x:c>
      <x:c r="K1018" s="2" t="str">
        <x:v>2</x:v>
      </x:c>
      <x:c r="L1018" s="2" t="str">
        <x:v>3</x:v>
      </x:c>
      <x:c r="M1018" s="2" t="str">
        <x:v>2</x:v>
      </x:c>
      <x:c r="N1018" s="2" t="str">
        <x:v>1</x:v>
      </x:c>
      <x:c r="O1018" s="2" t="str">
        <x:v>0</x:v>
      </x:c>
      <x:c r="P1018" s="2" t="str">
        <x:v>true</x:v>
      </x:c>
      <x:c r="Q1018" s="2" t="str">
        <x:v>33.148251576;33.148251576</x:v>
      </x:c>
      <x:c r="R1018" s="2" t="str">
        <x:v>0.5069170001661405</x:v>
      </x:c>
      <x:c r="S1018" s="2" t="str">
        <x:v>46.35458564651459</x:v>
      </x:c>
    </x:row>
    <x:row r="1019">
      <x:c r="A1019" s="2" t="str">
        <x:v>DE-CMP-01</x:v>
      </x:c>
      <x:c r="B1019" s="2" t="str">
        <x:v>CFG-C01</x:v>
      </x:c>
      <x:c r="C1019" s="2" t="n">
        <x:v>46227.70238086805</x:v>
      </x:c>
      <x:c r="D1019" s="2" t="str">
        <x:v>os_cfar</x:v>
      </x:c>
      <x:c r="E1019" s="2" t="str">
        <x:v>closely_spaced_carriers</x:v>
      </x:c>
      <x:c r="F1019" s="2" t="str">
        <x:v>509</x:v>
      </x:c>
      <x:c r="G1019" s="2" t="str">
        <x:v>3154212</x:v>
      </x:c>
      <x:c r="H1019" s="2" t="str">
        <x:v>2048000.0</x:v>
      </x:c>
      <x:c r="I1019" s="2" t="str">
        <x:v>8192</x:v>
      </x:c>
      <x:c r="J1019" s="2" t="str">
        <x:v>250.0</x:v>
      </x:c>
      <x:c r="K1019" s="2" t="str">
        <x:v>2</x:v>
      </x:c>
      <x:c r="L1019" s="2" t="str">
        <x:v>3</x:v>
      </x:c>
      <x:c r="M1019" s="2" t="str">
        <x:v>2</x:v>
      </x:c>
      <x:c r="N1019" s="2" t="str">
        <x:v>1</x:v>
      </x:c>
      <x:c r="O1019" s="2" t="str">
        <x:v>0</x:v>
      </x:c>
      <x:c r="P1019" s="2" t="str">
        <x:v>true</x:v>
      </x:c>
      <x:c r="Q1019" s="2" t="str">
        <x:v>33.148251576;33.148251576</x:v>
      </x:c>
      <x:c r="R1019" s="2" t="str">
        <x:v>13.71208300406579</x:v>
      </x:c>
      <x:c r="S1019" s="2" t="str">
        <x:v>48.150743360969926</x:v>
      </x:c>
    </x:row>
    <x:row r="1020">
      <x:c r="A1020" s="2" t="str">
        <x:v>DE-CMP-01</x:v>
      </x:c>
      <x:c r="B1020" s="2" t="str">
        <x:v>CFG-C01</x:v>
      </x:c>
      <x:c r="C1020" s="2" t="n">
        <x:v>46227.70238086805</x:v>
      </x:c>
      <x:c r="D1020" s="2" t="str">
        <x:v>os_cfar</x:v>
      </x:c>
      <x:c r="E1020" s="2" t="str">
        <x:v>closely_spaced_carriers</x:v>
      </x:c>
      <x:c r="F1020" s="2" t="str">
        <x:v>510</x:v>
      </x:c>
      <x:c r="G1020" s="2" t="str">
        <x:v>3154213</x:v>
      </x:c>
      <x:c r="H1020" s="2" t="str">
        <x:v>2048000.0</x:v>
      </x:c>
      <x:c r="I1020" s="2" t="str">
        <x:v>8192</x:v>
      </x:c>
      <x:c r="J1020" s="2" t="str">
        <x:v>250.0</x:v>
      </x:c>
      <x:c r="K1020" s="2" t="str">
        <x:v>2</x:v>
      </x:c>
      <x:c r="L1020" s="2" t="str">
        <x:v>3</x:v>
      </x:c>
      <x:c r="M1020" s="2" t="str">
        <x:v>2</x:v>
      </x:c>
      <x:c r="N1020" s="2" t="str">
        <x:v>1</x:v>
      </x:c>
      <x:c r="O1020" s="2" t="str">
        <x:v>0</x:v>
      </x:c>
      <x:c r="P1020" s="2" t="str">
        <x:v>true</x:v>
      </x:c>
      <x:c r="Q1020" s="2" t="str">
        <x:v>-11.422208507;-11.422208507</x:v>
      </x:c>
      <x:c r="R1020" s="2" t="str">
        <x:v>13.792708996334113</x:v>
      </x:c>
      <x:c r="S1020" s="2" t="str">
        <x:v>48.187459539727996</x:v>
      </x:c>
    </x:row>
    <x:row r="1021">
      <x:c r="A1021" s="2" t="str">
        <x:v>DE-CMP-01</x:v>
      </x:c>
      <x:c r="B1021" s="2" t="str">
        <x:v>CFG-C01</x:v>
      </x:c>
      <x:c r="C1021" s="2" t="n">
        <x:v>46227.70238086805</x:v>
      </x:c>
      <x:c r="D1021" s="2" t="str">
        <x:v>adaptive</x:v>
      </x:c>
      <x:c r="E1021" s="2" t="str">
        <x:v>closely_spaced_carriers</x:v>
      </x:c>
      <x:c r="F1021" s="2" t="str">
        <x:v>510</x:v>
      </x:c>
      <x:c r="G1021" s="2" t="str">
        <x:v>3154213</x:v>
      </x:c>
      <x:c r="H1021" s="2" t="str">
        <x:v>2048000.0</x:v>
      </x:c>
      <x:c r="I1021" s="2" t="str">
        <x:v>8192</x:v>
      </x:c>
      <x:c r="J1021" s="2" t="str">
        <x:v>250.0</x:v>
      </x:c>
      <x:c r="K1021" s="2" t="str">
        <x:v>2</x:v>
      </x:c>
      <x:c r="L1021" s="2" t="str">
        <x:v>3</x:v>
      </x:c>
      <x:c r="M1021" s="2" t="str">
        <x:v>2</x:v>
      </x:c>
      <x:c r="N1021" s="2" t="str">
        <x:v>1</x:v>
      </x:c>
      <x:c r="O1021" s="2" t="str">
        <x:v>0</x:v>
      </x:c>
      <x:c r="P1021" s="2" t="str">
        <x:v>true</x:v>
      </x:c>
      <x:c r="Q1021" s="2" t="str">
        <x:v>-11.422208507;-11.422208507</x:v>
      </x:c>
      <x:c r="R1021" s="2" t="str">
        <x:v>0.4786670033354312</x:v>
      </x:c>
      <x:c r="S1021" s="2" t="str">
        <x:v>46.43420306090436</x:v>
      </x:c>
    </x:row>
    <x:row r="1022">
      <x:c r="A1022" s="2" t="str">
        <x:v>DE-CMP-01</x:v>
      </x:c>
      <x:c r="B1022" s="2" t="str">
        <x:v>CFG-C01</x:v>
      </x:c>
      <x:c r="C1022" s="2" t="n">
        <x:v>46227.70238086805</x:v>
      </x:c>
      <x:c r="D1022" s="2" t="str">
        <x:v>adaptive</x:v>
      </x:c>
      <x:c r="E1022" s="2" t="str">
        <x:v>closely_spaced_carriers</x:v>
      </x:c>
      <x:c r="F1022" s="2" t="str">
        <x:v>511</x:v>
      </x:c>
      <x:c r="G1022" s="2" t="str">
        <x:v>3154214</x:v>
      </x:c>
      <x:c r="H1022" s="2" t="str">
        <x:v>2048000.0</x:v>
      </x:c>
      <x:c r="I1022" s="2" t="str">
        <x:v>8192</x:v>
      </x:c>
      <x:c r="J1022" s="2" t="str">
        <x:v>250.0</x:v>
      </x:c>
      <x:c r="K1022" s="2" t="str">
        <x:v>2</x:v>
      </x:c>
      <x:c r="L1022" s="2" t="str">
        <x:v>3</x:v>
      </x:c>
      <x:c r="M1022" s="2" t="str">
        <x:v>2</x:v>
      </x:c>
      <x:c r="N1022" s="2" t="str">
        <x:v>1</x:v>
      </x:c>
      <x:c r="O1022" s="2" t="str">
        <x:v>0</x:v>
      </x:c>
      <x:c r="P1022" s="2" t="str">
        <x:v>true</x:v>
      </x:c>
      <x:c r="Q1022" s="2" t="str">
        <x:v>122.532625544;122.532625544</x:v>
      </x:c>
      <x:c r="R1022" s="2" t="str">
        <x:v>0.45154200051911175</x:v>
      </x:c>
      <x:c r="S1022" s="2" t="str">
        <x:v>46.31756628725885</x:v>
      </x:c>
    </x:row>
    <x:row r="1023">
      <x:c r="A1023" s="2" t="str">
        <x:v>DE-CMP-01</x:v>
      </x:c>
      <x:c r="B1023" s="2" t="str">
        <x:v>CFG-C01</x:v>
      </x:c>
      <x:c r="C1023" s="2" t="n">
        <x:v>46227.70238086805</x:v>
      </x:c>
      <x:c r="D1023" s="2" t="str">
        <x:v>os_cfar</x:v>
      </x:c>
      <x:c r="E1023" s="2" t="str">
        <x:v>closely_spaced_carriers</x:v>
      </x:c>
      <x:c r="F1023" s="2" t="str">
        <x:v>511</x:v>
      </x:c>
      <x:c r="G1023" s="2" t="str">
        <x:v>3154214</x:v>
      </x:c>
      <x:c r="H1023" s="2" t="str">
        <x:v>2048000.0</x:v>
      </x:c>
      <x:c r="I1023" s="2" t="str">
        <x:v>8192</x:v>
      </x:c>
      <x:c r="J1023" s="2" t="str">
        <x:v>250.0</x:v>
      </x:c>
      <x:c r="K1023" s="2" t="str">
        <x:v>2</x:v>
      </x:c>
      <x:c r="L1023" s="2" t="str">
        <x:v>3</x:v>
      </x:c>
      <x:c r="M1023" s="2" t="str">
        <x:v>2</x:v>
      </x:c>
      <x:c r="N1023" s="2" t="str">
        <x:v>1</x:v>
      </x:c>
      <x:c r="O1023" s="2" t="str">
        <x:v>0</x:v>
      </x:c>
      <x:c r="P1023" s="2" t="str">
        <x:v>true</x:v>
      </x:c>
      <x:c r="Q1023" s="2" t="str">
        <x:v>122.532625544;122.532625544</x:v>
      </x:c>
      <x:c r="R1023" s="2" t="str">
        <x:v>13.60999999451451</x:v>
      </x:c>
      <x:c r="S1023" s="2" t="str">
        <x:v>48.275587024061835</x:v>
      </x:c>
    </x:row>
    <x:row r="1024">
      <x:c r="A1024" s="2" t="str">
        <x:v>DE-CMP-01</x:v>
      </x:c>
      <x:c r="B1024" s="2" t="str">
        <x:v>CFG-C01</x:v>
      </x:c>
      <x:c r="C1024" s="2" t="n">
        <x:v>46227.70238086805</x:v>
      </x:c>
      <x:c r="D1024" s="2" t="str">
        <x:v>os_cfar</x:v>
      </x:c>
      <x:c r="E1024" s="2" t="str">
        <x:v>closely_spaced_carriers</x:v>
      </x:c>
      <x:c r="F1024" s="2" t="str">
        <x:v>512</x:v>
      </x:c>
      <x:c r="G1024" s="2" t="str">
        <x:v>3154215</x:v>
      </x:c>
      <x:c r="H1024" s="2" t="str">
        <x:v>2048000.0</x:v>
      </x:c>
      <x:c r="I1024" s="2" t="str">
        <x:v>8192</x:v>
      </x:c>
      <x:c r="J1024" s="2" t="str">
        <x:v>250.0</x:v>
      </x:c>
      <x:c r="K1024" s="2" t="str">
        <x:v>2</x:v>
      </x:c>
      <x:c r="L1024" s="2" t="str">
        <x:v>3</x:v>
      </x:c>
      <x:c r="M1024" s="2" t="str">
        <x:v>2</x:v>
      </x:c>
      <x:c r="N1024" s="2" t="str">
        <x:v>1</x:v>
      </x:c>
      <x:c r="O1024" s="2" t="str">
        <x:v>0</x:v>
      </x:c>
      <x:c r="P1024" s="2" t="str">
        <x:v>true</x:v>
      </x:c>
      <x:c r="Q1024" s="2" t="str">
        <x:v>124.724041547;-125.275958453</x:v>
      </x:c>
      <x:c r="R1024" s="2" t="str">
        <x:v>13.96237500011921</x:v>
      </x:c>
      <x:c r="S1024" s="2" t="str">
        <x:v>48.055654324821695</x:v>
      </x:c>
    </x:row>
    <x:row r="1025">
      <x:c r="A1025" s="2" t="str">
        <x:v>DE-CMP-01</x:v>
      </x:c>
      <x:c r="B1025" s="2" t="str">
        <x:v>CFG-C01</x:v>
      </x:c>
      <x:c r="C1025" s="2" t="n">
        <x:v>46227.70238086805</x:v>
      </x:c>
      <x:c r="D1025" s="2" t="str">
        <x:v>adaptive</x:v>
      </x:c>
      <x:c r="E1025" s="2" t="str">
        <x:v>closely_spaced_carriers</x:v>
      </x:c>
      <x:c r="F1025" s="2" t="str">
        <x:v>512</x:v>
      </x:c>
      <x:c r="G1025" s="2" t="str">
        <x:v>3154215</x:v>
      </x:c>
      <x:c r="H1025" s="2" t="str">
        <x:v>2048000.0</x:v>
      </x:c>
      <x:c r="I1025" s="2" t="str">
        <x:v>8192</x:v>
      </x:c>
      <x:c r="J1025" s="2" t="str">
        <x:v>250.0</x:v>
      </x:c>
      <x:c r="K1025" s="2" t="str">
        <x:v>2</x:v>
      </x:c>
      <x:c r="L1025" s="2" t="str">
        <x:v>3</x:v>
      </x:c>
      <x:c r="M1025" s="2" t="str">
        <x:v>2</x:v>
      </x:c>
      <x:c r="N1025" s="2" t="str">
        <x:v>1</x:v>
      </x:c>
      <x:c r="O1025" s="2" t="str">
        <x:v>0</x:v>
      </x:c>
      <x:c r="P1025" s="2" t="str">
        <x:v>true</x:v>
      </x:c>
      <x:c r="Q1025" s="2" t="str">
        <x:v>124.724041547;-125.275958453</x:v>
      </x:c>
      <x:c r="R1025" s="2" t="str">
        <x:v>0.45479199616238475</x:v>
      </x:c>
      <x:c r="S1025" s="2" t="str">
        <x:v>46.09067022199815</x:v>
      </x:c>
    </x:row>
    <x:row r="1026">
      <x:c r="A1026" s="2" t="str">
        <x:v>DE-CMP-01</x:v>
      </x:c>
      <x:c r="B1026" s="2" t="str">
        <x:v>CFG-C01</x:v>
      </x:c>
      <x:c r="C1026" s="2" t="n">
        <x:v>46227.70238086805</x:v>
      </x:c>
      <x:c r="D1026" s="2" t="str">
        <x:v>adaptive</x:v>
      </x:c>
      <x:c r="E1026" s="2" t="str">
        <x:v>closely_spaced_carriers</x:v>
      </x:c>
      <x:c r="F1026" s="2" t="str">
        <x:v>513</x:v>
      </x:c>
      <x:c r="G1026" s="2" t="str">
        <x:v>3154216</x:v>
      </x:c>
      <x:c r="H1026" s="2" t="str">
        <x:v>2048000.0</x:v>
      </x:c>
      <x:c r="I1026" s="2" t="str">
        <x:v>8192</x:v>
      </x:c>
      <x:c r="J1026" s="2" t="str">
        <x:v>250.0</x:v>
      </x:c>
      <x:c r="K1026" s="2" t="str">
        <x:v>2</x:v>
      </x:c>
      <x:c r="L1026" s="2" t="str">
        <x:v>3</x:v>
      </x:c>
      <x:c r="M1026" s="2" t="str">
        <x:v>2</x:v>
      </x:c>
      <x:c r="N1026" s="2" t="str">
        <x:v>1</x:v>
      </x:c>
      <x:c r="O1026" s="2" t="str">
        <x:v>0</x:v>
      </x:c>
      <x:c r="P1026" s="2" t="str">
        <x:v>true</x:v>
      </x:c>
      <x:c r="Q1026" s="2" t="str">
        <x:v>-2.014956131;-2.014956131</x:v>
      </x:c>
      <x:c r="R1026" s="2" t="str">
        <x:v>0.43229100992903113</x:v>
      </x:c>
      <x:c r="S1026" s="2" t="str">
        <x:v>46.299542063562775</x:v>
      </x:c>
    </x:row>
    <x:row r="1027">
      <x:c r="A1027" s="2" t="str">
        <x:v>DE-CMP-01</x:v>
      </x:c>
      <x:c r="B1027" s="2" t="str">
        <x:v>CFG-C01</x:v>
      </x:c>
      <x:c r="C1027" s="2" t="n">
        <x:v>46227.70238086805</x:v>
      </x:c>
      <x:c r="D1027" s="2" t="str">
        <x:v>os_cfar</x:v>
      </x:c>
      <x:c r="E1027" s="2" t="str">
        <x:v>closely_spaced_carriers</x:v>
      </x:c>
      <x:c r="F1027" s="2" t="str">
        <x:v>513</x:v>
      </x:c>
      <x:c r="G1027" s="2" t="str">
        <x:v>3154216</x:v>
      </x:c>
      <x:c r="H1027" s="2" t="str">
        <x:v>2048000.0</x:v>
      </x:c>
      <x:c r="I1027" s="2" t="str">
        <x:v>8192</x:v>
      </x:c>
      <x:c r="J1027" s="2" t="str">
        <x:v>250.0</x:v>
      </x:c>
      <x:c r="K1027" s="2" t="str">
        <x:v>2</x:v>
      </x:c>
      <x:c r="L1027" s="2" t="str">
        <x:v>3</x:v>
      </x:c>
      <x:c r="M1027" s="2" t="str">
        <x:v>2</x:v>
      </x:c>
      <x:c r="N1027" s="2" t="str">
        <x:v>1</x:v>
      </x:c>
      <x:c r="O1027" s="2" t="str">
        <x:v>0</x:v>
      </x:c>
      <x:c r="P1027" s="2" t="str">
        <x:v>true</x:v>
      </x:c>
      <x:c r="Q1027" s="2" t="str">
        <x:v>-2.014956131;-2.014956131</x:v>
      </x:c>
      <x:c r="R1027" s="2" t="str">
        <x:v>13.659583011758514</x:v>
      </x:c>
      <x:c r="S1027" s="2" t="str">
        <x:v>48.28075210506556</x:v>
      </x:c>
    </x:row>
    <x:row r="1028">
      <x:c r="A1028" s="2" t="str">
        <x:v>DE-CMP-01</x:v>
      </x:c>
      <x:c r="B1028" s="2" t="str">
        <x:v>CFG-C01</x:v>
      </x:c>
      <x:c r="C1028" s="2" t="n">
        <x:v>46227.70238086805</x:v>
      </x:c>
      <x:c r="D1028" s="2" t="str">
        <x:v>os_cfar</x:v>
      </x:c>
      <x:c r="E1028" s="2" t="str">
        <x:v>closely_spaced_carriers</x:v>
      </x:c>
      <x:c r="F1028" s="2" t="str">
        <x:v>514</x:v>
      </x:c>
      <x:c r="G1028" s="2" t="str">
        <x:v>3154217</x:v>
      </x:c>
      <x:c r="H1028" s="2" t="str">
        <x:v>2048000.0</x:v>
      </x:c>
      <x:c r="I1028" s="2" t="str">
        <x:v>8192</x:v>
      </x:c>
      <x:c r="J1028" s="2" t="str">
        <x:v>250.0</x:v>
      </x:c>
      <x:c r="K1028" s="2" t="str">
        <x:v>2</x:v>
      </x:c>
      <x:c r="L1028" s="2" t="str">
        <x:v>3</x:v>
      </x:c>
      <x:c r="M1028" s="2" t="str">
        <x:v>2</x:v>
      </x:c>
      <x:c r="N1028" s="2" t="str">
        <x:v>1</x:v>
      </x:c>
      <x:c r="O1028" s="2" t="str">
        <x:v>0</x:v>
      </x:c>
      <x:c r="P1028" s="2" t="str">
        <x:v>true</x:v>
      </x:c>
      <x:c r="Q1028" s="2" t="str">
        <x:v>-100.013924078;-100.013924078</x:v>
      </x:c>
      <x:c r="R1028" s="2" t="str">
        <x:v>13.734000007389113</x:v>
      </x:c>
      <x:c r="S1028" s="2" t="str">
        <x:v>48.351879208257984</x:v>
      </x:c>
    </x:row>
    <x:row r="1029">
      <x:c r="A1029" s="2" t="str">
        <x:v>DE-CMP-01</x:v>
      </x:c>
      <x:c r="B1029" s="2" t="str">
        <x:v>CFG-C01</x:v>
      </x:c>
      <x:c r="C1029" s="2" t="n">
        <x:v>46227.70238086805</x:v>
      </x:c>
      <x:c r="D1029" s="2" t="str">
        <x:v>adaptive</x:v>
      </x:c>
      <x:c r="E1029" s="2" t="str">
        <x:v>closely_spaced_carriers</x:v>
      </x:c>
      <x:c r="F1029" s="2" t="str">
        <x:v>514</x:v>
      </x:c>
      <x:c r="G1029" s="2" t="str">
        <x:v>3154217</x:v>
      </x:c>
      <x:c r="H1029" s="2" t="str">
        <x:v>2048000.0</x:v>
      </x:c>
      <x:c r="I1029" s="2" t="str">
        <x:v>8192</x:v>
      </x:c>
      <x:c r="J1029" s="2" t="str">
        <x:v>250.0</x:v>
      </x:c>
      <x:c r="K1029" s="2" t="str">
        <x:v>2</x:v>
      </x:c>
      <x:c r="L1029" s="2" t="str">
        <x:v>3</x:v>
      </x:c>
      <x:c r="M1029" s="2" t="str">
        <x:v>2</x:v>
      </x:c>
      <x:c r="N1029" s="2" t="str">
        <x:v>1</x:v>
      </x:c>
      <x:c r="O1029" s="2" t="str">
        <x:v>0</x:v>
      </x:c>
      <x:c r="P1029" s="2" t="str">
        <x:v>true</x:v>
      </x:c>
      <x:c r="Q1029" s="2" t="str">
        <x:v>-100.013924078;-100.013924078</x:v>
      </x:c>
      <x:c r="R1029" s="2" t="str">
        <x:v>0.4154579946771264</x:v>
      </x:c>
      <x:c r="S1029" s="2" t="str">
        <x:v>46.406847680759526</x:v>
      </x:c>
    </x:row>
    <x:row r="1030">
      <x:c r="A1030" s="2" t="str">
        <x:v>DE-CMP-01</x:v>
      </x:c>
      <x:c r="B1030" s="2" t="str">
        <x:v>CFG-C01</x:v>
      </x:c>
      <x:c r="C1030" s="2" t="n">
        <x:v>46227.70238086805</x:v>
      </x:c>
      <x:c r="D1030" s="2" t="str">
        <x:v>adaptive</x:v>
      </x:c>
      <x:c r="E1030" s="2" t="str">
        <x:v>closely_spaced_carriers</x:v>
      </x:c>
      <x:c r="F1030" s="2" t="str">
        <x:v>515</x:v>
      </x:c>
      <x:c r="G1030" s="2" t="str">
        <x:v>3154218</x:v>
      </x:c>
      <x:c r="H1030" s="2" t="str">
        <x:v>2048000.0</x:v>
      </x:c>
      <x:c r="I1030" s="2" t="str">
        <x:v>8192</x:v>
      </x:c>
      <x:c r="J1030" s="2" t="str">
        <x:v>250.0</x:v>
      </x:c>
      <x:c r="K1030" s="2" t="str">
        <x:v>2</x:v>
      </x:c>
      <x:c r="L1030" s="2" t="str">
        <x:v>3</x:v>
      </x:c>
      <x:c r="M1030" s="2" t="str">
        <x:v>2</x:v>
      </x:c>
      <x:c r="N1030" s="2" t="str">
        <x:v>1</x:v>
      </x:c>
      <x:c r="O1030" s="2" t="str">
        <x:v>0</x:v>
      </x:c>
      <x:c r="P1030" s="2" t="str">
        <x:v>true</x:v>
      </x:c>
      <x:c r="Q1030" s="2" t="str">
        <x:v>-75.794028713;-75.794028713</x:v>
      </x:c>
      <x:c r="R1030" s="2" t="str">
        <x:v>0.42675000440794975</x:v>
      </x:c>
      <x:c r="S1030" s="2" t="str">
        <x:v>46.30238386941435</x:v>
      </x:c>
    </x:row>
    <x:row r="1031">
      <x:c r="A1031" s="2" t="str">
        <x:v>DE-CMP-01</x:v>
      </x:c>
      <x:c r="B1031" s="2" t="str">
        <x:v>CFG-C01</x:v>
      </x:c>
      <x:c r="C1031" s="2" t="n">
        <x:v>46227.70238086805</x:v>
      </x:c>
      <x:c r="D1031" s="2" t="str">
        <x:v>os_cfar</x:v>
      </x:c>
      <x:c r="E1031" s="2" t="str">
        <x:v>closely_spaced_carriers</x:v>
      </x:c>
      <x:c r="F1031" s="2" t="str">
        <x:v>515</x:v>
      </x:c>
      <x:c r="G1031" s="2" t="str">
        <x:v>3154218</x:v>
      </x:c>
      <x:c r="H1031" s="2" t="str">
        <x:v>2048000.0</x:v>
      </x:c>
      <x:c r="I1031" s="2" t="str">
        <x:v>8192</x:v>
      </x:c>
      <x:c r="J1031" s="2" t="str">
        <x:v>250.0</x:v>
      </x:c>
      <x:c r="K1031" s="2" t="str">
        <x:v>2</x:v>
      </x:c>
      <x:c r="L1031" s="2" t="str">
        <x:v>3</x:v>
      </x:c>
      <x:c r="M1031" s="2" t="str">
        <x:v>2</x:v>
      </x:c>
      <x:c r="N1031" s="2" t="str">
        <x:v>1</x:v>
      </x:c>
      <x:c r="O1031" s="2" t="str">
        <x:v>0</x:v>
      </x:c>
      <x:c r="P1031" s="2" t="str">
        <x:v>true</x:v>
      </x:c>
      <x:c r="Q1031" s="2" t="str">
        <x:v>-75.794028713;-75.794028713</x:v>
      </x:c>
      <x:c r="R1031" s="2" t="str">
        <x:v>13.764292001724243</x:v>
      </x:c>
      <x:c r="S1031" s="2" t="str">
        <x:v>48.16498610827699</x:v>
      </x:c>
    </x:row>
    <x:row r="1032">
      <x:c r="A1032" s="2" t="str">
        <x:v>DE-CMP-01</x:v>
      </x:c>
      <x:c r="B1032" s="2" t="str">
        <x:v>CFG-C01</x:v>
      </x:c>
      <x:c r="C1032" s="2" t="n">
        <x:v>46227.70238086805</x:v>
      </x:c>
      <x:c r="D1032" s="2" t="str">
        <x:v>os_cfar</x:v>
      </x:c>
      <x:c r="E1032" s="2" t="str">
        <x:v>closely_spaced_carriers</x:v>
      </x:c>
      <x:c r="F1032" s="2" t="str">
        <x:v>516</x:v>
      </x:c>
      <x:c r="G1032" s="2" t="str">
        <x:v>3154219</x:v>
      </x:c>
      <x:c r="H1032" s="2" t="str">
        <x:v>2048000.0</x:v>
      </x:c>
      <x:c r="I1032" s="2" t="str">
        <x:v>8192</x:v>
      </x:c>
      <x:c r="J1032" s="2" t="str">
        <x:v>250.0</x:v>
      </x:c>
      <x:c r="K1032" s="2" t="str">
        <x:v>2</x:v>
      </x:c>
      <x:c r="L1032" s="2" t="str">
        <x:v>3</x:v>
      </x:c>
      <x:c r="M1032" s="2" t="str">
        <x:v>2</x:v>
      </x:c>
      <x:c r="N1032" s="2" t="str">
        <x:v>1</x:v>
      </x:c>
      <x:c r="O1032" s="2" t="str">
        <x:v>0</x:v>
      </x:c>
      <x:c r="P1032" s="2" t="str">
        <x:v>true</x:v>
      </x:c>
      <x:c r="Q1032" s="2" t="str">
        <x:v>-37.354174742;-37.354174742</x:v>
      </x:c>
      <x:c r="R1032" s="2" t="str">
        <x:v>13.568666006904095</x:v>
      </x:c>
      <x:c r="S1032" s="2" t="str">
        <x:v>48.318382049733145</x:v>
      </x:c>
    </x:row>
    <x:row r="1033">
      <x:c r="A1033" s="2" t="str">
        <x:v>DE-CMP-01</x:v>
      </x:c>
      <x:c r="B1033" s="2" t="str">
        <x:v>CFG-C01</x:v>
      </x:c>
      <x:c r="C1033" s="2" t="n">
        <x:v>46227.70238086805</x:v>
      </x:c>
      <x:c r="D1033" s="2" t="str">
        <x:v>adaptive</x:v>
      </x:c>
      <x:c r="E1033" s="2" t="str">
        <x:v>closely_spaced_carriers</x:v>
      </x:c>
      <x:c r="F1033" s="2" t="str">
        <x:v>516</x:v>
      </x:c>
      <x:c r="G1033" s="2" t="str">
        <x:v>3154219</x:v>
      </x:c>
      <x:c r="H1033" s="2" t="str">
        <x:v>2048000.0</x:v>
      </x:c>
      <x:c r="I1033" s="2" t="str">
        <x:v>8192</x:v>
      </x:c>
      <x:c r="J1033" s="2" t="str">
        <x:v>250.0</x:v>
      </x:c>
      <x:c r="K1033" s="2" t="str">
        <x:v>2</x:v>
      </x:c>
      <x:c r="L1033" s="2" t="str">
        <x:v>3</x:v>
      </x:c>
      <x:c r="M1033" s="2" t="str">
        <x:v>2</x:v>
      </x:c>
      <x:c r="N1033" s="2" t="str">
        <x:v>1</x:v>
      </x:c>
      <x:c r="O1033" s="2" t="str">
        <x:v>0</x:v>
      </x:c>
      <x:c r="P1033" s="2" t="str">
        <x:v>true</x:v>
      </x:c>
      <x:c r="Q1033" s="2" t="str">
        <x:v>-37.354174742;-37.354174742</x:v>
      </x:c>
      <x:c r="R1033" s="2" t="str">
        <x:v>0.4446250095497817</x:v>
      </x:c>
      <x:c r="S1033" s="2" t="str">
        <x:v>46.48298118999874</x:v>
      </x:c>
    </x:row>
    <x:row r="1034">
      <x:c r="A1034" s="2" t="str">
        <x:v>DE-CMP-01</x:v>
      </x:c>
      <x:c r="B1034" s="2" t="str">
        <x:v>CFG-C01</x:v>
      </x:c>
      <x:c r="C1034" s="2" t="n">
        <x:v>46227.70238086805</x:v>
      </x:c>
      <x:c r="D1034" s="2" t="str">
        <x:v>adaptive</x:v>
      </x:c>
      <x:c r="E1034" s="2" t="str">
        <x:v>closely_spaced_carriers</x:v>
      </x:c>
      <x:c r="F1034" s="2" t="str">
        <x:v>517</x:v>
      </x:c>
      <x:c r="G1034" s="2" t="str">
        <x:v>3154220</x:v>
      </x:c>
      <x:c r="H1034" s="2" t="str">
        <x:v>2048000.0</x:v>
      </x:c>
      <x:c r="I1034" s="2" t="str">
        <x:v>8192</x:v>
      </x:c>
      <x:c r="J1034" s="2" t="str">
        <x:v>250.0</x:v>
      </x:c>
      <x:c r="K1034" s="2" t="str">
        <x:v>2</x:v>
      </x:c>
      <x:c r="L1034" s="2" t="str">
        <x:v>3</x:v>
      </x:c>
      <x:c r="M1034" s="2" t="str">
        <x:v>2</x:v>
      </x:c>
      <x:c r="N1034" s="2" t="str">
        <x:v>1</x:v>
      </x:c>
      <x:c r="O1034" s="2" t="str">
        <x:v>0</x:v>
      </x:c>
      <x:c r="P1034" s="2" t="str">
        <x:v>true</x:v>
      </x:c>
      <x:c r="Q1034" s="2" t="str">
        <x:v>51.640575585;51.640575585</x:v>
      </x:c>
      <x:c r="R1034" s="2" t="str">
        <x:v>0.41983398841694</x:v>
      </x:c>
      <x:c r="S1034" s="2" t="str">
        <x:v>46.50115846507212</x:v>
      </x:c>
    </x:row>
    <x:row r="1035">
      <x:c r="A1035" s="2" t="str">
        <x:v>DE-CMP-01</x:v>
      </x:c>
      <x:c r="B1035" s="2" t="str">
        <x:v>CFG-C01</x:v>
      </x:c>
      <x:c r="C1035" s="2" t="n">
        <x:v>46227.70238086805</x:v>
      </x:c>
      <x:c r="D1035" s="2" t="str">
        <x:v>os_cfar</x:v>
      </x:c>
      <x:c r="E1035" s="2" t="str">
        <x:v>closely_spaced_carriers</x:v>
      </x:c>
      <x:c r="F1035" s="2" t="str">
        <x:v>517</x:v>
      </x:c>
      <x:c r="G1035" s="2" t="str">
        <x:v>3154220</x:v>
      </x:c>
      <x:c r="H1035" s="2" t="str">
        <x:v>2048000.0</x:v>
      </x:c>
      <x:c r="I1035" s="2" t="str">
        <x:v>8192</x:v>
      </x:c>
      <x:c r="J1035" s="2" t="str">
        <x:v>250.0</x:v>
      </x:c>
      <x:c r="K1035" s="2" t="str">
        <x:v>2</x:v>
      </x:c>
      <x:c r="L1035" s="2" t="str">
        <x:v>3</x:v>
      </x:c>
      <x:c r="M1035" s="2" t="str">
        <x:v>2</x:v>
      </x:c>
      <x:c r="N1035" s="2" t="str">
        <x:v>1</x:v>
      </x:c>
      <x:c r="O1035" s="2" t="str">
        <x:v>0</x:v>
      </x:c>
      <x:c r="P1035" s="2" t="str">
        <x:v>true</x:v>
      </x:c>
      <x:c r="Q1035" s="2" t="str">
        <x:v>51.640575585;51.640575585</x:v>
      </x:c>
      <x:c r="R1035" s="2" t="str">
        <x:v>13.653542002430186</x:v>
      </x:c>
      <x:c r="S1035" s="2" t="str">
        <x:v>48.226244841079804</x:v>
      </x:c>
    </x:row>
    <x:row r="1036">
      <x:c r="A1036" s="2" t="str">
        <x:v>DE-CMP-01</x:v>
      </x:c>
      <x:c r="B1036" s="2" t="str">
        <x:v>CFG-C01</x:v>
      </x:c>
      <x:c r="C1036" s="2" t="n">
        <x:v>46227.70238086805</x:v>
      </x:c>
      <x:c r="D1036" s="2" t="str">
        <x:v>os_cfar</x:v>
      </x:c>
      <x:c r="E1036" s="2" t="str">
        <x:v>closely_spaced_carriers</x:v>
      </x:c>
      <x:c r="F1036" s="2" t="str">
        <x:v>518</x:v>
      </x:c>
      <x:c r="G1036" s="2" t="str">
        <x:v>3154221</x:v>
      </x:c>
      <x:c r="H1036" s="2" t="str">
        <x:v>2048000.0</x:v>
      </x:c>
      <x:c r="I1036" s="2" t="str">
        <x:v>8192</x:v>
      </x:c>
      <x:c r="J1036" s="2" t="str">
        <x:v>250.0</x:v>
      </x:c>
      <x:c r="K1036" s="2" t="str">
        <x:v>2</x:v>
      </x:c>
      <x:c r="L1036" s="2" t="str">
        <x:v>3</x:v>
      </x:c>
      <x:c r="M1036" s="2" t="str">
        <x:v>2</x:v>
      </x:c>
      <x:c r="N1036" s="2" t="str">
        <x:v>1</x:v>
      </x:c>
      <x:c r="O1036" s="2" t="str">
        <x:v>0</x:v>
      </x:c>
      <x:c r="P1036" s="2" t="str">
        <x:v>true</x:v>
      </x:c>
      <x:c r="Q1036" s="2" t="str">
        <x:v>43.117095297;43.117095297</x:v>
      </x:c>
      <x:c r="R1036" s="2" t="str">
        <x:v>13.855125012923963</x:v>
      </x:c>
      <x:c r="S1036" s="2" t="str">
        <x:v>48.138677626684526</x:v>
      </x:c>
    </x:row>
    <x:row r="1037">
      <x:c r="A1037" s="2" t="str">
        <x:v>DE-CMP-01</x:v>
      </x:c>
      <x:c r="B1037" s="2" t="str">
        <x:v>CFG-C01</x:v>
      </x:c>
      <x:c r="C1037" s="2" t="n">
        <x:v>46227.70238086805</x:v>
      </x:c>
      <x:c r="D1037" s="2" t="str">
        <x:v>adaptive</x:v>
      </x:c>
      <x:c r="E1037" s="2" t="str">
        <x:v>closely_spaced_carriers</x:v>
      </x:c>
      <x:c r="F1037" s="2" t="str">
        <x:v>518</x:v>
      </x:c>
      <x:c r="G1037" s="2" t="str">
        <x:v>3154221</x:v>
      </x:c>
      <x:c r="H1037" s="2" t="str">
        <x:v>2048000.0</x:v>
      </x:c>
      <x:c r="I1037" s="2" t="str">
        <x:v>8192</x:v>
      </x:c>
      <x:c r="J1037" s="2" t="str">
        <x:v>250.0</x:v>
      </x:c>
      <x:c r="K1037" s="2" t="str">
        <x:v>2</x:v>
      </x:c>
      <x:c r="L1037" s="2" t="str">
        <x:v>3</x:v>
      </x:c>
      <x:c r="M1037" s="2" t="str">
        <x:v>2</x:v>
      </x:c>
      <x:c r="N1037" s="2" t="str">
        <x:v>1</x:v>
      </x:c>
      <x:c r="O1037" s="2" t="str">
        <x:v>0</x:v>
      </x:c>
      <x:c r="P1037" s="2" t="str">
        <x:v>true</x:v>
      </x:c>
      <x:c r="Q1037" s="2" t="str">
        <x:v>43.117095297;43.117095297</x:v>
      </x:c>
      <x:c r="R1037" s="2" t="str">
        <x:v>0.44499999785330147</x:v>
      </x:c>
      <x:c r="S1037" s="2" t="str">
        <x:v>46.41301874321587</x:v>
      </x:c>
    </x:row>
    <x:row r="1038">
      <x:c r="A1038" s="2" t="str">
        <x:v>DE-CMP-01</x:v>
      </x:c>
      <x:c r="B1038" s="2" t="str">
        <x:v>CFG-C01</x:v>
      </x:c>
      <x:c r="C1038" s="2" t="n">
        <x:v>46227.70238086805</x:v>
      </x:c>
      <x:c r="D1038" s="2" t="str">
        <x:v>adaptive</x:v>
      </x:c>
      <x:c r="E1038" s="2" t="str">
        <x:v>closely_spaced_carriers</x:v>
      </x:c>
      <x:c r="F1038" s="2" t="str">
        <x:v>519</x:v>
      </x:c>
      <x:c r="G1038" s="2" t="str">
        <x:v>3154222</x:v>
      </x:c>
      <x:c r="H1038" s="2" t="str">
        <x:v>2048000.0</x:v>
      </x:c>
      <x:c r="I1038" s="2" t="str">
        <x:v>8192</x:v>
      </x:c>
      <x:c r="J1038" s="2" t="str">
        <x:v>250.0</x:v>
      </x:c>
      <x:c r="K1038" s="2" t="str">
        <x:v>2</x:v>
      </x:c>
      <x:c r="L1038" s="2" t="str">
        <x:v>3</x:v>
      </x:c>
      <x:c r="M1038" s="2" t="str">
        <x:v>2</x:v>
      </x:c>
      <x:c r="N1038" s="2" t="str">
        <x:v>1</x:v>
      </x:c>
      <x:c r="O1038" s="2" t="str">
        <x:v>0</x:v>
      </x:c>
      <x:c r="P1038" s="2" t="str">
        <x:v>true</x:v>
      </x:c>
      <x:c r="Q1038" s="2" t="str">
        <x:v>-31.855172497;-31.855172497</x:v>
      </x:c>
      <x:c r="R1038" s="2" t="str">
        <x:v>0.42979100544471294</x:v>
      </x:c>
      <x:c r="S1038" s="2" t="str">
        <x:v>46.450049436750255</x:v>
      </x:c>
    </x:row>
    <x:row r="1039">
      <x:c r="A1039" s="2" t="str">
        <x:v>DE-CMP-01</x:v>
      </x:c>
      <x:c r="B1039" s="2" t="str">
        <x:v>CFG-C01</x:v>
      </x:c>
      <x:c r="C1039" s="2" t="n">
        <x:v>46227.70238086805</x:v>
      </x:c>
      <x:c r="D1039" s="2" t="str">
        <x:v>os_cfar</x:v>
      </x:c>
      <x:c r="E1039" s="2" t="str">
        <x:v>closely_spaced_carriers</x:v>
      </x:c>
      <x:c r="F1039" s="2" t="str">
        <x:v>519</x:v>
      </x:c>
      <x:c r="G1039" s="2" t="str">
        <x:v>3154222</x:v>
      </x:c>
      <x:c r="H1039" s="2" t="str">
        <x:v>2048000.0</x:v>
      </x:c>
      <x:c r="I1039" s="2" t="str">
        <x:v>8192</x:v>
      </x:c>
      <x:c r="J1039" s="2" t="str">
        <x:v>250.0</x:v>
      </x:c>
      <x:c r="K1039" s="2" t="str">
        <x:v>2</x:v>
      </x:c>
      <x:c r="L1039" s="2" t="str">
        <x:v>3</x:v>
      </x:c>
      <x:c r="M1039" s="2" t="str">
        <x:v>2</x:v>
      </x:c>
      <x:c r="N1039" s="2" t="str">
        <x:v>1</x:v>
      </x:c>
      <x:c r="O1039" s="2" t="str">
        <x:v>0</x:v>
      </x:c>
      <x:c r="P1039" s="2" t="str">
        <x:v>true</x:v>
      </x:c>
      <x:c r="Q1039" s="2" t="str">
        <x:v>-31.855172497;-31.855172497</x:v>
      </x:c>
      <x:c r="R1039" s="2" t="str">
        <x:v>13.72125001216773</x:v>
      </x:c>
      <x:c r="S1039" s="2" t="str">
        <x:v>48.278153279820955</x:v>
      </x:c>
    </x:row>
    <x:row r="1040">
      <x:c r="A1040" s="2" t="str">
        <x:v>DE-CMP-01</x:v>
      </x:c>
      <x:c r="B1040" s="2" t="str">
        <x:v>CFG-C01</x:v>
      </x:c>
      <x:c r="C1040" s="2" t="n">
        <x:v>46227.70238086805</x:v>
      </x:c>
      <x:c r="D1040" s="2" t="str">
        <x:v>os_cfar</x:v>
      </x:c>
      <x:c r="E1040" s="2" t="str">
        <x:v>closely_spaced_carriers</x:v>
      </x:c>
      <x:c r="F1040" s="2" t="str">
        <x:v>520</x:v>
      </x:c>
      <x:c r="G1040" s="2" t="str">
        <x:v>3154223</x:v>
      </x:c>
      <x:c r="H1040" s="2" t="str">
        <x:v>2048000.0</x:v>
      </x:c>
      <x:c r="I1040" s="2" t="str">
        <x:v>8192</x:v>
      </x:c>
      <x:c r="J1040" s="2" t="str">
        <x:v>250.0</x:v>
      </x:c>
      <x:c r="K1040" s="2" t="str">
        <x:v>2</x:v>
      </x:c>
      <x:c r="L1040" s="2" t="str">
        <x:v>3</x:v>
      </x:c>
      <x:c r="M1040" s="2" t="str">
        <x:v>2</x:v>
      </x:c>
      <x:c r="N1040" s="2" t="str">
        <x:v>1</x:v>
      </x:c>
      <x:c r="O1040" s="2" t="str">
        <x:v>0</x:v>
      </x:c>
      <x:c r="P1040" s="2" t="str">
        <x:v>true</x:v>
      </x:c>
      <x:c r="Q1040" s="2" t="str">
        <x:v>-118.762035531;-118.762035531</x:v>
      </x:c>
      <x:c r="R1040" s="2" t="str">
        <x:v>13.733083003899083</x:v>
      </x:c>
      <x:c r="S1040" s="2" t="str">
        <x:v>48.235025306383605</x:v>
      </x:c>
    </x:row>
    <x:row r="1041">
      <x:c r="A1041" s="2" t="str">
        <x:v>DE-CMP-01</x:v>
      </x:c>
      <x:c r="B1041" s="2" t="str">
        <x:v>CFG-C01</x:v>
      </x:c>
      <x:c r="C1041" s="2" t="n">
        <x:v>46227.70238086805</x:v>
      </x:c>
      <x:c r="D1041" s="2" t="str">
        <x:v>adaptive</x:v>
      </x:c>
      <x:c r="E1041" s="2" t="str">
        <x:v>closely_spaced_carriers</x:v>
      </x:c>
      <x:c r="F1041" s="2" t="str">
        <x:v>520</x:v>
      </x:c>
      <x:c r="G1041" s="2" t="str">
        <x:v>3154223</x:v>
      </x:c>
      <x:c r="H1041" s="2" t="str">
        <x:v>2048000.0</x:v>
      </x:c>
      <x:c r="I1041" s="2" t="str">
        <x:v>8192</x:v>
      </x:c>
      <x:c r="J1041" s="2" t="str">
        <x:v>250.0</x:v>
      </x:c>
      <x:c r="K1041" s="2" t="str">
        <x:v>2</x:v>
      </x:c>
      <x:c r="L1041" s="2" t="str">
        <x:v>3</x:v>
      </x:c>
      <x:c r="M1041" s="2" t="str">
        <x:v>2</x:v>
      </x:c>
      <x:c r="N1041" s="2" t="str">
        <x:v>1</x:v>
      </x:c>
      <x:c r="O1041" s="2" t="str">
        <x:v>0</x:v>
      </x:c>
      <x:c r="P1041" s="2" t="str">
        <x:v>true</x:v>
      </x:c>
      <x:c r="Q1041" s="2" t="str">
        <x:v>-118.762035531;-118.762035531</x:v>
      </x:c>
      <x:c r="R1041" s="2" t="str">
        <x:v>0.43666599958669394</x:v>
      </x:c>
      <x:c r="S1041" s="2" t="str">
        <x:v>46.43204289055136</x:v>
      </x:c>
    </x:row>
    <x:row r="1042">
      <x:c r="A1042" s="2" t="str">
        <x:v>DE-CMP-01</x:v>
      </x:c>
      <x:c r="B1042" s="2" t="str">
        <x:v>CFG-C01</x:v>
      </x:c>
      <x:c r="C1042" s="2" t="n">
        <x:v>46227.70238086805</x:v>
      </x:c>
      <x:c r="D1042" s="2" t="str">
        <x:v>adaptive</x:v>
      </x:c>
      <x:c r="E1042" s="2" t="str">
        <x:v>closely_spaced_carriers</x:v>
      </x:c>
      <x:c r="F1042" s="2" t="str">
        <x:v>521</x:v>
      </x:c>
      <x:c r="G1042" s="2" t="str">
        <x:v>3154224</x:v>
      </x:c>
      <x:c r="H1042" s="2" t="str">
        <x:v>2048000.0</x:v>
      </x:c>
      <x:c r="I1042" s="2" t="str">
        <x:v>8192</x:v>
      </x:c>
      <x:c r="J1042" s="2" t="str">
        <x:v>250.0</x:v>
      </x:c>
      <x:c r="K1042" s="2" t="str">
        <x:v>2</x:v>
      </x:c>
      <x:c r="L1042" s="2" t="str">
        <x:v>3</x:v>
      </x:c>
      <x:c r="M1042" s="2" t="str">
        <x:v>2</x:v>
      </x:c>
      <x:c r="N1042" s="2" t="str">
        <x:v>1</x:v>
      </x:c>
      <x:c r="O1042" s="2" t="str">
        <x:v>0</x:v>
      </x:c>
      <x:c r="P1042" s="2" t="str">
        <x:v>true</x:v>
      </x:c>
      <x:c r="Q1042" s="2" t="str">
        <x:v>-98.931020080;-98.931020080</x:v>
      </x:c>
      <x:c r="R1042" s="2" t="str">
        <x:v>0.4437910101842135</x:v>
      </x:c>
      <x:c r="S1042" s="2" t="str">
        <x:v>46.53270576055285</x:v>
      </x:c>
    </x:row>
    <x:row r="1043">
      <x:c r="A1043" s="2" t="str">
        <x:v>DE-CMP-01</x:v>
      </x:c>
      <x:c r="B1043" s="2" t="str">
        <x:v>CFG-C01</x:v>
      </x:c>
      <x:c r="C1043" s="2" t="n">
        <x:v>46227.70238086805</x:v>
      </x:c>
      <x:c r="D1043" s="2" t="str">
        <x:v>os_cfar</x:v>
      </x:c>
      <x:c r="E1043" s="2" t="str">
        <x:v>closely_spaced_carriers</x:v>
      </x:c>
      <x:c r="F1043" s="2" t="str">
        <x:v>521</x:v>
      </x:c>
      <x:c r="G1043" s="2" t="str">
        <x:v>3154224</x:v>
      </x:c>
      <x:c r="H1043" s="2" t="str">
        <x:v>2048000.0</x:v>
      </x:c>
      <x:c r="I1043" s="2" t="str">
        <x:v>8192</x:v>
      </x:c>
      <x:c r="J1043" s="2" t="str">
        <x:v>250.0</x:v>
      </x:c>
      <x:c r="K1043" s="2" t="str">
        <x:v>2</x:v>
      </x:c>
      <x:c r="L1043" s="2" t="str">
        <x:v>3</x:v>
      </x:c>
      <x:c r="M1043" s="2" t="str">
        <x:v>2</x:v>
      </x:c>
      <x:c r="N1043" s="2" t="str">
        <x:v>1</x:v>
      </x:c>
      <x:c r="O1043" s="2" t="str">
        <x:v>0</x:v>
      </x:c>
      <x:c r="P1043" s="2" t="str">
        <x:v>true</x:v>
      </x:c>
      <x:c r="Q1043" s="2" t="str">
        <x:v>-98.931020080;-98.931020080</x:v>
      </x:c>
      <x:c r="R1043" s="2" t="str">
        <x:v>13.617415999760851</x:v>
      </x:c>
      <x:c r="S1043" s="2" t="str">
        <x:v>48.32868714529706</x:v>
      </x:c>
    </x:row>
    <x:row r="1044">
      <x:c r="A1044" s="2" t="str">
        <x:v>DE-CMP-01</x:v>
      </x:c>
      <x:c r="B1044" s="2" t="str">
        <x:v>CFG-C01</x:v>
      </x:c>
      <x:c r="C1044" s="2" t="n">
        <x:v>46227.70238086805</x:v>
      </x:c>
      <x:c r="D1044" s="2" t="str">
        <x:v>os_cfar</x:v>
      </x:c>
      <x:c r="E1044" s="2" t="str">
        <x:v>closely_spaced_carriers</x:v>
      </x:c>
      <x:c r="F1044" s="2" t="str">
        <x:v>522</x:v>
      </x:c>
      <x:c r="G1044" s="2" t="str">
        <x:v>3154225</x:v>
      </x:c>
      <x:c r="H1044" s="2" t="str">
        <x:v>2048000.0</x:v>
      </x:c>
      <x:c r="I1044" s="2" t="str">
        <x:v>8192</x:v>
      </x:c>
      <x:c r="J1044" s="2" t="str">
        <x:v>250.0</x:v>
      </x:c>
      <x:c r="K1044" s="2" t="str">
        <x:v>2</x:v>
      </x:c>
      <x:c r="L1044" s="2" t="str">
        <x:v>3</x:v>
      </x:c>
      <x:c r="M1044" s="2" t="str">
        <x:v>2</x:v>
      </x:c>
      <x:c r="N1044" s="2" t="str">
        <x:v>1</x:v>
      </x:c>
      <x:c r="O1044" s="2" t="str">
        <x:v>0</x:v>
      </x:c>
      <x:c r="P1044" s="2" t="str">
        <x:v>true</x:v>
      </x:c>
      <x:c r="Q1044" s="2" t="str">
        <x:v>95.339299489;95.339299489</x:v>
      </x:c>
      <x:c r="R1044" s="2" t="str">
        <x:v>13.612791008199565</x:v>
      </x:c>
      <x:c r="S1044" s="2" t="str">
        <x:v>48.17510302660534</x:v>
      </x:c>
    </x:row>
    <x:row r="1045">
      <x:c r="A1045" s="2" t="str">
        <x:v>DE-CMP-01</x:v>
      </x:c>
      <x:c r="B1045" s="2" t="str">
        <x:v>CFG-C01</x:v>
      </x:c>
      <x:c r="C1045" s="2" t="n">
        <x:v>46227.70238086805</x:v>
      </x:c>
      <x:c r="D1045" s="2" t="str">
        <x:v>adaptive</x:v>
      </x:c>
      <x:c r="E1045" s="2" t="str">
        <x:v>closely_spaced_carriers</x:v>
      </x:c>
      <x:c r="F1045" s="2" t="str">
        <x:v>522</x:v>
      </x:c>
      <x:c r="G1045" s="2" t="str">
        <x:v>3154225</x:v>
      </x:c>
      <x:c r="H1045" s="2" t="str">
        <x:v>2048000.0</x:v>
      </x:c>
      <x:c r="I1045" s="2" t="str">
        <x:v>8192</x:v>
      </x:c>
      <x:c r="J1045" s="2" t="str">
        <x:v>250.0</x:v>
      </x:c>
      <x:c r="K1045" s="2" t="str">
        <x:v>2</x:v>
      </x:c>
      <x:c r="L1045" s="2" t="str">
        <x:v>3</x:v>
      </x:c>
      <x:c r="M1045" s="2" t="str">
        <x:v>2</x:v>
      </x:c>
      <x:c r="N1045" s="2" t="str">
        <x:v>1</x:v>
      </x:c>
      <x:c r="O1045" s="2" t="str">
        <x:v>0</x:v>
      </x:c>
      <x:c r="P1045" s="2" t="str">
        <x:v>true</x:v>
      </x:c>
      <x:c r="Q1045" s="2" t="str">
        <x:v>95.339299489;95.339299489</x:v>
      </x:c>
      <x:c r="R1045" s="2" t="str">
        <x:v>0.4329169896664098</x:v>
      </x:c>
      <x:c r="S1045" s="2" t="str">
        <x:v>46.29324627028045</x:v>
      </x:c>
    </x:row>
    <x:row r="1046">
      <x:c r="A1046" s="2" t="str">
        <x:v>DE-CMP-01</x:v>
      </x:c>
      <x:c r="B1046" s="2" t="str">
        <x:v>CFG-C01</x:v>
      </x:c>
      <x:c r="C1046" s="2" t="n">
        <x:v>46227.70238086805</x:v>
      </x:c>
      <x:c r="D1046" s="2" t="str">
        <x:v>adaptive</x:v>
      </x:c>
      <x:c r="E1046" s="2" t="str">
        <x:v>closely_spaced_carriers</x:v>
      </x:c>
      <x:c r="F1046" s="2" t="str">
        <x:v>523</x:v>
      </x:c>
      <x:c r="G1046" s="2" t="str">
        <x:v>3154226</x:v>
      </x:c>
      <x:c r="H1046" s="2" t="str">
        <x:v>2048000.0</x:v>
      </x:c>
      <x:c r="I1046" s="2" t="str">
        <x:v>8192</x:v>
      </x:c>
      <x:c r="J1046" s="2" t="str">
        <x:v>250.0</x:v>
      </x:c>
      <x:c r="K1046" s="2" t="str">
        <x:v>2</x:v>
      </x:c>
      <x:c r="L1046" s="2" t="str">
        <x:v>3</x:v>
      </x:c>
      <x:c r="M1046" s="2" t="str">
        <x:v>2</x:v>
      </x:c>
      <x:c r="N1046" s="2" t="str">
        <x:v>1</x:v>
      </x:c>
      <x:c r="O1046" s="2" t="str">
        <x:v>0</x:v>
      </x:c>
      <x:c r="P1046" s="2" t="str">
        <x:v>true</x:v>
      </x:c>
      <x:c r="Q1046" s="2" t="str">
        <x:v>-3.774565031;-3.774565031</x:v>
      </x:c>
      <x:c r="R1046" s="2" t="str">
        <x:v>0.43445799383334816</x:v>
      </x:c>
      <x:c r="S1046" s="2" t="str">
        <x:v>46.47680093904952</x:v>
      </x:c>
    </x:row>
    <x:row r="1047">
      <x:c r="A1047" s="2" t="str">
        <x:v>DE-CMP-01</x:v>
      </x:c>
      <x:c r="B1047" s="2" t="str">
        <x:v>CFG-C01</x:v>
      </x:c>
      <x:c r="C1047" s="2" t="n">
        <x:v>46227.70238086805</x:v>
      </x:c>
      <x:c r="D1047" s="2" t="str">
        <x:v>os_cfar</x:v>
      </x:c>
      <x:c r="E1047" s="2" t="str">
        <x:v>closely_spaced_carriers</x:v>
      </x:c>
      <x:c r="F1047" s="2" t="str">
        <x:v>523</x:v>
      </x:c>
      <x:c r="G1047" s="2" t="str">
        <x:v>3154226</x:v>
      </x:c>
      <x:c r="H1047" s="2" t="str">
        <x:v>2048000.0</x:v>
      </x:c>
      <x:c r="I1047" s="2" t="str">
        <x:v>8192</x:v>
      </x:c>
      <x:c r="J1047" s="2" t="str">
        <x:v>250.0</x:v>
      </x:c>
      <x:c r="K1047" s="2" t="str">
        <x:v>2</x:v>
      </x:c>
      <x:c r="L1047" s="2" t="str">
        <x:v>3</x:v>
      </x:c>
      <x:c r="M1047" s="2" t="str">
        <x:v>2</x:v>
      </x:c>
      <x:c r="N1047" s="2" t="str">
        <x:v>1</x:v>
      </x:c>
      <x:c r="O1047" s="2" t="str">
        <x:v>0</x:v>
      </x:c>
      <x:c r="P1047" s="2" t="str">
        <x:v>true</x:v>
      </x:c>
      <x:c r="Q1047" s="2" t="str">
        <x:v>-3.774565031;-3.774565031</x:v>
      </x:c>
      <x:c r="R1047" s="2" t="str">
        <x:v>13.79620899388101</x:v>
      </x:c>
      <x:c r="S1047" s="2" t="str">
        <x:v>48.16444270752305</x:v>
      </x:c>
    </x:row>
    <x:row r="1048">
      <x:c r="A1048" s="2" t="str">
        <x:v>DE-CMP-01</x:v>
      </x:c>
      <x:c r="B1048" s="2" t="str">
        <x:v>CFG-C01</x:v>
      </x:c>
      <x:c r="C1048" s="2" t="n">
        <x:v>46227.70238086805</x:v>
      </x:c>
      <x:c r="D1048" s="2" t="str">
        <x:v>os_cfar</x:v>
      </x:c>
      <x:c r="E1048" s="2" t="str">
        <x:v>closely_spaced_carriers</x:v>
      </x:c>
      <x:c r="F1048" s="2" t="str">
        <x:v>524</x:v>
      </x:c>
      <x:c r="G1048" s="2" t="str">
        <x:v>3154227</x:v>
      </x:c>
      <x:c r="H1048" s="2" t="str">
        <x:v>2048000.0</x:v>
      </x:c>
      <x:c r="I1048" s="2" t="str">
        <x:v>8192</x:v>
      </x:c>
      <x:c r="J1048" s="2" t="str">
        <x:v>250.0</x:v>
      </x:c>
      <x:c r="K1048" s="2" t="str">
        <x:v>2</x:v>
      </x:c>
      <x:c r="L1048" s="2" t="str">
        <x:v>3</x:v>
      </x:c>
      <x:c r="M1048" s="2" t="str">
        <x:v>2</x:v>
      </x:c>
      <x:c r="N1048" s="2" t="str">
        <x:v>1</x:v>
      </x:c>
      <x:c r="O1048" s="2" t="str">
        <x:v>0</x:v>
      </x:c>
      <x:c r="P1048" s="2" t="str">
        <x:v>true</x:v>
      </x:c>
      <x:c r="Q1048" s="2" t="str">
        <x:v>75.949234533;75.949234533</x:v>
      </x:c>
      <x:c r="R1048" s="2" t="str">
        <x:v>13.603708997834474</x:v>
      </x:c>
      <x:c r="S1048" s="2" t="str">
        <x:v>48.22030942320839</x:v>
      </x:c>
    </x:row>
    <x:row r="1049">
      <x:c r="A1049" s="2" t="str">
        <x:v>DE-CMP-01</x:v>
      </x:c>
      <x:c r="B1049" s="2" t="str">
        <x:v>CFG-C01</x:v>
      </x:c>
      <x:c r="C1049" s="2" t="n">
        <x:v>46227.70238086805</x:v>
      </x:c>
      <x:c r="D1049" s="2" t="str">
        <x:v>adaptive</x:v>
      </x:c>
      <x:c r="E1049" s="2" t="str">
        <x:v>closely_spaced_carriers</x:v>
      </x:c>
      <x:c r="F1049" s="2" t="str">
        <x:v>524</x:v>
      </x:c>
      <x:c r="G1049" s="2" t="str">
        <x:v>3154227</x:v>
      </x:c>
      <x:c r="H1049" s="2" t="str">
        <x:v>2048000.0</x:v>
      </x:c>
      <x:c r="I1049" s="2" t="str">
        <x:v>8192</x:v>
      </x:c>
      <x:c r="J1049" s="2" t="str">
        <x:v>250.0</x:v>
      </x:c>
      <x:c r="K1049" s="2" t="str">
        <x:v>2</x:v>
      </x:c>
      <x:c r="L1049" s="2" t="str">
        <x:v>3</x:v>
      </x:c>
      <x:c r="M1049" s="2" t="str">
        <x:v>2</x:v>
      </x:c>
      <x:c r="N1049" s="2" t="str">
        <x:v>1</x:v>
      </x:c>
      <x:c r="O1049" s="2" t="str">
        <x:v>0</x:v>
      </x:c>
      <x:c r="P1049" s="2" t="str">
        <x:v>true</x:v>
      </x:c>
      <x:c r="Q1049" s="2" t="str">
        <x:v>75.949234533;75.949234533</x:v>
      </x:c>
      <x:c r="R1049" s="2" t="str">
        <x:v>0.4044170054839924</x:v>
      </x:c>
      <x:c r="S1049" s="2" t="str">
        <x:v>46.50285302449773</x:v>
      </x:c>
    </x:row>
    <x:row r="1050">
      <x:c r="A1050" s="2" t="str">
        <x:v>DE-CMP-01</x:v>
      </x:c>
      <x:c r="B1050" s="2" t="str">
        <x:v>CFG-C01</x:v>
      </x:c>
      <x:c r="C1050" s="2" t="n">
        <x:v>46227.70238086805</x:v>
      </x:c>
      <x:c r="D1050" s="2" t="str">
        <x:v>adaptive</x:v>
      </x:c>
      <x:c r="E1050" s="2" t="str">
        <x:v>closely_spaced_carriers</x:v>
      </x:c>
      <x:c r="F1050" s="2" t="str">
        <x:v>525</x:v>
      </x:c>
      <x:c r="G1050" s="2" t="str">
        <x:v>3154228</x:v>
      </x:c>
      <x:c r="H1050" s="2" t="str">
        <x:v>2048000.0</x:v>
      </x:c>
      <x:c r="I1050" s="2" t="str">
        <x:v>8192</x:v>
      </x:c>
      <x:c r="J1050" s="2" t="str">
        <x:v>250.0</x:v>
      </x:c>
      <x:c r="K1050" s="2" t="str">
        <x:v>2</x:v>
      </x:c>
      <x:c r="L1050" s="2" t="str">
        <x:v>3</x:v>
      </x:c>
      <x:c r="M1050" s="2" t="str">
        <x:v>2</x:v>
      </x:c>
      <x:c r="N1050" s="2" t="str">
        <x:v>1</x:v>
      </x:c>
      <x:c r="O1050" s="2" t="str">
        <x:v>0</x:v>
      </x:c>
      <x:c r="P1050" s="2" t="str">
        <x:v>true</x:v>
      </x:c>
      <x:c r="Q1050" s="2" t="str">
        <x:v>-39.180949685;-39.180949685</x:v>
      </x:c>
      <x:c r="R1050" s="2" t="str">
        <x:v>0.41966699063777924</x:v>
      </x:c>
      <x:c r="S1050" s="2" t="str">
        <x:v>46.38086165109568</x:v>
      </x:c>
    </x:row>
    <x:row r="1051">
      <x:c r="A1051" s="2" t="str">
        <x:v>DE-CMP-01</x:v>
      </x:c>
      <x:c r="B1051" s="2" t="str">
        <x:v>CFG-C01</x:v>
      </x:c>
      <x:c r="C1051" s="2" t="n">
        <x:v>46227.70238086805</x:v>
      </x:c>
      <x:c r="D1051" s="2" t="str">
        <x:v>os_cfar</x:v>
      </x:c>
      <x:c r="E1051" s="2" t="str">
        <x:v>closely_spaced_carriers</x:v>
      </x:c>
      <x:c r="F1051" s="2" t="str">
        <x:v>525</x:v>
      </x:c>
      <x:c r="G1051" s="2" t="str">
        <x:v>3154228</x:v>
      </x:c>
      <x:c r="H1051" s="2" t="str">
        <x:v>2048000.0</x:v>
      </x:c>
      <x:c r="I1051" s="2" t="str">
        <x:v>8192</x:v>
      </x:c>
      <x:c r="J1051" s="2" t="str">
        <x:v>250.0</x:v>
      </x:c>
      <x:c r="K1051" s="2" t="str">
        <x:v>2</x:v>
      </x:c>
      <x:c r="L1051" s="2" t="str">
        <x:v>3</x:v>
      </x:c>
      <x:c r="M1051" s="2" t="str">
        <x:v>2</x:v>
      </x:c>
      <x:c r="N1051" s="2" t="str">
        <x:v>1</x:v>
      </x:c>
      <x:c r="O1051" s="2" t="str">
        <x:v>0</x:v>
      </x:c>
      <x:c r="P1051" s="2" t="str">
        <x:v>true</x:v>
      </x:c>
      <x:c r="Q1051" s="2" t="str">
        <x:v>-39.180949685;-39.180949685</x:v>
      </x:c>
      <x:c r="R1051" s="2" t="str">
        <x:v>13.757915992755443</x:v>
      </x:c>
      <x:c r="S1051" s="2" t="str">
        <x:v>48.158200559775324</x:v>
      </x:c>
    </x:row>
    <x:row r="1052">
      <x:c r="A1052" s="2" t="str">
        <x:v>DE-CMP-01</x:v>
      </x:c>
      <x:c r="B1052" s="2" t="str">
        <x:v>CFG-C01</x:v>
      </x:c>
      <x:c r="C1052" s="2" t="n">
        <x:v>46227.70238086805</x:v>
      </x:c>
      <x:c r="D1052" s="2" t="str">
        <x:v>os_cfar</x:v>
      </x:c>
      <x:c r="E1052" s="2" t="str">
        <x:v>closely_spaced_carriers</x:v>
      </x:c>
      <x:c r="F1052" s="2" t="str">
        <x:v>526</x:v>
      </x:c>
      <x:c r="G1052" s="2" t="str">
        <x:v>3154229</x:v>
      </x:c>
      <x:c r="H1052" s="2" t="str">
        <x:v>2048000.0</x:v>
      </x:c>
      <x:c r="I1052" s="2" t="str">
        <x:v>8192</x:v>
      </x:c>
      <x:c r="J1052" s="2" t="str">
        <x:v>250.0</x:v>
      </x:c>
      <x:c r="K1052" s="2" t="str">
        <x:v>2</x:v>
      </x:c>
      <x:c r="L1052" s="2" t="str">
        <x:v>3</x:v>
      </x:c>
      <x:c r="M1052" s="2" t="str">
        <x:v>2</x:v>
      </x:c>
      <x:c r="N1052" s="2" t="str">
        <x:v>1</x:v>
      </x:c>
      <x:c r="O1052" s="2" t="str">
        <x:v>0</x:v>
      </x:c>
      <x:c r="P1052" s="2" t="str">
        <x:v>true</x:v>
      </x:c>
      <x:c r="Q1052" s="2" t="str">
        <x:v>-0.246573847;-0.246573847</x:v>
      </x:c>
      <x:c r="R1052" s="2" t="str">
        <x:v>13.813458004733548</x:v>
      </x:c>
      <x:c r="S1052" s="2" t="str">
        <x:v>48.348700537378676</x:v>
      </x:c>
    </x:row>
    <x:row r="1053">
      <x:c r="A1053" s="2" t="str">
        <x:v>DE-CMP-01</x:v>
      </x:c>
      <x:c r="B1053" s="2" t="str">
        <x:v>CFG-C01</x:v>
      </x:c>
      <x:c r="C1053" s="2" t="n">
        <x:v>46227.70238086805</x:v>
      </x:c>
      <x:c r="D1053" s="2" t="str">
        <x:v>adaptive</x:v>
      </x:c>
      <x:c r="E1053" s="2" t="str">
        <x:v>closely_spaced_carriers</x:v>
      </x:c>
      <x:c r="F1053" s="2" t="str">
        <x:v>526</x:v>
      </x:c>
      <x:c r="G1053" s="2" t="str">
        <x:v>3154229</x:v>
      </x:c>
      <x:c r="H1053" s="2" t="str">
        <x:v>2048000.0</x:v>
      </x:c>
      <x:c r="I1053" s="2" t="str">
        <x:v>8192</x:v>
      </x:c>
      <x:c r="J1053" s="2" t="str">
        <x:v>250.0</x:v>
      </x:c>
      <x:c r="K1053" s="2" t="str">
        <x:v>2</x:v>
      </x:c>
      <x:c r="L1053" s="2" t="str">
        <x:v>3</x:v>
      </x:c>
      <x:c r="M1053" s="2" t="str">
        <x:v>2</x:v>
      </x:c>
      <x:c r="N1053" s="2" t="str">
        <x:v>1</x:v>
      </x:c>
      <x:c r="O1053" s="2" t="str">
        <x:v>0</x:v>
      </x:c>
      <x:c r="P1053" s="2" t="str">
        <x:v>true</x:v>
      </x:c>
      <x:c r="Q1053" s="2" t="str">
        <x:v>-0.246573847;-0.246573847</x:v>
      </x:c>
      <x:c r="R1053" s="2" t="str">
        <x:v>0.42558299901429564</x:v>
      </x:c>
      <x:c r="S1053" s="2" t="str">
        <x:v>46.545552719847336</x:v>
      </x:c>
    </x:row>
    <x:row r="1054">
      <x:c r="A1054" s="2" t="str">
        <x:v>DE-CMP-01</x:v>
      </x:c>
      <x:c r="B1054" s="2" t="str">
        <x:v>CFG-C01</x:v>
      </x:c>
      <x:c r="C1054" s="2" t="n">
        <x:v>46227.70238086805</x:v>
      </x:c>
      <x:c r="D1054" s="2" t="str">
        <x:v>adaptive</x:v>
      </x:c>
      <x:c r="E1054" s="2" t="str">
        <x:v>closely_spaced_carriers</x:v>
      </x:c>
      <x:c r="F1054" s="2" t="str">
        <x:v>527</x:v>
      </x:c>
      <x:c r="G1054" s="2" t="str">
        <x:v>3154230</x:v>
      </x:c>
      <x:c r="H1054" s="2" t="str">
        <x:v>2048000.0</x:v>
      </x:c>
      <x:c r="I1054" s="2" t="str">
        <x:v>8192</x:v>
      </x:c>
      <x:c r="J1054" s="2" t="str">
        <x:v>250.0</x:v>
      </x:c>
      <x:c r="K1054" s="2" t="str">
        <x:v>2</x:v>
      </x:c>
      <x:c r="L1054" s="2" t="str">
        <x:v>3</x:v>
      </x:c>
      <x:c r="M1054" s="2" t="str">
        <x:v>2</x:v>
      </x:c>
      <x:c r="N1054" s="2" t="str">
        <x:v>1</x:v>
      </x:c>
      <x:c r="O1054" s="2" t="str">
        <x:v>0</x:v>
      </x:c>
      <x:c r="P1054" s="2" t="str">
        <x:v>true</x:v>
      </x:c>
      <x:c r="Q1054" s="2" t="str">
        <x:v>-120.869470225;129.130529775</x:v>
      </x:c>
      <x:c r="R1054" s="2" t="str">
        <x:v>0.40874999831430614</x:v>
      </x:c>
      <x:c r="S1054" s="2" t="str">
        <x:v>46.393242297252286</x:v>
      </x:c>
    </x:row>
    <x:row r="1055">
      <x:c r="A1055" s="2" t="str">
        <x:v>DE-CMP-01</x:v>
      </x:c>
      <x:c r="B1055" s="2" t="str">
        <x:v>CFG-C01</x:v>
      </x:c>
      <x:c r="C1055" s="2" t="n">
        <x:v>46227.70238086805</x:v>
      </x:c>
      <x:c r="D1055" s="2" t="str">
        <x:v>os_cfar</x:v>
      </x:c>
      <x:c r="E1055" s="2" t="str">
        <x:v>closely_spaced_carriers</x:v>
      </x:c>
      <x:c r="F1055" s="2" t="str">
        <x:v>527</x:v>
      </x:c>
      <x:c r="G1055" s="2" t="str">
        <x:v>3154230</x:v>
      </x:c>
      <x:c r="H1055" s="2" t="str">
        <x:v>2048000.0</x:v>
      </x:c>
      <x:c r="I1055" s="2" t="str">
        <x:v>8192</x:v>
      </x:c>
      <x:c r="J1055" s="2" t="str">
        <x:v>250.0</x:v>
      </x:c>
      <x:c r="K1055" s="2" t="str">
        <x:v>2</x:v>
      </x:c>
      <x:c r="L1055" s="2" t="str">
        <x:v>3</x:v>
      </x:c>
      <x:c r="M1055" s="2" t="str">
        <x:v>2</x:v>
      </x:c>
      <x:c r="N1055" s="2" t="str">
        <x:v>1</x:v>
      </x:c>
      <x:c r="O1055" s="2" t="str">
        <x:v>0</x:v>
      </x:c>
      <x:c r="P1055" s="2" t="str">
        <x:v>true</x:v>
      </x:c>
      <x:c r="Q1055" s="2" t="str">
        <x:v>-120.869470225;129.130529775</x:v>
      </x:c>
      <x:c r="R1055" s="2" t="str">
        <x:v>14.069707991438918</x:v>
      </x:c>
      <x:c r="S1055" s="2" t="str">
        <x:v>48.153989554668264</x:v>
      </x:c>
    </x:row>
    <x:row r="1056">
      <x:c r="A1056" s="2" t="str">
        <x:v>DE-CMP-01</x:v>
      </x:c>
      <x:c r="B1056" s="2" t="str">
        <x:v>CFG-C01</x:v>
      </x:c>
      <x:c r="C1056" s="2" t="n">
        <x:v>46227.70238086805</x:v>
      </x:c>
      <x:c r="D1056" s="2" t="str">
        <x:v>os_cfar</x:v>
      </x:c>
      <x:c r="E1056" s="2" t="str">
        <x:v>closely_spaced_carriers</x:v>
      </x:c>
      <x:c r="F1056" s="2" t="str">
        <x:v>528</x:v>
      </x:c>
      <x:c r="G1056" s="2" t="str">
        <x:v>3154231</x:v>
      </x:c>
      <x:c r="H1056" s="2" t="str">
        <x:v>2048000.0</x:v>
      </x:c>
      <x:c r="I1056" s="2" t="str">
        <x:v>8192</x:v>
      </x:c>
      <x:c r="J1056" s="2" t="str">
        <x:v>250.0</x:v>
      </x:c>
      <x:c r="K1056" s="2" t="str">
        <x:v>2</x:v>
      </x:c>
      <x:c r="L1056" s="2" t="str">
        <x:v>3</x:v>
      </x:c>
      <x:c r="M1056" s="2" t="str">
        <x:v>2</x:v>
      </x:c>
      <x:c r="N1056" s="2" t="str">
        <x:v>1</x:v>
      </x:c>
      <x:c r="O1056" s="2" t="str">
        <x:v>0</x:v>
      </x:c>
      <x:c r="P1056" s="2" t="str">
        <x:v>true</x:v>
      </x:c>
      <x:c r="Q1056" s="2" t="str">
        <x:v>114.032991738;-135.967008262</x:v>
      </x:c>
      <x:c r="R1056" s="2" t="str">
        <x:v>13.841082996805198</x:v>
      </x:c>
      <x:c r="S1056" s="2" t="str">
        <x:v>48.28497412992426</x:v>
      </x:c>
    </x:row>
    <x:row r="1057">
      <x:c r="A1057" s="2" t="str">
        <x:v>DE-CMP-01</x:v>
      </x:c>
      <x:c r="B1057" s="2" t="str">
        <x:v>CFG-C01</x:v>
      </x:c>
      <x:c r="C1057" s="2" t="n">
        <x:v>46227.70238086805</x:v>
      </x:c>
      <x:c r="D1057" s="2" t="str">
        <x:v>adaptive</x:v>
      </x:c>
      <x:c r="E1057" s="2" t="str">
        <x:v>closely_spaced_carriers</x:v>
      </x:c>
      <x:c r="F1057" s="2" t="str">
        <x:v>528</x:v>
      </x:c>
      <x:c r="G1057" s="2" t="str">
        <x:v>3154231</x:v>
      </x:c>
      <x:c r="H1057" s="2" t="str">
        <x:v>2048000.0</x:v>
      </x:c>
      <x:c r="I1057" s="2" t="str">
        <x:v>8192</x:v>
      </x:c>
      <x:c r="J1057" s="2" t="str">
        <x:v>250.0</x:v>
      </x:c>
      <x:c r="K1057" s="2" t="str">
        <x:v>2</x:v>
      </x:c>
      <x:c r="L1057" s="2" t="str">
        <x:v>3</x:v>
      </x:c>
      <x:c r="M1057" s="2" t="str">
        <x:v>2</x:v>
      </x:c>
      <x:c r="N1057" s="2" t="str">
        <x:v>1</x:v>
      </x:c>
      <x:c r="O1057" s="2" t="str">
        <x:v>0</x:v>
      </x:c>
      <x:c r="P1057" s="2" t="str">
        <x:v>true</x:v>
      </x:c>
      <x:c r="Q1057" s="2" t="str">
        <x:v>114.032991738;-135.967008262</x:v>
      </x:c>
      <x:c r="R1057" s="2" t="str">
        <x:v>0.42829199810512364</x:v>
      </x:c>
      <x:c r="S1057" s="2" t="str">
        <x:v>46.53998906787956</x:v>
      </x:c>
    </x:row>
    <x:row r="1058">
      <x:c r="A1058" s="2" t="str">
        <x:v>DE-CMP-01</x:v>
      </x:c>
      <x:c r="B1058" s="2" t="str">
        <x:v>CFG-C01</x:v>
      </x:c>
      <x:c r="C1058" s="2" t="n">
        <x:v>46227.70238086805</x:v>
      </x:c>
      <x:c r="D1058" s="2" t="str">
        <x:v>adaptive</x:v>
      </x:c>
      <x:c r="E1058" s="2" t="str">
        <x:v>closely_spaced_carriers</x:v>
      </x:c>
      <x:c r="F1058" s="2" t="str">
        <x:v>529</x:v>
      </x:c>
      <x:c r="G1058" s="2" t="str">
        <x:v>3154232</x:v>
      </x:c>
      <x:c r="H1058" s="2" t="str">
        <x:v>2048000.0</x:v>
      </x:c>
      <x:c r="I1058" s="2" t="str">
        <x:v>8192</x:v>
      </x:c>
      <x:c r="J1058" s="2" t="str">
        <x:v>250.0</x:v>
      </x:c>
      <x:c r="K1058" s="2" t="str">
        <x:v>2</x:v>
      </x:c>
      <x:c r="L1058" s="2" t="str">
        <x:v>3</x:v>
      </x:c>
      <x:c r="M1058" s="2" t="str">
        <x:v>2</x:v>
      </x:c>
      <x:c r="N1058" s="2" t="str">
        <x:v>1</x:v>
      </x:c>
      <x:c r="O1058" s="2" t="str">
        <x:v>0</x:v>
      </x:c>
      <x:c r="P1058" s="2" t="str">
        <x:v>true</x:v>
      </x:c>
      <x:c r="Q1058" s="2" t="str">
        <x:v>109.534408334;109.534408334</x:v>
      </x:c>
      <x:c r="R1058" s="2" t="str">
        <x:v>0.39741599175613374</x:v>
      </x:c>
      <x:c r="S1058" s="2" t="str">
        <x:v>46.535504041570334</x:v>
      </x:c>
    </x:row>
    <x:row r="1059">
      <x:c r="A1059" s="2" t="str">
        <x:v>DE-CMP-01</x:v>
      </x:c>
      <x:c r="B1059" s="2" t="str">
        <x:v>CFG-C01</x:v>
      </x:c>
      <x:c r="C1059" s="2" t="n">
        <x:v>46227.70238086805</x:v>
      </x:c>
      <x:c r="D1059" s="2" t="str">
        <x:v>os_cfar</x:v>
      </x:c>
      <x:c r="E1059" s="2" t="str">
        <x:v>closely_spaced_carriers</x:v>
      </x:c>
      <x:c r="F1059" s="2" t="str">
        <x:v>529</x:v>
      </x:c>
      <x:c r="G1059" s="2" t="str">
        <x:v>3154232</x:v>
      </x:c>
      <x:c r="H1059" s="2" t="str">
        <x:v>2048000.0</x:v>
      </x:c>
      <x:c r="I1059" s="2" t="str">
        <x:v>8192</x:v>
      </x:c>
      <x:c r="J1059" s="2" t="str">
        <x:v>250.0</x:v>
      </x:c>
      <x:c r="K1059" s="2" t="str">
        <x:v>2</x:v>
      </x:c>
      <x:c r="L1059" s="2" t="str">
        <x:v>3</x:v>
      </x:c>
      <x:c r="M1059" s="2" t="str">
        <x:v>2</x:v>
      </x:c>
      <x:c r="N1059" s="2" t="str">
        <x:v>1</x:v>
      </x:c>
      <x:c r="O1059" s="2" t="str">
        <x:v>0</x:v>
      </x:c>
      <x:c r="P1059" s="2" t="str">
        <x:v>true</x:v>
      </x:c>
      <x:c r="Q1059" s="2" t="str">
        <x:v>109.534408334;109.534408334</x:v>
      </x:c>
      <x:c r="R1059" s="2" t="str">
        <x:v>13.810124990413897</x:v>
      </x:c>
      <x:c r="S1059" s="2" t="str">
        <x:v>48.24601567624746</x:v>
      </x:c>
    </x:row>
    <x:row r="1060">
      <x:c r="A1060" s="2" t="str">
        <x:v>DE-CMP-01</x:v>
      </x:c>
      <x:c r="B1060" s="2" t="str">
        <x:v>CFG-C01</x:v>
      </x:c>
      <x:c r="C1060" s="2" t="n">
        <x:v>46227.70238086805</x:v>
      </x:c>
      <x:c r="D1060" s="2" t="str">
        <x:v>os_cfar</x:v>
      </x:c>
      <x:c r="E1060" s="2" t="str">
        <x:v>closely_spaced_carriers</x:v>
      </x:c>
      <x:c r="F1060" s="2" t="str">
        <x:v>530</x:v>
      </x:c>
      <x:c r="G1060" s="2" t="str">
        <x:v>3154233</x:v>
      </x:c>
      <x:c r="H1060" s="2" t="str">
        <x:v>2048000.0</x:v>
      </x:c>
      <x:c r="I1060" s="2" t="str">
        <x:v>8192</x:v>
      </x:c>
      <x:c r="J1060" s="2" t="str">
        <x:v>250.0</x:v>
      </x:c>
      <x:c r="K1060" s="2" t="str">
        <x:v>2</x:v>
      </x:c>
      <x:c r="L1060" s="2" t="str">
        <x:v>3</x:v>
      </x:c>
      <x:c r="M1060" s="2" t="str">
        <x:v>2</x:v>
      </x:c>
      <x:c r="N1060" s="2" t="str">
        <x:v>1</x:v>
      </x:c>
      <x:c r="O1060" s="2" t="str">
        <x:v>0</x:v>
      </x:c>
      <x:c r="P1060" s="2" t="str">
        <x:v>true</x:v>
      </x:c>
      <x:c r="Q1060" s="2" t="str">
        <x:v>71.061211621;71.061211621</x:v>
      </x:c>
      <x:c r="R1060" s="2" t="str">
        <x:v>13.910291003412567</x:v>
      </x:c>
      <x:c r="S1060" s="2" t="str">
        <x:v>48.11909476622806</x:v>
      </x:c>
    </x:row>
    <x:row r="1061">
      <x:c r="A1061" s="2" t="str">
        <x:v>DE-CMP-01</x:v>
      </x:c>
      <x:c r="B1061" s="2" t="str">
        <x:v>CFG-C01</x:v>
      </x:c>
      <x:c r="C1061" s="2" t="n">
        <x:v>46227.70238086805</x:v>
      </x:c>
      <x:c r="D1061" s="2" t="str">
        <x:v>adaptive</x:v>
      </x:c>
      <x:c r="E1061" s="2" t="str">
        <x:v>closely_spaced_carriers</x:v>
      </x:c>
      <x:c r="F1061" s="2" t="str">
        <x:v>530</x:v>
      </x:c>
      <x:c r="G1061" s="2" t="str">
        <x:v>3154233</x:v>
      </x:c>
      <x:c r="H1061" s="2" t="str">
        <x:v>2048000.0</x:v>
      </x:c>
      <x:c r="I1061" s="2" t="str">
        <x:v>8192</x:v>
      </x:c>
      <x:c r="J1061" s="2" t="str">
        <x:v>250.0</x:v>
      </x:c>
      <x:c r="K1061" s="2" t="str">
        <x:v>2</x:v>
      </x:c>
      <x:c r="L1061" s="2" t="str">
        <x:v>3</x:v>
      </x:c>
      <x:c r="M1061" s="2" t="str">
        <x:v>2</x:v>
      </x:c>
      <x:c r="N1061" s="2" t="str">
        <x:v>1</x:v>
      </x:c>
      <x:c r="O1061" s="2" t="str">
        <x:v>0</x:v>
      </x:c>
      <x:c r="P1061" s="2" t="str">
        <x:v>true</x:v>
      </x:c>
      <x:c r="Q1061" s="2" t="str">
        <x:v>71.061211621;71.061211621</x:v>
      </x:c>
      <x:c r="R1061" s="2" t="str">
        <x:v>0.43237500358372927</x:v>
      </x:c>
      <x:c r="S1061" s="2" t="str">
        <x:v>46.3979806832408</x:v>
      </x:c>
    </x:row>
    <x:row r="1062">
      <x:c r="A1062" s="2" t="str">
        <x:v>DE-CMP-01</x:v>
      </x:c>
      <x:c r="B1062" s="2" t="str">
        <x:v>CFG-C01</x:v>
      </x:c>
      <x:c r="C1062" s="2" t="n">
        <x:v>46227.70238086805</x:v>
      </x:c>
      <x:c r="D1062" s="2" t="str">
        <x:v>adaptive</x:v>
      </x:c>
      <x:c r="E1062" s="2" t="str">
        <x:v>closely_spaced_carriers</x:v>
      </x:c>
      <x:c r="F1062" s="2" t="str">
        <x:v>531</x:v>
      </x:c>
      <x:c r="G1062" s="2" t="str">
        <x:v>3154234</x:v>
      </x:c>
      <x:c r="H1062" s="2" t="str">
        <x:v>2048000.0</x:v>
      </x:c>
      <x:c r="I1062" s="2" t="str">
        <x:v>8192</x:v>
      </x:c>
      <x:c r="J1062" s="2" t="str">
        <x:v>250.0</x:v>
      </x:c>
      <x:c r="K1062" s="2" t="str">
        <x:v>2</x:v>
      </x:c>
      <x:c r="L1062" s="2" t="str">
        <x:v>3</x:v>
      </x:c>
      <x:c r="M1062" s="2" t="str">
        <x:v>2</x:v>
      </x:c>
      <x:c r="N1062" s="2" t="str">
        <x:v>1</x:v>
      </x:c>
      <x:c r="O1062" s="2" t="str">
        <x:v>0</x:v>
      </x:c>
      <x:c r="P1062" s="2" t="str">
        <x:v>true</x:v>
      </x:c>
      <x:c r="Q1062" s="2" t="str">
        <x:v>34.643462522;34.643462522</x:v>
      </x:c>
      <x:c r="R1062" s="2" t="str">
        <x:v>0.4189159953966737</x:v>
      </x:c>
      <x:c r="S1062" s="2" t="str">
        <x:v>46.63370292165441</x:v>
      </x:c>
    </x:row>
    <x:row r="1063">
      <x:c r="A1063" s="2" t="str">
        <x:v>DE-CMP-01</x:v>
      </x:c>
      <x:c r="B1063" s="2" t="str">
        <x:v>CFG-C01</x:v>
      </x:c>
      <x:c r="C1063" s="2" t="n">
        <x:v>46227.70238086805</x:v>
      </x:c>
      <x:c r="D1063" s="2" t="str">
        <x:v>os_cfar</x:v>
      </x:c>
      <x:c r="E1063" s="2" t="str">
        <x:v>closely_spaced_carriers</x:v>
      </x:c>
      <x:c r="F1063" s="2" t="str">
        <x:v>531</x:v>
      </x:c>
      <x:c r="G1063" s="2" t="str">
        <x:v>3154234</x:v>
      </x:c>
      <x:c r="H1063" s="2" t="str">
        <x:v>2048000.0</x:v>
      </x:c>
      <x:c r="I1063" s="2" t="str">
        <x:v>8192</x:v>
      </x:c>
      <x:c r="J1063" s="2" t="str">
        <x:v>250.0</x:v>
      </x:c>
      <x:c r="K1063" s="2" t="str">
        <x:v>2</x:v>
      </x:c>
      <x:c r="L1063" s="2" t="str">
        <x:v>3</x:v>
      </x:c>
      <x:c r="M1063" s="2" t="str">
        <x:v>2</x:v>
      </x:c>
      <x:c r="N1063" s="2" t="str">
        <x:v>1</x:v>
      </x:c>
      <x:c r="O1063" s="2" t="str">
        <x:v>0</x:v>
      </x:c>
      <x:c r="P1063" s="2" t="str">
        <x:v>true</x:v>
      </x:c>
      <x:c r="Q1063" s="2" t="str">
        <x:v>34.643462522;34.643462522</x:v>
      </x:c>
      <x:c r="R1063" s="2" t="str">
        <x:v>13.67220799147617</x:v>
      </x:c>
      <x:c r="S1063" s="2" t="str">
        <x:v>48.2797363567923</x:v>
      </x:c>
    </x:row>
    <x:row r="1064">
      <x:c r="A1064" s="2" t="str">
        <x:v>DE-CMP-01</x:v>
      </x:c>
      <x:c r="B1064" s="2" t="str">
        <x:v>CFG-C01</x:v>
      </x:c>
      <x:c r="C1064" s="2" t="n">
        <x:v>46227.70238086805</x:v>
      </x:c>
      <x:c r="D1064" s="2" t="str">
        <x:v>os_cfar</x:v>
      </x:c>
      <x:c r="E1064" s="2" t="str">
        <x:v>closely_spaced_carriers</x:v>
      </x:c>
      <x:c r="F1064" s="2" t="str">
        <x:v>532</x:v>
      </x:c>
      <x:c r="G1064" s="2" t="str">
        <x:v>3154235</x:v>
      </x:c>
      <x:c r="H1064" s="2" t="str">
        <x:v>2048000.0</x:v>
      </x:c>
      <x:c r="I1064" s="2" t="str">
        <x:v>8192</x:v>
      </x:c>
      <x:c r="J1064" s="2" t="str">
        <x:v>250.0</x:v>
      </x:c>
      <x:c r="K1064" s="2" t="str">
        <x:v>2</x:v>
      </x:c>
      <x:c r="L1064" s="2" t="str">
        <x:v>3</x:v>
      </x:c>
      <x:c r="M1064" s="2" t="str">
        <x:v>2</x:v>
      </x:c>
      <x:c r="N1064" s="2" t="str">
        <x:v>1</x:v>
      </x:c>
      <x:c r="O1064" s="2" t="str">
        <x:v>0</x:v>
      </x:c>
      <x:c r="P1064" s="2" t="str">
        <x:v>true</x:v>
      </x:c>
      <x:c r="Q1064" s="2" t="str">
        <x:v>-82.600982944;-82.600982944</x:v>
      </x:c>
      <x:c r="R1064" s="2" t="str">
        <x:v>13.77170799241867</x:v>
      </x:c>
      <x:c r="S1064" s="2" t="str">
        <x:v>48.30080074024559</x:v>
      </x:c>
    </x:row>
    <x:row r="1065">
      <x:c r="A1065" s="2" t="str">
        <x:v>DE-CMP-01</x:v>
      </x:c>
      <x:c r="B1065" s="2" t="str">
        <x:v>CFG-C01</x:v>
      </x:c>
      <x:c r="C1065" s="2" t="n">
        <x:v>46227.70238086805</x:v>
      </x:c>
      <x:c r="D1065" s="2" t="str">
        <x:v>adaptive</x:v>
      </x:c>
      <x:c r="E1065" s="2" t="str">
        <x:v>closely_spaced_carriers</x:v>
      </x:c>
      <x:c r="F1065" s="2" t="str">
        <x:v>532</x:v>
      </x:c>
      <x:c r="G1065" s="2" t="str">
        <x:v>3154235</x:v>
      </x:c>
      <x:c r="H1065" s="2" t="str">
        <x:v>2048000.0</x:v>
      </x:c>
      <x:c r="I1065" s="2" t="str">
        <x:v>8192</x:v>
      </x:c>
      <x:c r="J1065" s="2" t="str">
        <x:v>250.0</x:v>
      </x:c>
      <x:c r="K1065" s="2" t="str">
        <x:v>2</x:v>
      </x:c>
      <x:c r="L1065" s="2" t="str">
        <x:v>3</x:v>
      </x:c>
      <x:c r="M1065" s="2" t="str">
        <x:v>2</x:v>
      </x:c>
      <x:c r="N1065" s="2" t="str">
        <x:v>1</x:v>
      </x:c>
      <x:c r="O1065" s="2" t="str">
        <x:v>0</x:v>
      </x:c>
      <x:c r="P1065" s="2" t="str">
        <x:v>true</x:v>
      </x:c>
      <x:c r="Q1065" s="2" t="str">
        <x:v>-82.600982944;-82.600982944</x:v>
      </x:c>
      <x:c r="R1065" s="2" t="str">
        <x:v>0.42733400186989456</x:v>
      </x:c>
      <x:c r="S1065" s="2" t="str">
        <x:v>46.439801660181274</x:v>
      </x:c>
    </x:row>
    <x:row r="1066">
      <x:c r="A1066" s="2" t="str">
        <x:v>DE-CMP-01</x:v>
      </x:c>
      <x:c r="B1066" s="2" t="str">
        <x:v>CFG-C01</x:v>
      </x:c>
      <x:c r="C1066" s="2" t="n">
        <x:v>46227.70238086805</x:v>
      </x:c>
      <x:c r="D1066" s="2" t="str">
        <x:v>adaptive</x:v>
      </x:c>
      <x:c r="E1066" s="2" t="str">
        <x:v>closely_spaced_carriers</x:v>
      </x:c>
      <x:c r="F1066" s="2" t="str">
        <x:v>533</x:v>
      </x:c>
      <x:c r="G1066" s="2" t="str">
        <x:v>3154236</x:v>
      </x:c>
      <x:c r="H1066" s="2" t="str">
        <x:v>2048000.0</x:v>
      </x:c>
      <x:c r="I1066" s="2" t="str">
        <x:v>8192</x:v>
      </x:c>
      <x:c r="J1066" s="2" t="str">
        <x:v>250.0</x:v>
      </x:c>
      <x:c r="K1066" s="2" t="str">
        <x:v>2</x:v>
      </x:c>
      <x:c r="L1066" s="2" t="str">
        <x:v>3</x:v>
      </x:c>
      <x:c r="M1066" s="2" t="str">
        <x:v>2</x:v>
      </x:c>
      <x:c r="N1066" s="2" t="str">
        <x:v>1</x:v>
      </x:c>
      <x:c r="O1066" s="2" t="str">
        <x:v>0</x:v>
      </x:c>
      <x:c r="P1066" s="2" t="str">
        <x:v>true</x:v>
      </x:c>
      <x:c r="Q1066" s="2" t="str">
        <x:v>60.475902106;60.475902106</x:v>
      </x:c>
      <x:c r="R1066" s="2" t="str">
        <x:v>0.41954100015573204</x:v>
      </x:c>
      <x:c r="S1066" s="2" t="str">
        <x:v>46.369227854073934</x:v>
      </x:c>
    </x:row>
    <x:row r="1067">
      <x:c r="A1067" s="2" t="str">
        <x:v>DE-CMP-01</x:v>
      </x:c>
      <x:c r="B1067" s="2" t="str">
        <x:v>CFG-C01</x:v>
      </x:c>
      <x:c r="C1067" s="2" t="n">
        <x:v>46227.70238086805</x:v>
      </x:c>
      <x:c r="D1067" s="2" t="str">
        <x:v>os_cfar</x:v>
      </x:c>
      <x:c r="E1067" s="2" t="str">
        <x:v>closely_spaced_carriers</x:v>
      </x:c>
      <x:c r="F1067" s="2" t="str">
        <x:v>533</x:v>
      </x:c>
      <x:c r="G1067" s="2" t="str">
        <x:v>3154236</x:v>
      </x:c>
      <x:c r="H1067" s="2" t="str">
        <x:v>2048000.0</x:v>
      </x:c>
      <x:c r="I1067" s="2" t="str">
        <x:v>8192</x:v>
      </x:c>
      <x:c r="J1067" s="2" t="str">
        <x:v>250.0</x:v>
      </x:c>
      <x:c r="K1067" s="2" t="str">
        <x:v>2</x:v>
      </x:c>
      <x:c r="L1067" s="2" t="str">
        <x:v>3</x:v>
      </x:c>
      <x:c r="M1067" s="2" t="str">
        <x:v>2</x:v>
      </x:c>
      <x:c r="N1067" s="2" t="str">
        <x:v>1</x:v>
      </x:c>
      <x:c r="O1067" s="2" t="str">
        <x:v>0</x:v>
      </x:c>
      <x:c r="P1067" s="2" t="str">
        <x:v>true</x:v>
      </x:c>
      <x:c r="Q1067" s="2" t="str">
        <x:v>60.475902106;60.475902106</x:v>
      </x:c>
      <x:c r="R1067" s="2" t="str">
        <x:v>13.975458001368679</x:v>
      </x:c>
      <x:c r="S1067" s="2" t="str">
        <x:v>48.20551374237478</x:v>
      </x:c>
    </x:row>
    <x:row r="1068">
      <x:c r="A1068" s="2" t="str">
        <x:v>DE-CMP-01</x:v>
      </x:c>
      <x:c r="B1068" s="2" t="str">
        <x:v>CFG-C01</x:v>
      </x:c>
      <x:c r="C1068" s="2" t="n">
        <x:v>46227.70238086805</x:v>
      </x:c>
      <x:c r="D1068" s="2" t="str">
        <x:v>os_cfar</x:v>
      </x:c>
      <x:c r="E1068" s="2" t="str">
        <x:v>closely_spaced_carriers</x:v>
      </x:c>
      <x:c r="F1068" s="2" t="str">
        <x:v>534</x:v>
      </x:c>
      <x:c r="G1068" s="2" t="str">
        <x:v>3154237</x:v>
      </x:c>
      <x:c r="H1068" s="2" t="str">
        <x:v>2048000.0</x:v>
      </x:c>
      <x:c r="I1068" s="2" t="str">
        <x:v>8192</x:v>
      </x:c>
      <x:c r="J1068" s="2" t="str">
        <x:v>250.0</x:v>
      </x:c>
      <x:c r="K1068" s="2" t="str">
        <x:v>2</x:v>
      </x:c>
      <x:c r="L1068" s="2" t="str">
        <x:v>3</x:v>
      </x:c>
      <x:c r="M1068" s="2" t="str">
        <x:v>2</x:v>
      </x:c>
      <x:c r="N1068" s="2" t="str">
        <x:v>1</x:v>
      </x:c>
      <x:c r="O1068" s="2" t="str">
        <x:v>0</x:v>
      </x:c>
      <x:c r="P1068" s="2" t="str">
        <x:v>true</x:v>
      </x:c>
      <x:c r="Q1068" s="2" t="str">
        <x:v>34.750430968;34.750430968</x:v>
      </x:c>
      <x:c r="R1068" s="2" t="str">
        <x:v>13.856333011062816</x:v>
      </x:c>
      <x:c r="S1068" s="2" t="str">
        <x:v>48.24718825292724</x:v>
      </x:c>
    </x:row>
    <x:row r="1069">
      <x:c r="A1069" s="2" t="str">
        <x:v>DE-CMP-01</x:v>
      </x:c>
      <x:c r="B1069" s="2" t="str">
        <x:v>CFG-C01</x:v>
      </x:c>
      <x:c r="C1069" s="2" t="n">
        <x:v>46227.70238086805</x:v>
      </x:c>
      <x:c r="D1069" s="2" t="str">
        <x:v>adaptive</x:v>
      </x:c>
      <x:c r="E1069" s="2" t="str">
        <x:v>closely_spaced_carriers</x:v>
      </x:c>
      <x:c r="F1069" s="2" t="str">
        <x:v>534</x:v>
      </x:c>
      <x:c r="G1069" s="2" t="str">
        <x:v>3154237</x:v>
      </x:c>
      <x:c r="H1069" s="2" t="str">
        <x:v>2048000.0</x:v>
      </x:c>
      <x:c r="I1069" s="2" t="str">
        <x:v>8192</x:v>
      </x:c>
      <x:c r="J1069" s="2" t="str">
        <x:v>250.0</x:v>
      </x:c>
      <x:c r="K1069" s="2" t="str">
        <x:v>2</x:v>
      </x:c>
      <x:c r="L1069" s="2" t="str">
        <x:v>3</x:v>
      </x:c>
      <x:c r="M1069" s="2" t="str">
        <x:v>2</x:v>
      </x:c>
      <x:c r="N1069" s="2" t="str">
        <x:v>1</x:v>
      </x:c>
      <x:c r="O1069" s="2" t="str">
        <x:v>0</x:v>
      </x:c>
      <x:c r="P1069" s="2" t="str">
        <x:v>true</x:v>
      </x:c>
      <x:c r="Q1069" s="2" t="str">
        <x:v>34.750430968;34.750430968</x:v>
      </x:c>
      <x:c r="R1069" s="2" t="str">
        <x:v>0.40745799196884036</x:v>
      </x:c>
      <x:c r="S1069" s="2" t="str">
        <x:v>46.35600788799053</x:v>
      </x:c>
    </x:row>
    <x:row r="1070">
      <x:c r="A1070" s="2" t="str">
        <x:v>DE-CMP-01</x:v>
      </x:c>
      <x:c r="B1070" s="2" t="str">
        <x:v>CFG-C01</x:v>
      </x:c>
      <x:c r="C1070" s="2" t="n">
        <x:v>46227.70238086805</x:v>
      </x:c>
      <x:c r="D1070" s="2" t="str">
        <x:v>adaptive</x:v>
      </x:c>
      <x:c r="E1070" s="2" t="str">
        <x:v>closely_spaced_carriers</x:v>
      </x:c>
      <x:c r="F1070" s="2" t="str">
        <x:v>535</x:v>
      </x:c>
      <x:c r="G1070" s="2" t="str">
        <x:v>3154238</x:v>
      </x:c>
      <x:c r="H1070" s="2" t="str">
        <x:v>2048000.0</x:v>
      </x:c>
      <x:c r="I1070" s="2" t="str">
        <x:v>8192</x:v>
      </x:c>
      <x:c r="J1070" s="2" t="str">
        <x:v>250.0</x:v>
      </x:c>
      <x:c r="K1070" s="2" t="str">
        <x:v>2</x:v>
      </x:c>
      <x:c r="L1070" s="2" t="str">
        <x:v>3</x:v>
      </x:c>
      <x:c r="M1070" s="2" t="str">
        <x:v>2</x:v>
      </x:c>
      <x:c r="N1070" s="2" t="str">
        <x:v>1</x:v>
      </x:c>
      <x:c r="O1070" s="2" t="str">
        <x:v>0</x:v>
      </x:c>
      <x:c r="P1070" s="2" t="str">
        <x:v>true</x:v>
      </x:c>
      <x:c r="Q1070" s="2" t="str">
        <x:v>26.615053171;26.615053171</x:v>
      </x:c>
      <x:c r="R1070" s="2" t="str">
        <x:v>0.42708299588412046</x:v>
      </x:c>
      <x:c r="S1070" s="2" t="str">
        <x:v>46.36928020921229</x:v>
      </x:c>
    </x:row>
    <x:row r="1071">
      <x:c r="A1071" s="2" t="str">
        <x:v>DE-CMP-01</x:v>
      </x:c>
      <x:c r="B1071" s="2" t="str">
        <x:v>CFG-C01</x:v>
      </x:c>
      <x:c r="C1071" s="2" t="n">
        <x:v>46227.70238086805</x:v>
      </x:c>
      <x:c r="D1071" s="2" t="str">
        <x:v>os_cfar</x:v>
      </x:c>
      <x:c r="E1071" s="2" t="str">
        <x:v>closely_spaced_carriers</x:v>
      </x:c>
      <x:c r="F1071" s="2" t="str">
        <x:v>535</x:v>
      </x:c>
      <x:c r="G1071" s="2" t="str">
        <x:v>3154238</x:v>
      </x:c>
      <x:c r="H1071" s="2" t="str">
        <x:v>2048000.0</x:v>
      </x:c>
      <x:c r="I1071" s="2" t="str">
        <x:v>8192</x:v>
      </x:c>
      <x:c r="J1071" s="2" t="str">
        <x:v>250.0</x:v>
      </x:c>
      <x:c r="K1071" s="2" t="str">
        <x:v>2</x:v>
      </x:c>
      <x:c r="L1071" s="2" t="str">
        <x:v>3</x:v>
      </x:c>
      <x:c r="M1071" s="2" t="str">
        <x:v>2</x:v>
      </x:c>
      <x:c r="N1071" s="2" t="str">
        <x:v>1</x:v>
      </x:c>
      <x:c r="O1071" s="2" t="str">
        <x:v>0</x:v>
      </x:c>
      <x:c r="P1071" s="2" t="str">
        <x:v>true</x:v>
      </x:c>
      <x:c r="Q1071" s="2" t="str">
        <x:v>26.615053171;26.615053171</x:v>
      </x:c>
      <x:c r="R1071" s="2" t="str">
        <x:v>13.594417003332637</x:v>
      </x:c>
      <x:c r="S1071" s="2" t="str">
        <x:v>48.15364123442133</x:v>
      </x:c>
    </x:row>
    <x:row r="1072">
      <x:c r="A1072" s="2" t="str">
        <x:v>DE-CMP-01</x:v>
      </x:c>
      <x:c r="B1072" s="2" t="str">
        <x:v>CFG-C01</x:v>
      </x:c>
      <x:c r="C1072" s="2" t="n">
        <x:v>46227.70238086805</x:v>
      </x:c>
      <x:c r="D1072" s="2" t="str">
        <x:v>os_cfar</x:v>
      </x:c>
      <x:c r="E1072" s="2" t="str">
        <x:v>closely_spaced_carriers</x:v>
      </x:c>
      <x:c r="F1072" s="2" t="str">
        <x:v>536</x:v>
      </x:c>
      <x:c r="G1072" s="2" t="str">
        <x:v>3154239</x:v>
      </x:c>
      <x:c r="H1072" s="2" t="str">
        <x:v>2048000.0</x:v>
      </x:c>
      <x:c r="I1072" s="2" t="str">
        <x:v>8192</x:v>
      </x:c>
      <x:c r="J1072" s="2" t="str">
        <x:v>250.0</x:v>
      </x:c>
      <x:c r="K1072" s="2" t="str">
        <x:v>2</x:v>
      </x:c>
      <x:c r="L1072" s="2" t="str">
        <x:v>3</x:v>
      </x:c>
      <x:c r="M1072" s="2" t="str">
        <x:v>2</x:v>
      </x:c>
      <x:c r="N1072" s="2" t="str">
        <x:v>1</x:v>
      </x:c>
      <x:c r="O1072" s="2" t="str">
        <x:v>0</x:v>
      </x:c>
      <x:c r="P1072" s="2" t="str">
        <x:v>true</x:v>
      </x:c>
      <x:c r="Q1072" s="2" t="str">
        <x:v>86.570067489;86.570067489</x:v>
      </x:c>
      <x:c r="R1072" s="2" t="str">
        <x:v>13.927209001849405</x:v>
      </x:c>
      <x:c r="S1072" s="2" t="str">
        <x:v>48.31571002170556</x:v>
      </x:c>
    </x:row>
    <x:row r="1073">
      <x:c r="A1073" s="2" t="str">
        <x:v>DE-CMP-01</x:v>
      </x:c>
      <x:c r="B1073" s="2" t="str">
        <x:v>CFG-C01</x:v>
      </x:c>
      <x:c r="C1073" s="2" t="n">
        <x:v>46227.70238086805</x:v>
      </x:c>
      <x:c r="D1073" s="2" t="str">
        <x:v>adaptive</x:v>
      </x:c>
      <x:c r="E1073" s="2" t="str">
        <x:v>closely_spaced_carriers</x:v>
      </x:c>
      <x:c r="F1073" s="2" t="str">
        <x:v>536</x:v>
      </x:c>
      <x:c r="G1073" s="2" t="str">
        <x:v>3154239</x:v>
      </x:c>
      <x:c r="H1073" s="2" t="str">
        <x:v>2048000.0</x:v>
      </x:c>
      <x:c r="I1073" s="2" t="str">
        <x:v>8192</x:v>
      </x:c>
      <x:c r="J1073" s="2" t="str">
        <x:v>250.0</x:v>
      </x:c>
      <x:c r="K1073" s="2" t="str">
        <x:v>2</x:v>
      </x:c>
      <x:c r="L1073" s="2" t="str">
        <x:v>3</x:v>
      </x:c>
      <x:c r="M1073" s="2" t="str">
        <x:v>2</x:v>
      </x:c>
      <x:c r="N1073" s="2" t="str">
        <x:v>1</x:v>
      </x:c>
      <x:c r="O1073" s="2" t="str">
        <x:v>0</x:v>
      </x:c>
      <x:c r="P1073" s="2" t="str">
        <x:v>true</x:v>
      </x:c>
      <x:c r="Q1073" s="2" t="str">
        <x:v>86.570067489;86.570067489</x:v>
      </x:c>
      <x:c r="R1073" s="2" t="str">
        <x:v>0.4626669979188591</x:v>
      </x:c>
      <x:c r="S1073" s="2" t="str">
        <x:v>46.41455991971269</x:v>
      </x:c>
    </x:row>
    <x:row r="1074">
      <x:c r="A1074" s="2" t="str">
        <x:v>DE-CMP-01</x:v>
      </x:c>
      <x:c r="B1074" s="2" t="str">
        <x:v>CFG-C01</x:v>
      </x:c>
      <x:c r="C1074" s="2" t="n">
        <x:v>46227.70238086805</x:v>
      </x:c>
      <x:c r="D1074" s="2" t="str">
        <x:v>adaptive</x:v>
      </x:c>
      <x:c r="E1074" s="2" t="str">
        <x:v>closely_spaced_carriers</x:v>
      </x:c>
      <x:c r="F1074" s="2" t="str">
        <x:v>537</x:v>
      </x:c>
      <x:c r="G1074" s="2" t="str">
        <x:v>3154240</x:v>
      </x:c>
      <x:c r="H1074" s="2" t="str">
        <x:v>2048000.0</x:v>
      </x:c>
      <x:c r="I1074" s="2" t="str">
        <x:v>8192</x:v>
      </x:c>
      <x:c r="J1074" s="2" t="str">
        <x:v>250.0</x:v>
      </x:c>
      <x:c r="K1074" s="2" t="str">
        <x:v>2</x:v>
      </x:c>
      <x:c r="L1074" s="2" t="str">
        <x:v>3</x:v>
      </x:c>
      <x:c r="M1074" s="2" t="str">
        <x:v>2</x:v>
      </x:c>
      <x:c r="N1074" s="2" t="str">
        <x:v>1</x:v>
      </x:c>
      <x:c r="O1074" s="2" t="str">
        <x:v>0</x:v>
      </x:c>
      <x:c r="P1074" s="2" t="str">
        <x:v>true</x:v>
      </x:c>
      <x:c r="Q1074" s="2" t="str">
        <x:v>-115.534614700;-115.534614700</x:v>
      </x:c>
      <x:c r="R1074" s="2" t="str">
        <x:v>0.3978329914389178</x:v>
      </x:c>
      <x:c r="S1074" s="2" t="str">
        <x:v>46.3854339113132</x:v>
      </x:c>
    </x:row>
    <x:row r="1075">
      <x:c r="A1075" s="2" t="str">
        <x:v>DE-CMP-01</x:v>
      </x:c>
      <x:c r="B1075" s="2" t="str">
        <x:v>CFG-C01</x:v>
      </x:c>
      <x:c r="C1075" s="2" t="n">
        <x:v>46227.70238086805</x:v>
      </x:c>
      <x:c r="D1075" s="2" t="str">
        <x:v>os_cfar</x:v>
      </x:c>
      <x:c r="E1075" s="2" t="str">
        <x:v>closely_spaced_carriers</x:v>
      </x:c>
      <x:c r="F1075" s="2" t="str">
        <x:v>537</x:v>
      </x:c>
      <x:c r="G1075" s="2" t="str">
        <x:v>3154240</x:v>
      </x:c>
      <x:c r="H1075" s="2" t="str">
        <x:v>2048000.0</x:v>
      </x:c>
      <x:c r="I1075" s="2" t="str">
        <x:v>8192</x:v>
      </x:c>
      <x:c r="J1075" s="2" t="str">
        <x:v>250.0</x:v>
      </x:c>
      <x:c r="K1075" s="2" t="str">
        <x:v>2</x:v>
      </x:c>
      <x:c r="L1075" s="2" t="str">
        <x:v>3</x:v>
      </x:c>
      <x:c r="M1075" s="2" t="str">
        <x:v>2</x:v>
      </x:c>
      <x:c r="N1075" s="2" t="str">
        <x:v>1</x:v>
      </x:c>
      <x:c r="O1075" s="2" t="str">
        <x:v>0</x:v>
      </x:c>
      <x:c r="P1075" s="2" t="str">
        <x:v>true</x:v>
      </x:c>
      <x:c r="Q1075" s="2" t="str">
        <x:v>-115.534614700;-115.534614700</x:v>
      </x:c>
      <x:c r="R1075" s="2" t="str">
        <x:v>13.653250003699213</x:v>
      </x:c>
      <x:c r="S1075" s="2" t="str">
        <x:v>48.14999781780658</x:v>
      </x:c>
    </x:row>
    <x:row r="1076">
      <x:c r="A1076" s="2" t="str">
        <x:v>DE-CMP-01</x:v>
      </x:c>
      <x:c r="B1076" s="2" t="str">
        <x:v>CFG-C01</x:v>
      </x:c>
      <x:c r="C1076" s="2" t="n">
        <x:v>46227.70238086805</x:v>
      </x:c>
      <x:c r="D1076" s="2" t="str">
        <x:v>os_cfar</x:v>
      </x:c>
      <x:c r="E1076" s="2" t="str">
        <x:v>closely_spaced_carriers</x:v>
      </x:c>
      <x:c r="F1076" s="2" t="str">
        <x:v>538</x:v>
      </x:c>
      <x:c r="G1076" s="2" t="str">
        <x:v>3154241</x:v>
      </x:c>
      <x:c r="H1076" s="2" t="str">
        <x:v>2048000.0</x:v>
      </x:c>
      <x:c r="I1076" s="2" t="str">
        <x:v>8192</x:v>
      </x:c>
      <x:c r="J1076" s="2" t="str">
        <x:v>250.0</x:v>
      </x:c>
      <x:c r="K1076" s="2" t="str">
        <x:v>2</x:v>
      </x:c>
      <x:c r="L1076" s="2" t="str">
        <x:v>3</x:v>
      </x:c>
      <x:c r="M1076" s="2" t="str">
        <x:v>2</x:v>
      </x:c>
      <x:c r="N1076" s="2" t="str">
        <x:v>1</x:v>
      </x:c>
      <x:c r="O1076" s="2" t="str">
        <x:v>0</x:v>
      </x:c>
      <x:c r="P1076" s="2" t="str">
        <x:v>true</x:v>
      </x:c>
      <x:c r="Q1076" s="2" t="str">
        <x:v>-51.473823167;-51.473823167</x:v>
      </x:c>
      <x:c r="R1076" s="2" t="str">
        <x:v>14.075958999455906</x:v>
      </x:c>
      <x:c r="S1076" s="2" t="str">
        <x:v>48.25577930871817</x:v>
      </x:c>
    </x:row>
    <x:row r="1077">
      <x:c r="A1077" s="2" t="str">
        <x:v>DE-CMP-01</x:v>
      </x:c>
      <x:c r="B1077" s="2" t="str">
        <x:v>CFG-C01</x:v>
      </x:c>
      <x:c r="C1077" s="2" t="n">
        <x:v>46227.70238086805</x:v>
      </x:c>
      <x:c r="D1077" s="2" t="str">
        <x:v>adaptive</x:v>
      </x:c>
      <x:c r="E1077" s="2" t="str">
        <x:v>closely_spaced_carriers</x:v>
      </x:c>
      <x:c r="F1077" s="2" t="str">
        <x:v>538</x:v>
      </x:c>
      <x:c r="G1077" s="2" t="str">
        <x:v>3154241</x:v>
      </x:c>
      <x:c r="H1077" s="2" t="str">
        <x:v>2048000.0</x:v>
      </x:c>
      <x:c r="I1077" s="2" t="str">
        <x:v>8192</x:v>
      </x:c>
      <x:c r="J1077" s="2" t="str">
        <x:v>250.0</x:v>
      </x:c>
      <x:c r="K1077" s="2" t="str">
        <x:v>2</x:v>
      </x:c>
      <x:c r="L1077" s="2" t="str">
        <x:v>3</x:v>
      </x:c>
      <x:c r="M1077" s="2" t="str">
        <x:v>2</x:v>
      </x:c>
      <x:c r="N1077" s="2" t="str">
        <x:v>1</x:v>
      </x:c>
      <x:c r="O1077" s="2" t="str">
        <x:v>0</x:v>
      </x:c>
      <x:c r="P1077" s="2" t="str">
        <x:v>true</x:v>
      </x:c>
      <x:c r="Q1077" s="2" t="str">
        <x:v>-51.473823167;-51.473823167</x:v>
      </x:c>
      <x:c r="R1077" s="2" t="str">
        <x:v>0.46358301187865436</x:v>
      </x:c>
      <x:c r="S1077" s="2" t="str">
        <x:v>46.58762573607443</x:v>
      </x:c>
    </x:row>
    <x:row r="1078">
      <x:c r="A1078" s="2" t="str">
        <x:v>DE-CMP-01</x:v>
      </x:c>
      <x:c r="B1078" s="2" t="str">
        <x:v>CFG-C01</x:v>
      </x:c>
      <x:c r="C1078" s="2" t="n">
        <x:v>46227.70238086805</x:v>
      </x:c>
      <x:c r="D1078" s="2" t="str">
        <x:v>adaptive</x:v>
      </x:c>
      <x:c r="E1078" s="2" t="str">
        <x:v>closely_spaced_carriers</x:v>
      </x:c>
      <x:c r="F1078" s="2" t="str">
        <x:v>539</x:v>
      </x:c>
      <x:c r="G1078" s="2" t="str">
        <x:v>3154242</x:v>
      </x:c>
      <x:c r="H1078" s="2" t="str">
        <x:v>2048000.0</x:v>
      </x:c>
      <x:c r="I1078" s="2" t="str">
        <x:v>8192</x:v>
      </x:c>
      <x:c r="J1078" s="2" t="str">
        <x:v>250.0</x:v>
      </x:c>
      <x:c r="K1078" s="2" t="str">
        <x:v>2</x:v>
      </x:c>
      <x:c r="L1078" s="2" t="str">
        <x:v>3</x:v>
      </x:c>
      <x:c r="M1078" s="2" t="str">
        <x:v>2</x:v>
      </x:c>
      <x:c r="N1078" s="2" t="str">
        <x:v>1</x:v>
      </x:c>
      <x:c r="O1078" s="2" t="str">
        <x:v>0</x:v>
      </x:c>
      <x:c r="P1078" s="2" t="str">
        <x:v>true</x:v>
      </x:c>
      <x:c r="Q1078" s="2" t="str">
        <x:v>25.116309897;25.116309897</x:v>
      </x:c>
      <x:c r="R1078" s="2" t="str">
        <x:v>0.44129199523013085</x:v>
      </x:c>
      <x:c r="S1078" s="2" t="str">
        <x:v>46.51376556065763</x:v>
      </x:c>
    </x:row>
    <x:row r="1079">
      <x:c r="A1079" s="2" t="str">
        <x:v>DE-CMP-01</x:v>
      </x:c>
      <x:c r="B1079" s="2" t="str">
        <x:v>CFG-C01</x:v>
      </x:c>
      <x:c r="C1079" s="2" t="n">
        <x:v>46227.70238086805</x:v>
      </x:c>
      <x:c r="D1079" s="2" t="str">
        <x:v>os_cfar</x:v>
      </x:c>
      <x:c r="E1079" s="2" t="str">
        <x:v>closely_spaced_carriers</x:v>
      </x:c>
      <x:c r="F1079" s="2" t="str">
        <x:v>539</x:v>
      </x:c>
      <x:c r="G1079" s="2" t="str">
        <x:v>3154242</x:v>
      </x:c>
      <x:c r="H1079" s="2" t="str">
        <x:v>2048000.0</x:v>
      </x:c>
      <x:c r="I1079" s="2" t="str">
        <x:v>8192</x:v>
      </x:c>
      <x:c r="J1079" s="2" t="str">
        <x:v>250.0</x:v>
      </x:c>
      <x:c r="K1079" s="2" t="str">
        <x:v>2</x:v>
      </x:c>
      <x:c r="L1079" s="2" t="str">
        <x:v>3</x:v>
      </x:c>
      <x:c r="M1079" s="2" t="str">
        <x:v>2</x:v>
      </x:c>
      <x:c r="N1079" s="2" t="str">
        <x:v>1</x:v>
      </x:c>
      <x:c r="O1079" s="2" t="str">
        <x:v>0</x:v>
      </x:c>
      <x:c r="P1079" s="2" t="str">
        <x:v>true</x:v>
      </x:c>
      <x:c r="Q1079" s="2" t="str">
        <x:v>25.116309897;25.116309897</x:v>
      </x:c>
      <x:c r="R1079" s="2" t="str">
        <x:v>13.68629198987037</x:v>
      </x:c>
      <x:c r="S1079" s="2" t="str">
        <x:v>48.21253811879096</x:v>
      </x:c>
    </x:row>
    <x:row r="1080">
      <x:c r="A1080" s="2" t="str">
        <x:v>DE-CMP-01</x:v>
      </x:c>
      <x:c r="B1080" s="2" t="str">
        <x:v>CFG-C01</x:v>
      </x:c>
      <x:c r="C1080" s="2" t="n">
        <x:v>46227.70238086805</x:v>
      </x:c>
      <x:c r="D1080" s="2" t="str">
        <x:v>os_cfar</x:v>
      </x:c>
      <x:c r="E1080" s="2" t="str">
        <x:v>closely_spaced_carriers</x:v>
      </x:c>
      <x:c r="F1080" s="2" t="str">
        <x:v>540</x:v>
      </x:c>
      <x:c r="G1080" s="2" t="str">
        <x:v>3154243</x:v>
      </x:c>
      <x:c r="H1080" s="2" t="str">
        <x:v>2048000.0</x:v>
      </x:c>
      <x:c r="I1080" s="2" t="str">
        <x:v>8192</x:v>
      </x:c>
      <x:c r="J1080" s="2" t="str">
        <x:v>250.0</x:v>
      </x:c>
      <x:c r="K1080" s="2" t="str">
        <x:v>2</x:v>
      </x:c>
      <x:c r="L1080" s="2" t="str">
        <x:v>3</x:v>
      </x:c>
      <x:c r="M1080" s="2" t="str">
        <x:v>2</x:v>
      </x:c>
      <x:c r="N1080" s="2" t="str">
        <x:v>1</x:v>
      </x:c>
      <x:c r="O1080" s="2" t="str">
        <x:v>0</x:v>
      </x:c>
      <x:c r="P1080" s="2" t="str">
        <x:v>true</x:v>
      </x:c>
      <x:c r="Q1080" s="2" t="str">
        <x:v>-92.195274172;-92.195274172</x:v>
      </x:c>
      <x:c r="R1080" s="2" t="str">
        <x:v>13.689291998161934</x:v>
      </x:c>
      <x:c r="S1080" s="2" t="str">
        <x:v>48.21185143479958</x:v>
      </x:c>
    </x:row>
    <x:row r="1081">
      <x:c r="A1081" s="2" t="str">
        <x:v>DE-CMP-01</x:v>
      </x:c>
      <x:c r="B1081" s="2" t="str">
        <x:v>CFG-C01</x:v>
      </x:c>
      <x:c r="C1081" s="2" t="n">
        <x:v>46227.70238086805</x:v>
      </x:c>
      <x:c r="D1081" s="2" t="str">
        <x:v>adaptive</x:v>
      </x:c>
      <x:c r="E1081" s="2" t="str">
        <x:v>closely_spaced_carriers</x:v>
      </x:c>
      <x:c r="F1081" s="2" t="str">
        <x:v>540</x:v>
      </x:c>
      <x:c r="G1081" s="2" t="str">
        <x:v>3154243</x:v>
      </x:c>
      <x:c r="H1081" s="2" t="str">
        <x:v>2048000.0</x:v>
      </x:c>
      <x:c r="I1081" s="2" t="str">
        <x:v>8192</x:v>
      </x:c>
      <x:c r="J1081" s="2" t="str">
        <x:v>250.0</x:v>
      </x:c>
      <x:c r="K1081" s="2" t="str">
        <x:v>2</x:v>
      </x:c>
      <x:c r="L1081" s="2" t="str">
        <x:v>3</x:v>
      </x:c>
      <x:c r="M1081" s="2" t="str">
        <x:v>2</x:v>
      </x:c>
      <x:c r="N1081" s="2" t="str">
        <x:v>1</x:v>
      </x:c>
      <x:c r="O1081" s="2" t="str">
        <x:v>0</x:v>
      </x:c>
      <x:c r="P1081" s="2" t="str">
        <x:v>true</x:v>
      </x:c>
      <x:c r="Q1081" s="2" t="str">
        <x:v>-92.195274172;-92.195274172</x:v>
      </x:c>
      <x:c r="R1081" s="2" t="str">
        <x:v>0.4305000038584694</x:v>
      </x:c>
      <x:c r="S1081" s="2" t="str">
        <x:v>46.39758629256649</x:v>
      </x:c>
    </x:row>
    <x:row r="1082">
      <x:c r="A1082" s="2" t="str">
        <x:v>DE-CMP-01</x:v>
      </x:c>
      <x:c r="B1082" s="2" t="str">
        <x:v>CFG-C01</x:v>
      </x:c>
      <x:c r="C1082" s="2" t="n">
        <x:v>46227.70238086805</x:v>
      </x:c>
      <x:c r="D1082" s="2" t="str">
        <x:v>adaptive</x:v>
      </x:c>
      <x:c r="E1082" s="2" t="str">
        <x:v>closely_spaced_carriers</x:v>
      </x:c>
      <x:c r="F1082" s="2" t="str">
        <x:v>541</x:v>
      </x:c>
      <x:c r="G1082" s="2" t="str">
        <x:v>3154244</x:v>
      </x:c>
      <x:c r="H1082" s="2" t="str">
        <x:v>2048000.0</x:v>
      </x:c>
      <x:c r="I1082" s="2" t="str">
        <x:v>8192</x:v>
      </x:c>
      <x:c r="J1082" s="2" t="str">
        <x:v>250.0</x:v>
      </x:c>
      <x:c r="K1082" s="2" t="str">
        <x:v>2</x:v>
      </x:c>
      <x:c r="L1082" s="2" t="str">
        <x:v>3</x:v>
      </x:c>
      <x:c r="M1082" s="2" t="str">
        <x:v>2</x:v>
      </x:c>
      <x:c r="N1082" s="2" t="str">
        <x:v>1</x:v>
      </x:c>
      <x:c r="O1082" s="2" t="str">
        <x:v>0</x:v>
      </x:c>
      <x:c r="P1082" s="2" t="str">
        <x:v>true</x:v>
      </x:c>
      <x:c r="Q1082" s="2" t="str">
        <x:v>112.449545011;112.449545011</x:v>
      </x:c>
      <x:c r="R1082" s="2" t="str">
        <x:v>0.43220800580456853</x:v>
      </x:c>
      <x:c r="S1082" s="2" t="str">
        <x:v>46.34576966582761</x:v>
      </x:c>
    </x:row>
    <x:row r="1083">
      <x:c r="A1083" s="2" t="str">
        <x:v>DE-CMP-01</x:v>
      </x:c>
      <x:c r="B1083" s="2" t="str">
        <x:v>CFG-C01</x:v>
      </x:c>
      <x:c r="C1083" s="2" t="n">
        <x:v>46227.70238086805</x:v>
      </x:c>
      <x:c r="D1083" s="2" t="str">
        <x:v>os_cfar</x:v>
      </x:c>
      <x:c r="E1083" s="2" t="str">
        <x:v>closely_spaced_carriers</x:v>
      </x:c>
      <x:c r="F1083" s="2" t="str">
        <x:v>541</x:v>
      </x:c>
      <x:c r="G1083" s="2" t="str">
        <x:v>3154244</x:v>
      </x:c>
      <x:c r="H1083" s="2" t="str">
        <x:v>2048000.0</x:v>
      </x:c>
      <x:c r="I1083" s="2" t="str">
        <x:v>8192</x:v>
      </x:c>
      <x:c r="J1083" s="2" t="str">
        <x:v>250.0</x:v>
      </x:c>
      <x:c r="K1083" s="2" t="str">
        <x:v>2</x:v>
      </x:c>
      <x:c r="L1083" s="2" t="str">
        <x:v>3</x:v>
      </x:c>
      <x:c r="M1083" s="2" t="str">
        <x:v>2</x:v>
      </x:c>
      <x:c r="N1083" s="2" t="str">
        <x:v>1</x:v>
      </x:c>
      <x:c r="O1083" s="2" t="str">
        <x:v>0</x:v>
      </x:c>
      <x:c r="P1083" s="2" t="str">
        <x:v>true</x:v>
      </x:c>
      <x:c r="Q1083" s="2" t="str">
        <x:v>112.449545011;112.449545011</x:v>
      </x:c>
      <x:c r="R1083" s="2" t="str">
        <x:v>13.688458013348281</x:v>
      </x:c>
      <x:c r="S1083" s="2" t="str">
        <x:v>48.291703367377885</x:v>
      </x:c>
    </x:row>
    <x:row r="1084">
      <x:c r="A1084" s="2" t="str">
        <x:v>DE-CMP-01</x:v>
      </x:c>
      <x:c r="B1084" s="2" t="str">
        <x:v>CFG-C01</x:v>
      </x:c>
      <x:c r="C1084" s="2" t="n">
        <x:v>46227.70238086805</x:v>
      </x:c>
      <x:c r="D1084" s="2" t="str">
        <x:v>os_cfar</x:v>
      </x:c>
      <x:c r="E1084" s="2" t="str">
        <x:v>closely_spaced_carriers</x:v>
      </x:c>
      <x:c r="F1084" s="2" t="str">
        <x:v>542</x:v>
      </x:c>
      <x:c r="G1084" s="2" t="str">
        <x:v>3154245</x:v>
      </x:c>
      <x:c r="H1084" s="2" t="str">
        <x:v>2048000.0</x:v>
      </x:c>
      <x:c r="I1084" s="2" t="str">
        <x:v>8192</x:v>
      </x:c>
      <x:c r="J1084" s="2" t="str">
        <x:v>250.0</x:v>
      </x:c>
      <x:c r="K1084" s="2" t="str">
        <x:v>2</x:v>
      </x:c>
      <x:c r="L1084" s="2" t="str">
        <x:v>3</x:v>
      </x:c>
      <x:c r="M1084" s="2" t="str">
        <x:v>2</x:v>
      </x:c>
      <x:c r="N1084" s="2" t="str">
        <x:v>1</x:v>
      </x:c>
      <x:c r="O1084" s="2" t="str">
        <x:v>0</x:v>
      </x:c>
      <x:c r="P1084" s="2" t="str">
        <x:v>true</x:v>
      </x:c>
      <x:c r="Q1084" s="2" t="str">
        <x:v>44.138821975;44.138821975</x:v>
      </x:c>
      <x:c r="R1084" s="2" t="str">
        <x:v>13.799417007248849</x:v>
      </x:c>
      <x:c r="S1084" s="2" t="str">
        <x:v>48.10442456367704</x:v>
      </x:c>
    </x:row>
    <x:row r="1085">
      <x:c r="A1085" s="2" t="str">
        <x:v>DE-CMP-01</x:v>
      </x:c>
      <x:c r="B1085" s="2" t="str">
        <x:v>CFG-C01</x:v>
      </x:c>
      <x:c r="C1085" s="2" t="n">
        <x:v>46227.70238086805</x:v>
      </x:c>
      <x:c r="D1085" s="2" t="str">
        <x:v>adaptive</x:v>
      </x:c>
      <x:c r="E1085" s="2" t="str">
        <x:v>closely_spaced_carriers</x:v>
      </x:c>
      <x:c r="F1085" s="2" t="str">
        <x:v>542</x:v>
      </x:c>
      <x:c r="G1085" s="2" t="str">
        <x:v>3154245</x:v>
      </x:c>
      <x:c r="H1085" s="2" t="str">
        <x:v>2048000.0</x:v>
      </x:c>
      <x:c r="I1085" s="2" t="str">
        <x:v>8192</x:v>
      </x:c>
      <x:c r="J1085" s="2" t="str">
        <x:v>250.0</x:v>
      </x:c>
      <x:c r="K1085" s="2" t="str">
        <x:v>2</x:v>
      </x:c>
      <x:c r="L1085" s="2" t="str">
        <x:v>3</x:v>
      </x:c>
      <x:c r="M1085" s="2" t="str">
        <x:v>2</x:v>
      </x:c>
      <x:c r="N1085" s="2" t="str">
        <x:v>1</x:v>
      </x:c>
      <x:c r="O1085" s="2" t="str">
        <x:v>0</x:v>
      </x:c>
      <x:c r="P1085" s="2" t="str">
        <x:v>true</x:v>
      </x:c>
      <x:c r="Q1085" s="2" t="str">
        <x:v>44.138821975;44.138821975</x:v>
      </x:c>
      <x:c r="R1085" s="2" t="str">
        <x:v>0.43562499922700226</x:v>
      </x:c>
      <x:c r="S1085" s="2" t="str">
        <x:v>46.378248426790535</x:v>
      </x:c>
    </x:row>
    <x:row r="1086">
      <x:c r="A1086" s="2" t="str">
        <x:v>DE-CMP-01</x:v>
      </x:c>
      <x:c r="B1086" s="2" t="str">
        <x:v>CFG-C01</x:v>
      </x:c>
      <x:c r="C1086" s="2" t="n">
        <x:v>46227.70238086805</x:v>
      </x:c>
      <x:c r="D1086" s="2" t="str">
        <x:v>adaptive</x:v>
      </x:c>
      <x:c r="E1086" s="2" t="str">
        <x:v>closely_spaced_carriers</x:v>
      </x:c>
      <x:c r="F1086" s="2" t="str">
        <x:v>543</x:v>
      </x:c>
      <x:c r="G1086" s="2" t="str">
        <x:v>3154246</x:v>
      </x:c>
      <x:c r="H1086" s="2" t="str">
        <x:v>2048000.0</x:v>
      </x:c>
      <x:c r="I1086" s="2" t="str">
        <x:v>8192</x:v>
      </x:c>
      <x:c r="J1086" s="2" t="str">
        <x:v>250.0</x:v>
      </x:c>
      <x:c r="K1086" s="2" t="str">
        <x:v>2</x:v>
      </x:c>
      <x:c r="L1086" s="2" t="str">
        <x:v>3</x:v>
      </x:c>
      <x:c r="M1086" s="2" t="str">
        <x:v>2</x:v>
      </x:c>
      <x:c r="N1086" s="2" t="str">
        <x:v>1</x:v>
      </x:c>
      <x:c r="O1086" s="2" t="str">
        <x:v>0</x:v>
      </x:c>
      <x:c r="P1086" s="2" t="str">
        <x:v>true</x:v>
      </x:c>
      <x:c r="Q1086" s="2" t="str">
        <x:v>8.817696119;8.817696119</x:v>
      </x:c>
      <x:c r="R1086" s="2" t="str">
        <x:v>0.42625000060070306</x:v>
      </x:c>
      <x:c r="S1086" s="2" t="str">
        <x:v>46.45737755225883</x:v>
      </x:c>
    </x:row>
    <x:row r="1087">
      <x:c r="A1087" s="2" t="str">
        <x:v>DE-CMP-01</x:v>
      </x:c>
      <x:c r="B1087" s="2" t="str">
        <x:v>CFG-C01</x:v>
      </x:c>
      <x:c r="C1087" s="2" t="n">
        <x:v>46227.70238086805</x:v>
      </x:c>
      <x:c r="D1087" s="2" t="str">
        <x:v>os_cfar</x:v>
      </x:c>
      <x:c r="E1087" s="2" t="str">
        <x:v>closely_spaced_carriers</x:v>
      </x:c>
      <x:c r="F1087" s="2" t="str">
        <x:v>543</x:v>
      </x:c>
      <x:c r="G1087" s="2" t="str">
        <x:v>3154246</x:v>
      </x:c>
      <x:c r="H1087" s="2" t="str">
        <x:v>2048000.0</x:v>
      </x:c>
      <x:c r="I1087" s="2" t="str">
        <x:v>8192</x:v>
      </x:c>
      <x:c r="J1087" s="2" t="str">
        <x:v>250.0</x:v>
      </x:c>
      <x:c r="K1087" s="2" t="str">
        <x:v>2</x:v>
      </x:c>
      <x:c r="L1087" s="2" t="str">
        <x:v>3</x:v>
      </x:c>
      <x:c r="M1087" s="2" t="str">
        <x:v>2</x:v>
      </x:c>
      <x:c r="N1087" s="2" t="str">
        <x:v>1</x:v>
      </x:c>
      <x:c r="O1087" s="2" t="str">
        <x:v>0</x:v>
      </x:c>
      <x:c r="P1087" s="2" t="str">
        <x:v>true</x:v>
      </x:c>
      <x:c r="Q1087" s="2" t="str">
        <x:v>8.817696119;8.817696119</x:v>
      </x:c>
      <x:c r="R1087" s="2" t="str">
        <x:v>13.759957990259863</x:v>
      </x:c>
      <x:c r="S1087" s="2" t="str">
        <x:v>48.26926677333507</x:v>
      </x:c>
    </x:row>
    <x:row r="1088">
      <x:c r="A1088" s="2" t="str">
        <x:v>DE-CMP-01</x:v>
      </x:c>
      <x:c r="B1088" s="2" t="str">
        <x:v>CFG-C01</x:v>
      </x:c>
      <x:c r="C1088" s="2" t="n">
        <x:v>46227.70238086805</x:v>
      </x:c>
      <x:c r="D1088" s="2" t="str">
        <x:v>os_cfar</x:v>
      </x:c>
      <x:c r="E1088" s="2" t="str">
        <x:v>closely_spaced_carriers</x:v>
      </x:c>
      <x:c r="F1088" s="2" t="str">
        <x:v>544</x:v>
      </x:c>
      <x:c r="G1088" s="2" t="str">
        <x:v>3154247</x:v>
      </x:c>
      <x:c r="H1088" s="2" t="str">
        <x:v>2048000.0</x:v>
      </x:c>
      <x:c r="I1088" s="2" t="str">
        <x:v>8192</x:v>
      </x:c>
      <x:c r="J1088" s="2" t="str">
        <x:v>250.0</x:v>
      </x:c>
      <x:c r="K1088" s="2" t="str">
        <x:v>2</x:v>
      </x:c>
      <x:c r="L1088" s="2" t="str">
        <x:v>3</x:v>
      </x:c>
      <x:c r="M1088" s="2" t="str">
        <x:v>2</x:v>
      </x:c>
      <x:c r="N1088" s="2" t="str">
        <x:v>1</x:v>
      </x:c>
      <x:c r="O1088" s="2" t="str">
        <x:v>0</x:v>
      </x:c>
      <x:c r="P1088" s="2" t="str">
        <x:v>true</x:v>
      </x:c>
      <x:c r="Q1088" s="2" t="str">
        <x:v>-47.254114881;-47.254114881</x:v>
      </x:c>
      <x:c r="R1088" s="2" t="str">
        <x:v>13.41262499045115</x:v>
      </x:c>
      <x:c r="S1088" s="2" t="str">
        <x:v>48.0876185453938</x:v>
      </x:c>
    </x:row>
    <x:row r="1089">
      <x:c r="A1089" s="2" t="str">
        <x:v>DE-CMP-01</x:v>
      </x:c>
      <x:c r="B1089" s="2" t="str">
        <x:v>CFG-C01</x:v>
      </x:c>
      <x:c r="C1089" s="2" t="n">
        <x:v>46227.70238086805</x:v>
      </x:c>
      <x:c r="D1089" s="2" t="str">
        <x:v>adaptive</x:v>
      </x:c>
      <x:c r="E1089" s="2" t="str">
        <x:v>closely_spaced_carriers</x:v>
      </x:c>
      <x:c r="F1089" s="2" t="str">
        <x:v>544</x:v>
      </x:c>
      <x:c r="G1089" s="2" t="str">
        <x:v>3154247</x:v>
      </x:c>
      <x:c r="H1089" s="2" t="str">
        <x:v>2048000.0</x:v>
      </x:c>
      <x:c r="I1089" s="2" t="str">
        <x:v>8192</x:v>
      </x:c>
      <x:c r="J1089" s="2" t="str">
        <x:v>250.0</x:v>
      </x:c>
      <x:c r="K1089" s="2" t="str">
        <x:v>2</x:v>
      </x:c>
      <x:c r="L1089" s="2" t="str">
        <x:v>3</x:v>
      </x:c>
      <x:c r="M1089" s="2" t="str">
        <x:v>2</x:v>
      </x:c>
      <x:c r="N1089" s="2" t="str">
        <x:v>1</x:v>
      </x:c>
      <x:c r="O1089" s="2" t="str">
        <x:v>0</x:v>
      </x:c>
      <x:c r="P1089" s="2" t="str">
        <x:v>true</x:v>
      </x:c>
      <x:c r="Q1089" s="2" t="str">
        <x:v>-47.254114881;-47.254114881</x:v>
      </x:c>
      <x:c r="R1089" s="2" t="str">
        <x:v>0.4345829947851598</x:v>
      </x:c>
      <x:c r="S1089" s="2" t="str">
        <x:v>46.25307305236607</x:v>
      </x:c>
    </x:row>
    <x:row r="1090">
      <x:c r="A1090" s="2" t="str">
        <x:v>DE-CMP-01</x:v>
      </x:c>
      <x:c r="B1090" s="2" t="str">
        <x:v>CFG-C01</x:v>
      </x:c>
      <x:c r="C1090" s="2" t="n">
        <x:v>46227.70238086805</x:v>
      </x:c>
      <x:c r="D1090" s="2" t="str">
        <x:v>adaptive</x:v>
      </x:c>
      <x:c r="E1090" s="2" t="str">
        <x:v>closely_spaced_carriers</x:v>
      </x:c>
      <x:c r="F1090" s="2" t="str">
        <x:v>545</x:v>
      </x:c>
      <x:c r="G1090" s="2" t="str">
        <x:v>3154248</x:v>
      </x:c>
      <x:c r="H1090" s="2" t="str">
        <x:v>2048000.0</x:v>
      </x:c>
      <x:c r="I1090" s="2" t="str">
        <x:v>8192</x:v>
      </x:c>
      <x:c r="J1090" s="2" t="str">
        <x:v>250.0</x:v>
      </x:c>
      <x:c r="K1090" s="2" t="str">
        <x:v>2</x:v>
      </x:c>
      <x:c r="L1090" s="2" t="str">
        <x:v>3</x:v>
      </x:c>
      <x:c r="M1090" s="2" t="str">
        <x:v>2</x:v>
      </x:c>
      <x:c r="N1090" s="2" t="str">
        <x:v>1</x:v>
      </x:c>
      <x:c r="O1090" s="2" t="str">
        <x:v>0</x:v>
      </x:c>
      <x:c r="P1090" s="2" t="str">
        <x:v>true</x:v>
      </x:c>
      <x:c r="Q1090" s="2" t="str">
        <x:v>-78.276125951;-78.276125951</x:v>
      </x:c>
      <x:c r="R1090" s="2" t="str">
        <x:v>0.4191249900031835</x:v>
      </x:c>
      <x:c r="S1090" s="2" t="str">
        <x:v>46.48215357534217</x:v>
      </x:c>
    </x:row>
    <x:row r="1091">
      <x:c r="A1091" s="2" t="str">
        <x:v>DE-CMP-01</x:v>
      </x:c>
      <x:c r="B1091" s="2" t="str">
        <x:v>CFG-C01</x:v>
      </x:c>
      <x:c r="C1091" s="2" t="n">
        <x:v>46227.70238086805</x:v>
      </x:c>
      <x:c r="D1091" s="2" t="str">
        <x:v>os_cfar</x:v>
      </x:c>
      <x:c r="E1091" s="2" t="str">
        <x:v>closely_spaced_carriers</x:v>
      </x:c>
      <x:c r="F1091" s="2" t="str">
        <x:v>545</x:v>
      </x:c>
      <x:c r="G1091" s="2" t="str">
        <x:v>3154248</x:v>
      </x:c>
      <x:c r="H1091" s="2" t="str">
        <x:v>2048000.0</x:v>
      </x:c>
      <x:c r="I1091" s="2" t="str">
        <x:v>8192</x:v>
      </x:c>
      <x:c r="J1091" s="2" t="str">
        <x:v>250.0</x:v>
      </x:c>
      <x:c r="K1091" s="2" t="str">
        <x:v>2</x:v>
      </x:c>
      <x:c r="L1091" s="2" t="str">
        <x:v>3</x:v>
      </x:c>
      <x:c r="M1091" s="2" t="str">
        <x:v>2</x:v>
      </x:c>
      <x:c r="N1091" s="2" t="str">
        <x:v>1</x:v>
      </x:c>
      <x:c r="O1091" s="2" t="str">
        <x:v>0</x:v>
      </x:c>
      <x:c r="P1091" s="2" t="str">
        <x:v>true</x:v>
      </x:c>
      <x:c r="Q1091" s="2" t="str">
        <x:v>-78.276125951;-78.276125951</x:v>
      </x:c>
      <x:c r="R1091" s="2" t="str">
        <x:v>13.708958009374328</x:v>
      </x:c>
      <x:c r="S1091" s="2" t="str">
        <x:v>48.17591817835351</x:v>
      </x:c>
    </x:row>
    <x:row r="1092">
      <x:c r="A1092" s="2" t="str">
        <x:v>DE-CMP-01</x:v>
      </x:c>
      <x:c r="B1092" s="2" t="str">
        <x:v>CFG-C01</x:v>
      </x:c>
      <x:c r="C1092" s="2" t="n">
        <x:v>46227.70238086805</x:v>
      </x:c>
      <x:c r="D1092" s="2" t="str">
        <x:v>os_cfar</x:v>
      </x:c>
      <x:c r="E1092" s="2" t="str">
        <x:v>closely_spaced_carriers</x:v>
      </x:c>
      <x:c r="F1092" s="2" t="str">
        <x:v>546</x:v>
      </x:c>
      <x:c r="G1092" s="2" t="str">
        <x:v>3154249</x:v>
      </x:c>
      <x:c r="H1092" s="2" t="str">
        <x:v>2048000.0</x:v>
      </x:c>
      <x:c r="I1092" s="2" t="str">
        <x:v>8192</x:v>
      </x:c>
      <x:c r="J1092" s="2" t="str">
        <x:v>250.0</x:v>
      </x:c>
      <x:c r="K1092" s="2" t="str">
        <x:v>2</x:v>
      </x:c>
      <x:c r="L1092" s="2" t="str">
        <x:v>3</x:v>
      </x:c>
      <x:c r="M1092" s="2" t="str">
        <x:v>2</x:v>
      </x:c>
      <x:c r="N1092" s="2" t="str">
        <x:v>1</x:v>
      </x:c>
      <x:c r="O1092" s="2" t="str">
        <x:v>0</x:v>
      </x:c>
      <x:c r="P1092" s="2" t="str">
        <x:v>true</x:v>
      </x:c>
      <x:c r="Q1092" s="2" t="str">
        <x:v>41.865065744;41.865065744</x:v>
      </x:c>
      <x:c r="R1092" s="2" t="str">
        <x:v>13.842457992723212</x:v>
      </x:c>
      <x:c r="S1092" s="2" t="str">
        <x:v>48.18589151873145</x:v>
      </x:c>
    </x:row>
    <x:row r="1093">
      <x:c r="A1093" s="2" t="str">
        <x:v>DE-CMP-01</x:v>
      </x:c>
      <x:c r="B1093" s="2" t="str">
        <x:v>CFG-C01</x:v>
      </x:c>
      <x:c r="C1093" s="2" t="n">
        <x:v>46227.70238086805</x:v>
      </x:c>
      <x:c r="D1093" s="2" t="str">
        <x:v>adaptive</x:v>
      </x:c>
      <x:c r="E1093" s="2" t="str">
        <x:v>closely_spaced_carriers</x:v>
      </x:c>
      <x:c r="F1093" s="2" t="str">
        <x:v>546</x:v>
      </x:c>
      <x:c r="G1093" s="2" t="str">
        <x:v>3154249</x:v>
      </x:c>
      <x:c r="H1093" s="2" t="str">
        <x:v>2048000.0</x:v>
      </x:c>
      <x:c r="I1093" s="2" t="str">
        <x:v>8192</x:v>
      </x:c>
      <x:c r="J1093" s="2" t="str">
        <x:v>250.0</x:v>
      </x:c>
      <x:c r="K1093" s="2" t="str">
        <x:v>2</x:v>
      </x:c>
      <x:c r="L1093" s="2" t="str">
        <x:v>3</x:v>
      </x:c>
      <x:c r="M1093" s="2" t="str">
        <x:v>2</x:v>
      </x:c>
      <x:c r="N1093" s="2" t="str">
        <x:v>1</x:v>
      </x:c>
      <x:c r="O1093" s="2" t="str">
        <x:v>0</x:v>
      </x:c>
      <x:c r="P1093" s="2" t="str">
        <x:v>true</x:v>
      </x:c>
      <x:c r="Q1093" s="2" t="str">
        <x:v>41.865065744;41.865065744</x:v>
      </x:c>
      <x:c r="R1093" s="2" t="str">
        <x:v>0.4150419990764931</x:v>
      </x:c>
      <x:c r="S1093" s="2" t="str">
        <x:v>46.496920933006784</x:v>
      </x:c>
    </x:row>
    <x:row r="1094">
      <x:c r="A1094" s="2" t="str">
        <x:v>DE-CMP-01</x:v>
      </x:c>
      <x:c r="B1094" s="2" t="str">
        <x:v>CFG-C01</x:v>
      </x:c>
      <x:c r="C1094" s="2" t="n">
        <x:v>46227.70238086805</x:v>
      </x:c>
      <x:c r="D1094" s="2" t="str">
        <x:v>adaptive</x:v>
      </x:c>
      <x:c r="E1094" s="2" t="str">
        <x:v>closely_spaced_carriers</x:v>
      </x:c>
      <x:c r="F1094" s="2" t="str">
        <x:v>547</x:v>
      </x:c>
      <x:c r="G1094" s="2" t="str">
        <x:v>3154250</x:v>
      </x:c>
      <x:c r="H1094" s="2" t="str">
        <x:v>2048000.0</x:v>
      </x:c>
      <x:c r="I1094" s="2" t="str">
        <x:v>8192</x:v>
      </x:c>
      <x:c r="J1094" s="2" t="str">
        <x:v>250.0</x:v>
      </x:c>
      <x:c r="K1094" s="2" t="str">
        <x:v>2</x:v>
      </x:c>
      <x:c r="L1094" s="2" t="str">
        <x:v>3</x:v>
      </x:c>
      <x:c r="M1094" s="2" t="str">
        <x:v>2</x:v>
      </x:c>
      <x:c r="N1094" s="2" t="str">
        <x:v>1</x:v>
      </x:c>
      <x:c r="O1094" s="2" t="str">
        <x:v>0</x:v>
      </x:c>
      <x:c r="P1094" s="2" t="str">
        <x:v>true</x:v>
      </x:c>
      <x:c r="Q1094" s="2" t="str">
        <x:v>-16.280413828;-16.280413828</x:v>
      </x:c>
      <x:c r="R1094" s="2" t="str">
        <x:v>0.4170829924987629</x:v>
      </x:c>
      <x:c r="S1094" s="2" t="str">
        <x:v>46.54293638508853</x:v>
      </x:c>
    </x:row>
    <x:row r="1095">
      <x:c r="A1095" s="2" t="str">
        <x:v>DE-CMP-01</x:v>
      </x:c>
      <x:c r="B1095" s="2" t="str">
        <x:v>CFG-C01</x:v>
      </x:c>
      <x:c r="C1095" s="2" t="n">
        <x:v>46227.70238086805</x:v>
      </x:c>
      <x:c r="D1095" s="2" t="str">
        <x:v>os_cfar</x:v>
      </x:c>
      <x:c r="E1095" s="2" t="str">
        <x:v>closely_spaced_carriers</x:v>
      </x:c>
      <x:c r="F1095" s="2" t="str">
        <x:v>547</x:v>
      </x:c>
      <x:c r="G1095" s="2" t="str">
        <x:v>3154250</x:v>
      </x:c>
      <x:c r="H1095" s="2" t="str">
        <x:v>2048000.0</x:v>
      </x:c>
      <x:c r="I1095" s="2" t="str">
        <x:v>8192</x:v>
      </x:c>
      <x:c r="J1095" s="2" t="str">
        <x:v>250.0</x:v>
      </x:c>
      <x:c r="K1095" s="2" t="str">
        <x:v>2</x:v>
      </x:c>
      <x:c r="L1095" s="2" t="str">
        <x:v>3</x:v>
      </x:c>
      <x:c r="M1095" s="2" t="str">
        <x:v>2</x:v>
      </x:c>
      <x:c r="N1095" s="2" t="str">
        <x:v>1</x:v>
      </x:c>
      <x:c r="O1095" s="2" t="str">
        <x:v>0</x:v>
      </x:c>
      <x:c r="P1095" s="2" t="str">
        <x:v>true</x:v>
      </x:c>
      <x:c r="Q1095" s="2" t="str">
        <x:v>-16.280413828;-16.280413828</x:v>
      </x:c>
      <x:c r="R1095" s="2" t="str">
        <x:v>13.781665998976678</x:v>
      </x:c>
      <x:c r="S1095" s="2" t="str">
        <x:v>48.25021889357757</x:v>
      </x:c>
    </x:row>
    <x:row r="1096">
      <x:c r="A1096" s="2" t="str">
        <x:v>DE-CMP-01</x:v>
      </x:c>
      <x:c r="B1096" s="2" t="str">
        <x:v>CFG-C01</x:v>
      </x:c>
      <x:c r="C1096" s="2" t="n">
        <x:v>46227.70238086805</x:v>
      </x:c>
      <x:c r="D1096" s="2" t="str">
        <x:v>os_cfar</x:v>
      </x:c>
      <x:c r="E1096" s="2" t="str">
        <x:v>closely_spaced_carriers</x:v>
      </x:c>
      <x:c r="F1096" s="2" t="str">
        <x:v>548</x:v>
      </x:c>
      <x:c r="G1096" s="2" t="str">
        <x:v>3154251</x:v>
      </x:c>
      <x:c r="H1096" s="2" t="str">
        <x:v>2048000.0</x:v>
      </x:c>
      <x:c r="I1096" s="2" t="str">
        <x:v>8192</x:v>
      </x:c>
      <x:c r="J1096" s="2" t="str">
        <x:v>250.0</x:v>
      </x:c>
      <x:c r="K1096" s="2" t="str">
        <x:v>2</x:v>
      </x:c>
      <x:c r="L1096" s="2" t="str">
        <x:v>3</x:v>
      </x:c>
      <x:c r="M1096" s="2" t="str">
        <x:v>2</x:v>
      </x:c>
      <x:c r="N1096" s="2" t="str">
        <x:v>1</x:v>
      </x:c>
      <x:c r="O1096" s="2" t="str">
        <x:v>0</x:v>
      </x:c>
      <x:c r="P1096" s="2" t="str">
        <x:v>true</x:v>
      </x:c>
      <x:c r="Q1096" s="2" t="str">
        <x:v>108.556715886;108.556715886</x:v>
      </x:c>
      <x:c r="R1096" s="2" t="str">
        <x:v>13.849665992893279</x:v>
      </x:c>
      <x:c r="S1096" s="2" t="str">
        <x:v>48.356120467083656</x:v>
      </x:c>
    </x:row>
    <x:row r="1097">
      <x:c r="A1097" s="2" t="str">
        <x:v>DE-CMP-01</x:v>
      </x:c>
      <x:c r="B1097" s="2" t="str">
        <x:v>CFG-C01</x:v>
      </x:c>
      <x:c r="C1097" s="2" t="n">
        <x:v>46227.70238086805</x:v>
      </x:c>
      <x:c r="D1097" s="2" t="str">
        <x:v>adaptive</x:v>
      </x:c>
      <x:c r="E1097" s="2" t="str">
        <x:v>closely_spaced_carriers</x:v>
      </x:c>
      <x:c r="F1097" s="2" t="str">
        <x:v>548</x:v>
      </x:c>
      <x:c r="G1097" s="2" t="str">
        <x:v>3154251</x:v>
      </x:c>
      <x:c r="H1097" s="2" t="str">
        <x:v>2048000.0</x:v>
      </x:c>
      <x:c r="I1097" s="2" t="str">
        <x:v>8192</x:v>
      </x:c>
      <x:c r="J1097" s="2" t="str">
        <x:v>250.0</x:v>
      </x:c>
      <x:c r="K1097" s="2" t="str">
        <x:v>2</x:v>
      </x:c>
      <x:c r="L1097" s="2" t="str">
        <x:v>3</x:v>
      </x:c>
      <x:c r="M1097" s="2" t="str">
        <x:v>2</x:v>
      </x:c>
      <x:c r="N1097" s="2" t="str">
        <x:v>1</x:v>
      </x:c>
      <x:c r="O1097" s="2" t="str">
        <x:v>0</x:v>
      </x:c>
      <x:c r="P1097" s="2" t="str">
        <x:v>true</x:v>
      </x:c>
      <x:c r="Q1097" s="2" t="str">
        <x:v>108.556715886;108.556715886</x:v>
      </x:c>
      <x:c r="R1097" s="2" t="str">
        <x:v>0.42733400186989456</x:v>
      </x:c>
      <x:c r="S1097" s="2" t="str">
        <x:v>46.46707303306927</x:v>
      </x:c>
    </x:row>
    <x:row r="1098">
      <x:c r="A1098" s="2" t="str">
        <x:v>DE-CMP-01</x:v>
      </x:c>
      <x:c r="B1098" s="2" t="str">
        <x:v>CFG-C01</x:v>
      </x:c>
      <x:c r="C1098" s="2" t="n">
        <x:v>46227.70238086805</x:v>
      </x:c>
      <x:c r="D1098" s="2" t="str">
        <x:v>adaptive</x:v>
      </x:c>
      <x:c r="E1098" s="2" t="str">
        <x:v>closely_spaced_carriers</x:v>
      </x:c>
      <x:c r="F1098" s="2" t="str">
        <x:v>549</x:v>
      </x:c>
      <x:c r="G1098" s="2" t="str">
        <x:v>3154252</x:v>
      </x:c>
      <x:c r="H1098" s="2" t="str">
        <x:v>2048000.0</x:v>
      </x:c>
      <x:c r="I1098" s="2" t="str">
        <x:v>8192</x:v>
      </x:c>
      <x:c r="J1098" s="2" t="str">
        <x:v>250.0</x:v>
      </x:c>
      <x:c r="K1098" s="2" t="str">
        <x:v>2</x:v>
      </x:c>
      <x:c r="L1098" s="2" t="str">
        <x:v>3</x:v>
      </x:c>
      <x:c r="M1098" s="2" t="str">
        <x:v>2</x:v>
      </x:c>
      <x:c r="N1098" s="2" t="str">
        <x:v>1</x:v>
      </x:c>
      <x:c r="O1098" s="2" t="str">
        <x:v>0</x:v>
      </x:c>
      <x:c r="P1098" s="2" t="str">
        <x:v>true</x:v>
      </x:c>
      <x:c r="Q1098" s="2" t="str">
        <x:v>41.534974934;41.534974934</x:v>
      </x:c>
      <x:c r="R1098" s="2" t="str">
        <x:v>0.4143330006627366</x:v>
      </x:c>
      <x:c r="S1098" s="2" t="str">
        <x:v>46.376708879885406</x:v>
      </x:c>
    </x:row>
    <x:row r="1099">
      <x:c r="A1099" s="2" t="str">
        <x:v>DE-CMP-01</x:v>
      </x:c>
      <x:c r="B1099" s="2" t="str">
        <x:v>CFG-C01</x:v>
      </x:c>
      <x:c r="C1099" s="2" t="n">
        <x:v>46227.70238086805</x:v>
      </x:c>
      <x:c r="D1099" s="2" t="str">
        <x:v>os_cfar</x:v>
      </x:c>
      <x:c r="E1099" s="2" t="str">
        <x:v>closely_spaced_carriers</x:v>
      </x:c>
      <x:c r="F1099" s="2" t="str">
        <x:v>549</x:v>
      </x:c>
      <x:c r="G1099" s="2" t="str">
        <x:v>3154252</x:v>
      </x:c>
      <x:c r="H1099" s="2" t="str">
        <x:v>2048000.0</x:v>
      </x:c>
      <x:c r="I1099" s="2" t="str">
        <x:v>8192</x:v>
      </x:c>
      <x:c r="J1099" s="2" t="str">
        <x:v>250.0</x:v>
      </x:c>
      <x:c r="K1099" s="2" t="str">
        <x:v>2</x:v>
      </x:c>
      <x:c r="L1099" s="2" t="str">
        <x:v>3</x:v>
      </x:c>
      <x:c r="M1099" s="2" t="str">
        <x:v>2</x:v>
      </x:c>
      <x:c r="N1099" s="2" t="str">
        <x:v>1</x:v>
      </x:c>
      <x:c r="O1099" s="2" t="str">
        <x:v>0</x:v>
      </x:c>
      <x:c r="P1099" s="2" t="str">
        <x:v>true</x:v>
      </x:c>
      <x:c r="Q1099" s="2" t="str">
        <x:v>41.534974934;41.534974934</x:v>
      </x:c>
      <x:c r="R1099" s="2" t="str">
        <x:v>14.00704101251904</x:v>
      </x:c>
      <x:c r="S1099" s="2" t="str">
        <x:v>48.03384599231667</x:v>
      </x:c>
    </x:row>
    <x:row r="1100">
      <x:c r="A1100" s="2" t="str">
        <x:v>DE-CMP-01</x:v>
      </x:c>
      <x:c r="B1100" s="2" t="str">
        <x:v>CFG-C01</x:v>
      </x:c>
      <x:c r="C1100" s="2" t="n">
        <x:v>46227.70238086805</x:v>
      </x:c>
      <x:c r="D1100" s="2" t="str">
        <x:v>os_cfar</x:v>
      </x:c>
      <x:c r="E1100" s="2" t="str">
        <x:v>closely_spaced_carriers</x:v>
      </x:c>
      <x:c r="F1100" s="2" t="str">
        <x:v>550</x:v>
      </x:c>
      <x:c r="G1100" s="2" t="str">
        <x:v>3154253</x:v>
      </x:c>
      <x:c r="H1100" s="2" t="str">
        <x:v>2048000.0</x:v>
      </x:c>
      <x:c r="I1100" s="2" t="str">
        <x:v>8192</x:v>
      </x:c>
      <x:c r="J1100" s="2" t="str">
        <x:v>250.0</x:v>
      </x:c>
      <x:c r="K1100" s="2" t="str">
        <x:v>2</x:v>
      </x:c>
      <x:c r="L1100" s="2" t="str">
        <x:v>3</x:v>
      </x:c>
      <x:c r="M1100" s="2" t="str">
        <x:v>2</x:v>
      </x:c>
      <x:c r="N1100" s="2" t="str">
        <x:v>1</x:v>
      </x:c>
      <x:c r="O1100" s="2" t="str">
        <x:v>0</x:v>
      </x:c>
      <x:c r="P1100" s="2" t="str">
        <x:v>true</x:v>
      </x:c>
      <x:c r="Q1100" s="2" t="str">
        <x:v>-91.488012676;-91.488012676</x:v>
      </x:c>
      <x:c r="R1100" s="2" t="str">
        <x:v>13.732708001043648</x:v>
      </x:c>
      <x:c r="S1100" s="2" t="str">
        <x:v>48.4322512404714</x:v>
      </x:c>
    </x:row>
    <x:row r="1101">
      <x:c r="A1101" s="2" t="str">
        <x:v>DE-CMP-01</x:v>
      </x:c>
      <x:c r="B1101" s="2" t="str">
        <x:v>CFG-C01</x:v>
      </x:c>
      <x:c r="C1101" s="2" t="n">
        <x:v>46227.70238086805</x:v>
      </x:c>
      <x:c r="D1101" s="2" t="str">
        <x:v>adaptive</x:v>
      </x:c>
      <x:c r="E1101" s="2" t="str">
        <x:v>closely_spaced_carriers</x:v>
      </x:c>
      <x:c r="F1101" s="2" t="str">
        <x:v>550</x:v>
      </x:c>
      <x:c r="G1101" s="2" t="str">
        <x:v>3154253</x:v>
      </x:c>
      <x:c r="H1101" s="2" t="str">
        <x:v>2048000.0</x:v>
      </x:c>
      <x:c r="I1101" s="2" t="str">
        <x:v>8192</x:v>
      </x:c>
      <x:c r="J1101" s="2" t="str">
        <x:v>250.0</x:v>
      </x:c>
      <x:c r="K1101" s="2" t="str">
        <x:v>2</x:v>
      </x:c>
      <x:c r="L1101" s="2" t="str">
        <x:v>3</x:v>
      </x:c>
      <x:c r="M1101" s="2" t="str">
        <x:v>2</x:v>
      </x:c>
      <x:c r="N1101" s="2" t="str">
        <x:v>1</x:v>
      </x:c>
      <x:c r="O1101" s="2" t="str">
        <x:v>0</x:v>
      </x:c>
      <x:c r="P1101" s="2" t="str">
        <x:v>true</x:v>
      </x:c>
      <x:c r="Q1101" s="2" t="str">
        <x:v>-91.488012676;-91.488012676</x:v>
      </x:c>
      <x:c r="R1101" s="2" t="str">
        <x:v>0.537708998308517</x:v>
      </x:c>
      <x:c r="S1101" s="2" t="str">
        <x:v>46.49903496436168</x:v>
      </x:c>
    </x:row>
    <x:row r="1102">
      <x:c r="A1102" s="2" t="str">
        <x:v>DE-CMP-01</x:v>
      </x:c>
      <x:c r="B1102" s="2" t="str">
        <x:v>CFG-C01</x:v>
      </x:c>
      <x:c r="C1102" s="2" t="n">
        <x:v>46227.70238086805</x:v>
      </x:c>
      <x:c r="D1102" s="2" t="str">
        <x:v>adaptive</x:v>
      </x:c>
      <x:c r="E1102" s="2" t="str">
        <x:v>closely_spaced_carriers</x:v>
      </x:c>
      <x:c r="F1102" s="2" t="str">
        <x:v>551</x:v>
      </x:c>
      <x:c r="G1102" s="2" t="str">
        <x:v>3154254</x:v>
      </x:c>
      <x:c r="H1102" s="2" t="str">
        <x:v>2048000.0</x:v>
      </x:c>
      <x:c r="I1102" s="2" t="str">
        <x:v>8192</x:v>
      </x:c>
      <x:c r="J1102" s="2" t="str">
        <x:v>250.0</x:v>
      </x:c>
      <x:c r="K1102" s="2" t="str">
        <x:v>2</x:v>
      </x:c>
      <x:c r="L1102" s="2" t="str">
        <x:v>3</x:v>
      </x:c>
      <x:c r="M1102" s="2" t="str">
        <x:v>2</x:v>
      </x:c>
      <x:c r="N1102" s="2" t="str">
        <x:v>1</x:v>
      </x:c>
      <x:c r="O1102" s="2" t="str">
        <x:v>0</x:v>
      </x:c>
      <x:c r="P1102" s="2" t="str">
        <x:v>true</x:v>
      </x:c>
      <x:c r="Q1102" s="2" t="str">
        <x:v>-51.640571892;-51.640571892</x:v>
      </x:c>
      <x:c r="R1102" s="2" t="str">
        <x:v>0.4209999897284433</x:v>
      </x:c>
      <x:c r="S1102" s="2" t="str">
        <x:v>46.42868963338535</x:v>
      </x:c>
    </x:row>
    <x:row r="1103">
      <x:c r="A1103" s="2" t="str">
        <x:v>DE-CMP-01</x:v>
      </x:c>
      <x:c r="B1103" s="2" t="str">
        <x:v>CFG-C01</x:v>
      </x:c>
      <x:c r="C1103" s="2" t="n">
        <x:v>46227.70238086805</x:v>
      </x:c>
      <x:c r="D1103" s="2" t="str">
        <x:v>os_cfar</x:v>
      </x:c>
      <x:c r="E1103" s="2" t="str">
        <x:v>closely_spaced_carriers</x:v>
      </x:c>
      <x:c r="F1103" s="2" t="str">
        <x:v>551</x:v>
      </x:c>
      <x:c r="G1103" s="2" t="str">
        <x:v>3154254</x:v>
      </x:c>
      <x:c r="H1103" s="2" t="str">
        <x:v>2048000.0</x:v>
      </x:c>
      <x:c r="I1103" s="2" t="str">
        <x:v>8192</x:v>
      </x:c>
      <x:c r="J1103" s="2" t="str">
        <x:v>250.0</x:v>
      </x:c>
      <x:c r="K1103" s="2" t="str">
        <x:v>2</x:v>
      </x:c>
      <x:c r="L1103" s="2" t="str">
        <x:v>3</x:v>
      </x:c>
      <x:c r="M1103" s="2" t="str">
        <x:v>2</x:v>
      </x:c>
      <x:c r="N1103" s="2" t="str">
        <x:v>1</x:v>
      </x:c>
      <x:c r="O1103" s="2" t="str">
        <x:v>0</x:v>
      </x:c>
      <x:c r="P1103" s="2" t="str">
        <x:v>true</x:v>
      </x:c>
      <x:c r="Q1103" s="2" t="str">
        <x:v>-51.640571892;-51.640571892</x:v>
      </x:c>
      <x:c r="R1103" s="2" t="str">
        <x:v>13.892957998905331</x:v>
      </x:c>
      <x:c r="S1103" s="2" t="str">
        <x:v>48.25867265231444</x:v>
      </x:c>
    </x:row>
    <x:row r="1104">
      <x:c r="A1104" s="2" t="str">
        <x:v>DE-CMP-01</x:v>
      </x:c>
      <x:c r="B1104" s="2" t="str">
        <x:v>CFG-C01</x:v>
      </x:c>
      <x:c r="C1104" s="2" t="n">
        <x:v>46227.70238086805</x:v>
      </x:c>
      <x:c r="D1104" s="2" t="str">
        <x:v>os_cfar</x:v>
      </x:c>
      <x:c r="E1104" s="2" t="str">
        <x:v>closely_spaced_carriers</x:v>
      </x:c>
      <x:c r="F1104" s="2" t="str">
        <x:v>552</x:v>
      </x:c>
      <x:c r="G1104" s="2" t="str">
        <x:v>3154255</x:v>
      </x:c>
      <x:c r="H1104" s="2" t="str">
        <x:v>2048000.0</x:v>
      </x:c>
      <x:c r="I1104" s="2" t="str">
        <x:v>8192</x:v>
      </x:c>
      <x:c r="J1104" s="2" t="str">
        <x:v>250.0</x:v>
      </x:c>
      <x:c r="K1104" s="2" t="str">
        <x:v>2</x:v>
      </x:c>
      <x:c r="L1104" s="2" t="str">
        <x:v>3</x:v>
      </x:c>
      <x:c r="M1104" s="2" t="str">
        <x:v>2</x:v>
      </x:c>
      <x:c r="N1104" s="2" t="str">
        <x:v>1</x:v>
      </x:c>
      <x:c r="O1104" s="2" t="str">
        <x:v>0</x:v>
      </x:c>
      <x:c r="P1104" s="2" t="str">
        <x:v>true</x:v>
      </x:c>
      <x:c r="Q1104" s="2" t="str">
        <x:v>93.831119956;93.831119956</x:v>
      </x:c>
      <x:c r="R1104" s="2" t="str">
        <x:v>13.877290999516845</x:v>
      </x:c>
      <x:c r="S1104" s="2" t="str">
        <x:v>48.2369934564353</x:v>
      </x:c>
    </x:row>
    <x:row r="1105">
      <x:c r="A1105" s="2" t="str">
        <x:v>DE-CMP-01</x:v>
      </x:c>
      <x:c r="B1105" s="2" t="str">
        <x:v>CFG-C01</x:v>
      </x:c>
      <x:c r="C1105" s="2" t="n">
        <x:v>46227.70238086805</x:v>
      </x:c>
      <x:c r="D1105" s="2" t="str">
        <x:v>adaptive</x:v>
      </x:c>
      <x:c r="E1105" s="2" t="str">
        <x:v>closely_spaced_carriers</x:v>
      </x:c>
      <x:c r="F1105" s="2" t="str">
        <x:v>552</x:v>
      </x:c>
      <x:c r="G1105" s="2" t="str">
        <x:v>3154255</x:v>
      </x:c>
      <x:c r="H1105" s="2" t="str">
        <x:v>2048000.0</x:v>
      </x:c>
      <x:c r="I1105" s="2" t="str">
        <x:v>8192</x:v>
      </x:c>
      <x:c r="J1105" s="2" t="str">
        <x:v>250.0</x:v>
      </x:c>
      <x:c r="K1105" s="2" t="str">
        <x:v>2</x:v>
      </x:c>
      <x:c r="L1105" s="2" t="str">
        <x:v>3</x:v>
      </x:c>
      <x:c r="M1105" s="2" t="str">
        <x:v>2</x:v>
      </x:c>
      <x:c r="N1105" s="2" t="str">
        <x:v>1</x:v>
      </x:c>
      <x:c r="O1105" s="2" t="str">
        <x:v>0</x:v>
      </x:c>
      <x:c r="P1105" s="2" t="str">
        <x:v>true</x:v>
      </x:c>
      <x:c r="Q1105" s="2" t="str">
        <x:v>93.831119956;93.831119956</x:v>
      </x:c>
      <x:c r="R1105" s="2" t="str">
        <x:v>0.41416600288357586</x:v>
      </x:c>
      <x:c r="S1105" s="2" t="str">
        <x:v>46.19038892068458</x:v>
      </x:c>
    </x:row>
    <x:row r="1106">
      <x:c r="A1106" s="2" t="str">
        <x:v>DE-CMP-01</x:v>
      </x:c>
      <x:c r="B1106" s="2" t="str">
        <x:v>CFG-C01</x:v>
      </x:c>
      <x:c r="C1106" s="2" t="n">
        <x:v>46227.70238086805</x:v>
      </x:c>
      <x:c r="D1106" s="2" t="str">
        <x:v>adaptive</x:v>
      </x:c>
      <x:c r="E1106" s="2" t="str">
        <x:v>closely_spaced_carriers</x:v>
      </x:c>
      <x:c r="F1106" s="2" t="str">
        <x:v>553</x:v>
      </x:c>
      <x:c r="G1106" s="2" t="str">
        <x:v>3154256</x:v>
      </x:c>
      <x:c r="H1106" s="2" t="str">
        <x:v>2048000.0</x:v>
      </x:c>
      <x:c r="I1106" s="2" t="str">
        <x:v>8192</x:v>
      </x:c>
      <x:c r="J1106" s="2" t="str">
        <x:v>250.0</x:v>
      </x:c>
      <x:c r="K1106" s="2" t="str">
        <x:v>2</x:v>
      </x:c>
      <x:c r="L1106" s="2" t="str">
        <x:v>3</x:v>
      </x:c>
      <x:c r="M1106" s="2" t="str">
        <x:v>2</x:v>
      </x:c>
      <x:c r="N1106" s="2" t="str">
        <x:v>1</x:v>
      </x:c>
      <x:c r="O1106" s="2" t="str">
        <x:v>0</x:v>
      </x:c>
      <x:c r="P1106" s="2" t="str">
        <x:v>true</x:v>
      </x:c>
      <x:c r="Q1106" s="2" t="str">
        <x:v>-9.342735983;-9.342735983</x:v>
      </x:c>
      <x:c r="R1106" s="2" t="str">
        <x:v>0.43279200326651335</x:v>
      </x:c>
      <x:c r="S1106" s="2" t="str">
        <x:v>46.276286275764456</x:v>
      </x:c>
    </x:row>
    <x:row r="1107">
      <x:c r="A1107" s="2" t="str">
        <x:v>DE-CMP-01</x:v>
      </x:c>
      <x:c r="B1107" s="2" t="str">
        <x:v>CFG-C01</x:v>
      </x:c>
      <x:c r="C1107" s="2" t="n">
        <x:v>46227.70238086805</x:v>
      </x:c>
      <x:c r="D1107" s="2" t="str">
        <x:v>os_cfar</x:v>
      </x:c>
      <x:c r="E1107" s="2" t="str">
        <x:v>closely_spaced_carriers</x:v>
      </x:c>
      <x:c r="F1107" s="2" t="str">
        <x:v>553</x:v>
      </x:c>
      <x:c r="G1107" s="2" t="str">
        <x:v>3154256</x:v>
      </x:c>
      <x:c r="H1107" s="2" t="str">
        <x:v>2048000.0</x:v>
      </x:c>
      <x:c r="I1107" s="2" t="str">
        <x:v>8192</x:v>
      </x:c>
      <x:c r="J1107" s="2" t="str">
        <x:v>250.0</x:v>
      </x:c>
      <x:c r="K1107" s="2" t="str">
        <x:v>2</x:v>
      </x:c>
      <x:c r="L1107" s="2" t="str">
        <x:v>3</x:v>
      </x:c>
      <x:c r="M1107" s="2" t="str">
        <x:v>2</x:v>
      </x:c>
      <x:c r="N1107" s="2" t="str">
        <x:v>1</x:v>
      </x:c>
      <x:c r="O1107" s="2" t="str">
        <x:v>0</x:v>
      </x:c>
      <x:c r="P1107" s="2" t="str">
        <x:v>true</x:v>
      </x:c>
      <x:c r="Q1107" s="2" t="str">
        <x:v>-9.342735983;-9.342735983</x:v>
      </x:c>
      <x:c r="R1107" s="2" t="str">
        <x:v>13.637249998282641</x:v>
      </x:c>
      <x:c r="S1107" s="2" t="str">
        <x:v>48.26494704508072</x:v>
      </x:c>
    </x:row>
    <x:row r="1108">
      <x:c r="A1108" s="2" t="str">
        <x:v>DE-CMP-01</x:v>
      </x:c>
      <x:c r="B1108" s="2" t="str">
        <x:v>CFG-C01</x:v>
      </x:c>
      <x:c r="C1108" s="2" t="n">
        <x:v>46227.70238086805</x:v>
      </x:c>
      <x:c r="D1108" s="2" t="str">
        <x:v>os_cfar</x:v>
      </x:c>
      <x:c r="E1108" s="2" t="str">
        <x:v>closely_spaced_carriers</x:v>
      </x:c>
      <x:c r="F1108" s="2" t="str">
        <x:v>554</x:v>
      </x:c>
      <x:c r="G1108" s="2" t="str">
        <x:v>3154257</x:v>
      </x:c>
      <x:c r="H1108" s="2" t="str">
        <x:v>2048000.0</x:v>
      </x:c>
      <x:c r="I1108" s="2" t="str">
        <x:v>8192</x:v>
      </x:c>
      <x:c r="J1108" s="2" t="str">
        <x:v>250.0</x:v>
      </x:c>
      <x:c r="K1108" s="2" t="str">
        <x:v>2</x:v>
      </x:c>
      <x:c r="L1108" s="2" t="str">
        <x:v>3</x:v>
      </x:c>
      <x:c r="M1108" s="2" t="str">
        <x:v>2</x:v>
      </x:c>
      <x:c r="N1108" s="2" t="str">
        <x:v>1</x:v>
      </x:c>
      <x:c r="O1108" s="2" t="str">
        <x:v>0</x:v>
      </x:c>
      <x:c r="P1108" s="2" t="str">
        <x:v>true</x:v>
      </x:c>
      <x:c r="Q1108" s="2" t="str">
        <x:v>114.144957473;114.144957473</x:v>
      </x:c>
      <x:c r="R1108" s="2" t="str">
        <x:v>13.847459005773999</x:v>
      </x:c>
      <x:c r="S1108" s="2" t="str">
        <x:v>48.20869374923525</x:v>
      </x:c>
    </x:row>
    <x:row r="1109">
      <x:c r="A1109" s="2" t="str">
        <x:v>DE-CMP-01</x:v>
      </x:c>
      <x:c r="B1109" s="2" t="str">
        <x:v>CFG-C01</x:v>
      </x:c>
      <x:c r="C1109" s="2" t="n">
        <x:v>46227.70238086805</x:v>
      </x:c>
      <x:c r="D1109" s="2" t="str">
        <x:v>adaptive</x:v>
      </x:c>
      <x:c r="E1109" s="2" t="str">
        <x:v>closely_spaced_carriers</x:v>
      </x:c>
      <x:c r="F1109" s="2" t="str">
        <x:v>554</x:v>
      </x:c>
      <x:c r="G1109" s="2" t="str">
        <x:v>3154257</x:v>
      </x:c>
      <x:c r="H1109" s="2" t="str">
        <x:v>2048000.0</x:v>
      </x:c>
      <x:c r="I1109" s="2" t="str">
        <x:v>8192</x:v>
      </x:c>
      <x:c r="J1109" s="2" t="str">
        <x:v>250.0</x:v>
      </x:c>
      <x:c r="K1109" s="2" t="str">
        <x:v>2</x:v>
      </x:c>
      <x:c r="L1109" s="2" t="str">
        <x:v>3</x:v>
      </x:c>
      <x:c r="M1109" s="2" t="str">
        <x:v>2</x:v>
      </x:c>
      <x:c r="N1109" s="2" t="str">
        <x:v>1</x:v>
      </x:c>
      <x:c r="O1109" s="2" t="str">
        <x:v>0</x:v>
      </x:c>
      <x:c r="P1109" s="2" t="str">
        <x:v>true</x:v>
      </x:c>
      <x:c r="Q1109" s="2" t="str">
        <x:v>114.144957473;114.144957473</x:v>
      </x:c>
      <x:c r="R1109" s="2" t="str">
        <x:v>0.4438330070115626</x:v>
      </x:c>
      <x:c r="S1109" s="2" t="str">
        <x:v>46.34202163626101</x:v>
      </x:c>
    </x:row>
    <x:row r="1110">
      <x:c r="A1110" s="2" t="str">
        <x:v>DE-CMP-01</x:v>
      </x:c>
      <x:c r="B1110" s="2" t="str">
        <x:v>CFG-C01</x:v>
      </x:c>
      <x:c r="C1110" s="2" t="n">
        <x:v>46227.70238086805</x:v>
      </x:c>
      <x:c r="D1110" s="2" t="str">
        <x:v>adaptive</x:v>
      </x:c>
      <x:c r="E1110" s="2" t="str">
        <x:v>closely_spaced_carriers</x:v>
      </x:c>
      <x:c r="F1110" s="2" t="str">
        <x:v>555</x:v>
      </x:c>
      <x:c r="G1110" s="2" t="str">
        <x:v>3154258</x:v>
      </x:c>
      <x:c r="H1110" s="2" t="str">
        <x:v>2048000.0</x:v>
      </x:c>
      <x:c r="I1110" s="2" t="str">
        <x:v>8192</x:v>
      </x:c>
      <x:c r="J1110" s="2" t="str">
        <x:v>250.0</x:v>
      </x:c>
      <x:c r="K1110" s="2" t="str">
        <x:v>2</x:v>
      </x:c>
      <x:c r="L1110" s="2" t="str">
        <x:v>3</x:v>
      </x:c>
      <x:c r="M1110" s="2" t="str">
        <x:v>2</x:v>
      </x:c>
      <x:c r="N1110" s="2" t="str">
        <x:v>1</x:v>
      </x:c>
      <x:c r="O1110" s="2" t="str">
        <x:v>0</x:v>
      </x:c>
      <x:c r="P1110" s="2" t="str">
        <x:v>true</x:v>
      </x:c>
      <x:c r="Q1110" s="2" t="str">
        <x:v>124.394520638;-125.605479362</x:v>
      </x:c>
      <x:c r="R1110" s="2" t="str">
        <x:v>0.4249579942552373</x:v>
      </x:c>
      <x:c r="S1110" s="2" t="str">
        <x:v>46.31802055238151</x:v>
      </x:c>
    </x:row>
    <x:row r="1111">
      <x:c r="A1111" s="2" t="str">
        <x:v>DE-CMP-01</x:v>
      </x:c>
      <x:c r="B1111" s="2" t="str">
        <x:v>CFG-C01</x:v>
      </x:c>
      <x:c r="C1111" s="2" t="n">
        <x:v>46227.70238086805</x:v>
      </x:c>
      <x:c r="D1111" s="2" t="str">
        <x:v>os_cfar</x:v>
      </x:c>
      <x:c r="E1111" s="2" t="str">
        <x:v>closely_spaced_carriers</x:v>
      </x:c>
      <x:c r="F1111" s="2" t="str">
        <x:v>555</x:v>
      </x:c>
      <x:c r="G1111" s="2" t="str">
        <x:v>3154258</x:v>
      </x:c>
      <x:c r="H1111" s="2" t="str">
        <x:v>2048000.0</x:v>
      </x:c>
      <x:c r="I1111" s="2" t="str">
        <x:v>8192</x:v>
      </x:c>
      <x:c r="J1111" s="2" t="str">
        <x:v>250.0</x:v>
      </x:c>
      <x:c r="K1111" s="2" t="str">
        <x:v>2</x:v>
      </x:c>
      <x:c r="L1111" s="2" t="str">
        <x:v>3</x:v>
      </x:c>
      <x:c r="M1111" s="2" t="str">
        <x:v>2</x:v>
      </x:c>
      <x:c r="N1111" s="2" t="str">
        <x:v>1</x:v>
      </x:c>
      <x:c r="O1111" s="2" t="str">
        <x:v>0</x:v>
      </x:c>
      <x:c r="P1111" s="2" t="str">
        <x:v>true</x:v>
      </x:c>
      <x:c r="Q1111" s="2" t="str">
        <x:v>124.394520638;-125.605479362</x:v>
      </x:c>
      <x:c r="R1111" s="2" t="str">
        <x:v>13.874917000066489</x:v>
      </x:c>
      <x:c r="S1111" s="2" t="str">
        <x:v>48.0567613792435</x:v>
      </x:c>
    </x:row>
    <x:row r="1112">
      <x:c r="A1112" s="2" t="str">
        <x:v>DE-CMP-01</x:v>
      </x:c>
      <x:c r="B1112" s="2" t="str">
        <x:v>CFG-C01</x:v>
      </x:c>
      <x:c r="C1112" s="2" t="n">
        <x:v>46227.70238086805</x:v>
      </x:c>
      <x:c r="D1112" s="2" t="str">
        <x:v>os_cfar</x:v>
      </x:c>
      <x:c r="E1112" s="2" t="str">
        <x:v>closely_spaced_carriers</x:v>
      </x:c>
      <x:c r="F1112" s="2" t="str">
        <x:v>556</x:v>
      </x:c>
      <x:c r="G1112" s="2" t="str">
        <x:v>3154259</x:v>
      </x:c>
      <x:c r="H1112" s="2" t="str">
        <x:v>2048000.0</x:v>
      </x:c>
      <x:c r="I1112" s="2" t="str">
        <x:v>8192</x:v>
      </x:c>
      <x:c r="J1112" s="2" t="str">
        <x:v>250.0</x:v>
      </x:c>
      <x:c r="K1112" s="2" t="str">
        <x:v>2</x:v>
      </x:c>
      <x:c r="L1112" s="2" t="str">
        <x:v>3</x:v>
      </x:c>
      <x:c r="M1112" s="2" t="str">
        <x:v>2</x:v>
      </x:c>
      <x:c r="N1112" s="2" t="str">
        <x:v>1</x:v>
      </x:c>
      <x:c r="O1112" s="2" t="str">
        <x:v>0</x:v>
      </x:c>
      <x:c r="P1112" s="2" t="str">
        <x:v>true</x:v>
      </x:c>
      <x:c r="Q1112" s="2" t="str">
        <x:v>24.368216604;24.368216604</x:v>
      </x:c>
      <x:c r="R1112" s="2" t="str">
        <x:v>13.834792000125162</x:v>
      </x:c>
      <x:c r="S1112" s="2" t="str">
        <x:v>48.19839272368456</x:v>
      </x:c>
    </x:row>
    <x:row r="1113">
      <x:c r="A1113" s="2" t="str">
        <x:v>DE-CMP-01</x:v>
      </x:c>
      <x:c r="B1113" s="2" t="str">
        <x:v>CFG-C01</x:v>
      </x:c>
      <x:c r="C1113" s="2" t="n">
        <x:v>46227.70238086805</x:v>
      </x:c>
      <x:c r="D1113" s="2" t="str">
        <x:v>adaptive</x:v>
      </x:c>
      <x:c r="E1113" s="2" t="str">
        <x:v>closely_spaced_carriers</x:v>
      </x:c>
      <x:c r="F1113" s="2" t="str">
        <x:v>556</x:v>
      </x:c>
      <x:c r="G1113" s="2" t="str">
        <x:v>3154259</x:v>
      </x:c>
      <x:c r="H1113" s="2" t="str">
        <x:v>2048000.0</x:v>
      </x:c>
      <x:c r="I1113" s="2" t="str">
        <x:v>8192</x:v>
      </x:c>
      <x:c r="J1113" s="2" t="str">
        <x:v>250.0</x:v>
      </x:c>
      <x:c r="K1113" s="2" t="str">
        <x:v>2</x:v>
      </x:c>
      <x:c r="L1113" s="2" t="str">
        <x:v>3</x:v>
      </x:c>
      <x:c r="M1113" s="2" t="str">
        <x:v>2</x:v>
      </x:c>
      <x:c r="N1113" s="2" t="str">
        <x:v>1</x:v>
      </x:c>
      <x:c r="O1113" s="2" t="str">
        <x:v>0</x:v>
      </x:c>
      <x:c r="P1113" s="2" t="str">
        <x:v>true</x:v>
      </x:c>
      <x:c r="Q1113" s="2" t="str">
        <x:v>24.368216604;24.368216604</x:v>
      </x:c>
      <x:c r="R1113" s="2" t="str">
        <x:v>0.42287498945370317</x:v>
      </x:c>
      <x:c r="S1113" s="2" t="str">
        <x:v>46.338098480350894</x:v>
      </x:c>
    </x:row>
    <x:row r="1114">
      <x:c r="A1114" s="2" t="str">
        <x:v>DE-CMP-01</x:v>
      </x:c>
      <x:c r="B1114" s="2" t="str">
        <x:v>CFG-C01</x:v>
      </x:c>
      <x:c r="C1114" s="2" t="n">
        <x:v>46227.70238086805</x:v>
      </x:c>
      <x:c r="D1114" s="2" t="str">
        <x:v>adaptive</x:v>
      </x:c>
      <x:c r="E1114" s="2" t="str">
        <x:v>closely_spaced_carriers</x:v>
      </x:c>
      <x:c r="F1114" s="2" t="str">
        <x:v>557</x:v>
      </x:c>
      <x:c r="G1114" s="2" t="str">
        <x:v>3154260</x:v>
      </x:c>
      <x:c r="H1114" s="2" t="str">
        <x:v>2048000.0</x:v>
      </x:c>
      <x:c r="I1114" s="2" t="str">
        <x:v>8192</x:v>
      </x:c>
      <x:c r="J1114" s="2" t="str">
        <x:v>250.0</x:v>
      </x:c>
      <x:c r="K1114" s="2" t="str">
        <x:v>2</x:v>
      </x:c>
      <x:c r="L1114" s="2" t="str">
        <x:v>3</x:v>
      </x:c>
      <x:c r="M1114" s="2" t="str">
        <x:v>2</x:v>
      </x:c>
      <x:c r="N1114" s="2" t="str">
        <x:v>1</x:v>
      </x:c>
      <x:c r="O1114" s="2" t="str">
        <x:v>0</x:v>
      </x:c>
      <x:c r="P1114" s="2" t="str">
        <x:v>true</x:v>
      </x:c>
      <x:c r="Q1114" s="2" t="str">
        <x:v>-107.559235977;-107.559235978</x:v>
      </x:c>
      <x:c r="R1114" s="2" t="str">
        <x:v>0.4064999957336113</x:v>
      </x:c>
      <x:c r="S1114" s="2" t="str">
        <x:v>46.28730997368221</x:v>
      </x:c>
    </x:row>
    <x:row r="1115">
      <x:c r="A1115" s="2" t="str">
        <x:v>DE-CMP-01</x:v>
      </x:c>
      <x:c r="B1115" s="2" t="str">
        <x:v>CFG-C01</x:v>
      </x:c>
      <x:c r="C1115" s="2" t="n">
        <x:v>46227.70238086805</x:v>
      </x:c>
      <x:c r="D1115" s="2" t="str">
        <x:v>os_cfar</x:v>
      </x:c>
      <x:c r="E1115" s="2" t="str">
        <x:v>closely_spaced_carriers</x:v>
      </x:c>
      <x:c r="F1115" s="2" t="str">
        <x:v>557</x:v>
      </x:c>
      <x:c r="G1115" s="2" t="str">
        <x:v>3154260</x:v>
      </x:c>
      <x:c r="H1115" s="2" t="str">
        <x:v>2048000.0</x:v>
      </x:c>
      <x:c r="I1115" s="2" t="str">
        <x:v>8192</x:v>
      </x:c>
      <x:c r="J1115" s="2" t="str">
        <x:v>250.0</x:v>
      </x:c>
      <x:c r="K1115" s="2" t="str">
        <x:v>2</x:v>
      </x:c>
      <x:c r="L1115" s="2" t="str">
        <x:v>3</x:v>
      </x:c>
      <x:c r="M1115" s="2" t="str">
        <x:v>2</x:v>
      </x:c>
      <x:c r="N1115" s="2" t="str">
        <x:v>1</x:v>
      </x:c>
      <x:c r="O1115" s="2" t="str">
        <x:v>0</x:v>
      </x:c>
      <x:c r="P1115" s="2" t="str">
        <x:v>true</x:v>
      </x:c>
      <x:c r="Q1115" s="2" t="str">
        <x:v>-107.559235977;-107.559235978</x:v>
      </x:c>
      <x:c r="R1115" s="2" t="str">
        <x:v>13.731458995607682</x:v>
      </x:c>
      <x:c r="S1115" s="2" t="str">
        <x:v>48.1358190101688</x:v>
      </x:c>
    </x:row>
    <x:row r="1116">
      <x:c r="A1116" s="2" t="str">
        <x:v>DE-CMP-01</x:v>
      </x:c>
      <x:c r="B1116" s="2" t="str">
        <x:v>CFG-C01</x:v>
      </x:c>
      <x:c r="C1116" s="2" t="n">
        <x:v>46227.70238086805</x:v>
      </x:c>
      <x:c r="D1116" s="2" t="str">
        <x:v>os_cfar</x:v>
      </x:c>
      <x:c r="E1116" s="2" t="str">
        <x:v>closely_spaced_carriers</x:v>
      </x:c>
      <x:c r="F1116" s="2" t="str">
        <x:v>558</x:v>
      </x:c>
      <x:c r="G1116" s="2" t="str">
        <x:v>3154261</x:v>
      </x:c>
      <x:c r="H1116" s="2" t="str">
        <x:v>2048000.0</x:v>
      </x:c>
      <x:c r="I1116" s="2" t="str">
        <x:v>8192</x:v>
      </x:c>
      <x:c r="J1116" s="2" t="str">
        <x:v>250.0</x:v>
      </x:c>
      <x:c r="K1116" s="2" t="str">
        <x:v>2</x:v>
      </x:c>
      <x:c r="L1116" s="2" t="str">
        <x:v>3</x:v>
      </x:c>
      <x:c r="M1116" s="2" t="str">
        <x:v>2</x:v>
      </x:c>
      <x:c r="N1116" s="2" t="str">
        <x:v>1</x:v>
      </x:c>
      <x:c r="O1116" s="2" t="str">
        <x:v>0</x:v>
      </x:c>
      <x:c r="P1116" s="2" t="str">
        <x:v>true</x:v>
      </x:c>
      <x:c r="Q1116" s="2" t="str">
        <x:v>-86.163129149;-86.163129149</x:v>
      </x:c>
      <x:c r="R1116" s="2" t="str">
        <x:v>13.74829099222552</x:v>
      </x:c>
      <x:c r="S1116" s="2" t="str">
        <x:v>48.33246330313406</x:v>
      </x:c>
    </x:row>
    <x:row r="1117">
      <x:c r="A1117" s="2" t="str">
        <x:v>DE-CMP-01</x:v>
      </x:c>
      <x:c r="B1117" s="2" t="str">
        <x:v>CFG-C01</x:v>
      </x:c>
      <x:c r="C1117" s="2" t="n">
        <x:v>46227.70238086805</x:v>
      </x:c>
      <x:c r="D1117" s="2" t="str">
        <x:v>adaptive</x:v>
      </x:c>
      <x:c r="E1117" s="2" t="str">
        <x:v>closely_spaced_carriers</x:v>
      </x:c>
      <x:c r="F1117" s="2" t="str">
        <x:v>558</x:v>
      </x:c>
      <x:c r="G1117" s="2" t="str">
        <x:v>3154261</x:v>
      </x:c>
      <x:c r="H1117" s="2" t="str">
        <x:v>2048000.0</x:v>
      </x:c>
      <x:c r="I1117" s="2" t="str">
        <x:v>8192</x:v>
      </x:c>
      <x:c r="J1117" s="2" t="str">
        <x:v>250.0</x:v>
      </x:c>
      <x:c r="K1117" s="2" t="str">
        <x:v>2</x:v>
      </x:c>
      <x:c r="L1117" s="2" t="str">
        <x:v>3</x:v>
      </x:c>
      <x:c r="M1117" s="2" t="str">
        <x:v>2</x:v>
      </x:c>
      <x:c r="N1117" s="2" t="str">
        <x:v>1</x:v>
      </x:c>
      <x:c r="O1117" s="2" t="str">
        <x:v>0</x:v>
      </x:c>
      <x:c r="P1117" s="2" t="str">
        <x:v>true</x:v>
      </x:c>
      <x:c r="Q1117" s="2" t="str">
        <x:v>-86.163129149;-86.163129149</x:v>
      </x:c>
      <x:c r="R1117" s="2" t="str">
        <x:v>0.43733300117310137</x:v>
      </x:c>
      <x:c r="S1117" s="2" t="str">
        <x:v>46.61666758502952</x:v>
      </x:c>
    </x:row>
    <x:row r="1118">
      <x:c r="A1118" s="2" t="str">
        <x:v>DE-CMP-01</x:v>
      </x:c>
      <x:c r="B1118" s="2" t="str">
        <x:v>CFG-C01</x:v>
      </x:c>
      <x:c r="C1118" s="2" t="n">
        <x:v>46227.70238086805</x:v>
      </x:c>
      <x:c r="D1118" s="2" t="str">
        <x:v>adaptive</x:v>
      </x:c>
      <x:c r="E1118" s="2" t="str">
        <x:v>closely_spaced_carriers</x:v>
      </x:c>
      <x:c r="F1118" s="2" t="str">
        <x:v>559</x:v>
      </x:c>
      <x:c r="G1118" s="2" t="str">
        <x:v>3154262</x:v>
      </x:c>
      <x:c r="H1118" s="2" t="str">
        <x:v>2048000.0</x:v>
      </x:c>
      <x:c r="I1118" s="2" t="str">
        <x:v>8192</x:v>
      </x:c>
      <x:c r="J1118" s="2" t="str">
        <x:v>250.0</x:v>
      </x:c>
      <x:c r="K1118" s="2" t="str">
        <x:v>2</x:v>
      </x:c>
      <x:c r="L1118" s="2" t="str">
        <x:v>3</x:v>
      </x:c>
      <x:c r="M1118" s="2" t="str">
        <x:v>2</x:v>
      </x:c>
      <x:c r="N1118" s="2" t="str">
        <x:v>1</x:v>
      </x:c>
      <x:c r="O1118" s="2" t="str">
        <x:v>0</x:v>
      </x:c>
      <x:c r="P1118" s="2" t="str">
        <x:v>true</x:v>
      </x:c>
      <x:c r="Q1118" s="2" t="str">
        <x:v>39.855385734;39.855385734</x:v>
      </x:c>
      <x:c r="R1118" s="2" t="str">
        <x:v>0.41629199404269457</x:v>
      </x:c>
      <x:c r="S1118" s="2" t="str">
        <x:v>46.517205817459</x:v>
      </x:c>
    </x:row>
    <x:row r="1119">
      <x:c r="A1119" s="2" t="str">
        <x:v>DE-CMP-01</x:v>
      </x:c>
      <x:c r="B1119" s="2" t="str">
        <x:v>CFG-C01</x:v>
      </x:c>
      <x:c r="C1119" s="2" t="n">
        <x:v>46227.70238086805</x:v>
      </x:c>
      <x:c r="D1119" s="2" t="str">
        <x:v>os_cfar</x:v>
      </x:c>
      <x:c r="E1119" s="2" t="str">
        <x:v>closely_spaced_carriers</x:v>
      </x:c>
      <x:c r="F1119" s="2" t="str">
        <x:v>559</x:v>
      </x:c>
      <x:c r="G1119" s="2" t="str">
        <x:v>3154262</x:v>
      </x:c>
      <x:c r="H1119" s="2" t="str">
        <x:v>2048000.0</x:v>
      </x:c>
      <x:c r="I1119" s="2" t="str">
        <x:v>8192</x:v>
      </x:c>
      <x:c r="J1119" s="2" t="str">
        <x:v>250.0</x:v>
      </x:c>
      <x:c r="K1119" s="2" t="str">
        <x:v>2</x:v>
      </x:c>
      <x:c r="L1119" s="2" t="str">
        <x:v>3</x:v>
      </x:c>
      <x:c r="M1119" s="2" t="str">
        <x:v>2</x:v>
      </x:c>
      <x:c r="N1119" s="2" t="str">
        <x:v>1</x:v>
      </x:c>
      <x:c r="O1119" s="2" t="str">
        <x:v>0</x:v>
      </x:c>
      <x:c r="P1119" s="2" t="str">
        <x:v>true</x:v>
      </x:c>
      <x:c r="Q1119" s="2" t="str">
        <x:v>39.855385734;39.855385734</x:v>
      </x:c>
      <x:c r="R1119" s="2" t="str">
        <x:v>13.930458997492678</x:v>
      </x:c>
      <x:c r="S1119" s="2" t="str">
        <x:v>48.163704715955916</x:v>
      </x:c>
    </x:row>
    <x:row r="1120">
      <x:c r="A1120" s="2" t="str">
        <x:v>DE-CMP-01</x:v>
      </x:c>
      <x:c r="B1120" s="2" t="str">
        <x:v>CFG-C01</x:v>
      </x:c>
      <x:c r="C1120" s="2" t="n">
        <x:v>46227.70238086805</x:v>
      </x:c>
      <x:c r="D1120" s="2" t="str">
        <x:v>os_cfar</x:v>
      </x:c>
      <x:c r="E1120" s="2" t="str">
        <x:v>closely_spaced_carriers</x:v>
      </x:c>
      <x:c r="F1120" s="2" t="str">
        <x:v>560</x:v>
      </x:c>
      <x:c r="G1120" s="2" t="str">
        <x:v>3154263</x:v>
      </x:c>
      <x:c r="H1120" s="2" t="str">
        <x:v>2048000.0</x:v>
      </x:c>
      <x:c r="I1120" s="2" t="str">
        <x:v>8192</x:v>
      </x:c>
      <x:c r="J1120" s="2" t="str">
        <x:v>250.0</x:v>
      </x:c>
      <x:c r="K1120" s="2" t="str">
        <x:v>2</x:v>
      </x:c>
      <x:c r="L1120" s="2" t="str">
        <x:v>3</x:v>
      </x:c>
      <x:c r="M1120" s="2" t="str">
        <x:v>2</x:v>
      </x:c>
      <x:c r="N1120" s="2" t="str">
        <x:v>1</x:v>
      </x:c>
      <x:c r="O1120" s="2" t="str">
        <x:v>0</x:v>
      </x:c>
      <x:c r="P1120" s="2" t="str">
        <x:v>true</x:v>
      </x:c>
      <x:c r="Q1120" s="2" t="str">
        <x:v>-71.550653171;-71.550653171</x:v>
      </x:c>
      <x:c r="R1120" s="2" t="str">
        <x:v>14.015208987984806</x:v>
      </x:c>
      <x:c r="S1120" s="2" t="str">
        <x:v>48.292762624579794</x:v>
      </x:c>
    </x:row>
    <x:row r="1121">
      <x:c r="A1121" s="2" t="str">
        <x:v>DE-CMP-01</x:v>
      </x:c>
      <x:c r="B1121" s="2" t="str">
        <x:v>CFG-C01</x:v>
      </x:c>
      <x:c r="C1121" s="2" t="n">
        <x:v>46227.70238086805</x:v>
      </x:c>
      <x:c r="D1121" s="2" t="str">
        <x:v>adaptive</x:v>
      </x:c>
      <x:c r="E1121" s="2" t="str">
        <x:v>closely_spaced_carriers</x:v>
      </x:c>
      <x:c r="F1121" s="2" t="str">
        <x:v>560</x:v>
      </x:c>
      <x:c r="G1121" s="2" t="str">
        <x:v>3154263</x:v>
      </x:c>
      <x:c r="H1121" s="2" t="str">
        <x:v>2048000.0</x:v>
      </x:c>
      <x:c r="I1121" s="2" t="str">
        <x:v>8192</x:v>
      </x:c>
      <x:c r="J1121" s="2" t="str">
        <x:v>250.0</x:v>
      </x:c>
      <x:c r="K1121" s="2" t="str">
        <x:v>2</x:v>
      </x:c>
      <x:c r="L1121" s="2" t="str">
        <x:v>3</x:v>
      </x:c>
      <x:c r="M1121" s="2" t="str">
        <x:v>2</x:v>
      </x:c>
      <x:c r="N1121" s="2" t="str">
        <x:v>1</x:v>
      </x:c>
      <x:c r="O1121" s="2" t="str">
        <x:v>0</x:v>
      </x:c>
      <x:c r="P1121" s="2" t="str">
        <x:v>true</x:v>
      </x:c>
      <x:c r="Q1121" s="2" t="str">
        <x:v>-71.550653171;-71.550653171</x:v>
      </x:c>
      <x:c r="R1121" s="2" t="str">
        <x:v>0.4245000018272549</x:v>
      </x:c>
      <x:c r="S1121" s="2" t="str">
        <x:v>46.52413277482489</x:v>
      </x:c>
    </x:row>
    <x:row r="1122">
      <x:c r="A1122" s="2" t="str">
        <x:v>DE-CMP-01</x:v>
      </x:c>
      <x:c r="B1122" s="2" t="str">
        <x:v>CFG-C01</x:v>
      </x:c>
      <x:c r="C1122" s="2" t="n">
        <x:v>46227.70238086805</x:v>
      </x:c>
      <x:c r="D1122" s="2" t="str">
        <x:v>adaptive</x:v>
      </x:c>
      <x:c r="E1122" s="2" t="str">
        <x:v>closely_spaced_carriers</x:v>
      </x:c>
      <x:c r="F1122" s="2" t="str">
        <x:v>561</x:v>
      </x:c>
      <x:c r="G1122" s="2" t="str">
        <x:v>3154264</x:v>
      </x:c>
      <x:c r="H1122" s="2" t="str">
        <x:v>2048000.0</x:v>
      </x:c>
      <x:c r="I1122" s="2" t="str">
        <x:v>8192</x:v>
      </x:c>
      <x:c r="J1122" s="2" t="str">
        <x:v>250.0</x:v>
      </x:c>
      <x:c r="K1122" s="2" t="str">
        <x:v>2</x:v>
      </x:c>
      <x:c r="L1122" s="2" t="str">
        <x:v>3</x:v>
      </x:c>
      <x:c r="M1122" s="2" t="str">
        <x:v>2</x:v>
      </x:c>
      <x:c r="N1122" s="2" t="str">
        <x:v>1</x:v>
      </x:c>
      <x:c r="O1122" s="2" t="str">
        <x:v>0</x:v>
      </x:c>
      <x:c r="P1122" s="2" t="str">
        <x:v>true</x:v>
      </x:c>
      <x:c r="Q1122" s="2" t="str">
        <x:v>59.722621635;59.722621635</x:v>
      </x:c>
      <x:c r="R1122" s="2" t="str">
        <x:v>0.41212500946130604</x:v>
      </x:c>
      <x:c r="S1122" s="2" t="str">
        <x:v>46.53870170447965</x:v>
      </x:c>
    </x:row>
    <x:row r="1123">
      <x:c r="A1123" s="2" t="str">
        <x:v>DE-CMP-01</x:v>
      </x:c>
      <x:c r="B1123" s="2" t="str">
        <x:v>CFG-C01</x:v>
      </x:c>
      <x:c r="C1123" s="2" t="n">
        <x:v>46227.70238086805</x:v>
      </x:c>
      <x:c r="D1123" s="2" t="str">
        <x:v>os_cfar</x:v>
      </x:c>
      <x:c r="E1123" s="2" t="str">
        <x:v>closely_spaced_carriers</x:v>
      </x:c>
      <x:c r="F1123" s="2" t="str">
        <x:v>561</x:v>
      </x:c>
      <x:c r="G1123" s="2" t="str">
        <x:v>3154264</x:v>
      </x:c>
      <x:c r="H1123" s="2" t="str">
        <x:v>2048000.0</x:v>
      </x:c>
      <x:c r="I1123" s="2" t="str">
        <x:v>8192</x:v>
      </x:c>
      <x:c r="J1123" s="2" t="str">
        <x:v>250.0</x:v>
      </x:c>
      <x:c r="K1123" s="2" t="str">
        <x:v>2</x:v>
      </x:c>
      <x:c r="L1123" s="2" t="str">
        <x:v>3</x:v>
      </x:c>
      <x:c r="M1123" s="2" t="str">
        <x:v>2</x:v>
      </x:c>
      <x:c r="N1123" s="2" t="str">
        <x:v>1</x:v>
      </x:c>
      <x:c r="O1123" s="2" t="str">
        <x:v>0</x:v>
      </x:c>
      <x:c r="P1123" s="2" t="str">
        <x:v>true</x:v>
      </x:c>
      <x:c r="Q1123" s="2" t="str">
        <x:v>59.722621635;59.722621635</x:v>
      </x:c>
      <x:c r="R1123" s="2" t="str">
        <x:v>14.08758299658075</x:v>
      </x:c>
      <x:c r="S1123" s="2" t="str">
        <x:v>48.20362266650454</x:v>
      </x:c>
    </x:row>
    <x:row r="1124">
      <x:c r="A1124" s="2" t="str">
        <x:v>DE-CMP-01</x:v>
      </x:c>
      <x:c r="B1124" s="2" t="str">
        <x:v>CFG-C01</x:v>
      </x:c>
      <x:c r="C1124" s="2" t="n">
        <x:v>46227.70238086805</x:v>
      </x:c>
      <x:c r="D1124" s="2" t="str">
        <x:v>os_cfar</x:v>
      </x:c>
      <x:c r="E1124" s="2" t="str">
        <x:v>closely_spaced_carriers</x:v>
      </x:c>
      <x:c r="F1124" s="2" t="str">
        <x:v>562</x:v>
      </x:c>
      <x:c r="G1124" s="2" t="str">
        <x:v>3154265</x:v>
      </x:c>
      <x:c r="H1124" s="2" t="str">
        <x:v>2048000.0</x:v>
      </x:c>
      <x:c r="I1124" s="2" t="str">
        <x:v>8192</x:v>
      </x:c>
      <x:c r="J1124" s="2" t="str">
        <x:v>250.0</x:v>
      </x:c>
      <x:c r="K1124" s="2" t="str">
        <x:v>2</x:v>
      </x:c>
      <x:c r="L1124" s="2" t="str">
        <x:v>3</x:v>
      </x:c>
      <x:c r="M1124" s="2" t="str">
        <x:v>2</x:v>
      </x:c>
      <x:c r="N1124" s="2" t="str">
        <x:v>1</x:v>
      </x:c>
      <x:c r="O1124" s="2" t="str">
        <x:v>0</x:v>
      </x:c>
      <x:c r="P1124" s="2" t="str">
        <x:v>true</x:v>
      </x:c>
      <x:c r="Q1124" s="2" t="str">
        <x:v>10.590312239;10.590312239</x:v>
      </x:c>
      <x:c r="R1124" s="2" t="str">
        <x:v>13.930416011135094</x:v>
      </x:c>
      <x:c r="S1124" s="2" t="str">
        <x:v>48.10507168170076</x:v>
      </x:c>
    </x:row>
    <x:row r="1125">
      <x:c r="A1125" s="2" t="str">
        <x:v>DE-CMP-01</x:v>
      </x:c>
      <x:c r="B1125" s="2" t="str">
        <x:v>CFG-C01</x:v>
      </x:c>
      <x:c r="C1125" s="2" t="n">
        <x:v>46227.70238086805</x:v>
      </x:c>
      <x:c r="D1125" s="2" t="str">
        <x:v>adaptive</x:v>
      </x:c>
      <x:c r="E1125" s="2" t="str">
        <x:v>closely_spaced_carriers</x:v>
      </x:c>
      <x:c r="F1125" s="2" t="str">
        <x:v>562</x:v>
      </x:c>
      <x:c r="G1125" s="2" t="str">
        <x:v>3154265</x:v>
      </x:c>
      <x:c r="H1125" s="2" t="str">
        <x:v>2048000.0</x:v>
      </x:c>
      <x:c r="I1125" s="2" t="str">
        <x:v>8192</x:v>
      </x:c>
      <x:c r="J1125" s="2" t="str">
        <x:v>250.0</x:v>
      </x:c>
      <x:c r="K1125" s="2" t="str">
        <x:v>2</x:v>
      </x:c>
      <x:c r="L1125" s="2" t="str">
        <x:v>3</x:v>
      </x:c>
      <x:c r="M1125" s="2" t="str">
        <x:v>2</x:v>
      </x:c>
      <x:c r="N1125" s="2" t="str">
        <x:v>1</x:v>
      </x:c>
      <x:c r="O1125" s="2" t="str">
        <x:v>0</x:v>
      </x:c>
      <x:c r="P1125" s="2" t="str">
        <x:v>true</x:v>
      </x:c>
      <x:c r="Q1125" s="2" t="str">
        <x:v>10.590312239;10.590312239</x:v>
      </x:c>
      <x:c r="R1125" s="2" t="str">
        <x:v>0.4280419962015003</x:v>
      </x:c>
      <x:c r="S1125" s="2" t="str">
        <x:v>46.360012580470034</x:v>
      </x:c>
    </x:row>
    <x:row r="1126">
      <x:c r="A1126" s="2" t="str">
        <x:v>DE-CMP-01</x:v>
      </x:c>
      <x:c r="B1126" s="2" t="str">
        <x:v>CFG-C01</x:v>
      </x:c>
      <x:c r="C1126" s="2" t="n">
        <x:v>46227.70238086805</x:v>
      </x:c>
      <x:c r="D1126" s="2" t="str">
        <x:v>adaptive</x:v>
      </x:c>
      <x:c r="E1126" s="2" t="str">
        <x:v>closely_spaced_carriers</x:v>
      </x:c>
      <x:c r="F1126" s="2" t="str">
        <x:v>563</x:v>
      </x:c>
      <x:c r="G1126" s="2" t="str">
        <x:v>3154266</x:v>
      </x:c>
      <x:c r="H1126" s="2" t="str">
        <x:v>2048000.0</x:v>
      </x:c>
      <x:c r="I1126" s="2" t="str">
        <x:v>8192</x:v>
      </x:c>
      <x:c r="J1126" s="2" t="str">
        <x:v>250.0</x:v>
      </x:c>
      <x:c r="K1126" s="2" t="str">
        <x:v>2</x:v>
      </x:c>
      <x:c r="L1126" s="2" t="str">
        <x:v>3</x:v>
      </x:c>
      <x:c r="M1126" s="2" t="str">
        <x:v>2</x:v>
      </x:c>
      <x:c r="N1126" s="2" t="str">
        <x:v>1</x:v>
      </x:c>
      <x:c r="O1126" s="2" t="str">
        <x:v>0</x:v>
      </x:c>
      <x:c r="P1126" s="2" t="str">
        <x:v>true</x:v>
      </x:c>
      <x:c r="Q1126" s="2" t="str">
        <x:v>-98.954083320;-98.954083320</x:v>
      </x:c>
      <x:c r="R1126" s="2" t="str">
        <x:v>0.40704199636820704</x:v>
      </x:c>
      <x:c r="S1126" s="2" t="str">
        <x:v>46.382353942118385</x:v>
      </x:c>
    </x:row>
    <x:row r="1127">
      <x:c r="A1127" s="2" t="str">
        <x:v>DE-CMP-01</x:v>
      </x:c>
      <x:c r="B1127" s="2" t="str">
        <x:v>CFG-C01</x:v>
      </x:c>
      <x:c r="C1127" s="2" t="n">
        <x:v>46227.70238086805</x:v>
      </x:c>
      <x:c r="D1127" s="2" t="str">
        <x:v>os_cfar</x:v>
      </x:c>
      <x:c r="E1127" s="2" t="str">
        <x:v>closely_spaced_carriers</x:v>
      </x:c>
      <x:c r="F1127" s="2" t="str">
        <x:v>563</x:v>
      </x:c>
      <x:c r="G1127" s="2" t="str">
        <x:v>3154266</x:v>
      </x:c>
      <x:c r="H1127" s="2" t="str">
        <x:v>2048000.0</x:v>
      </x:c>
      <x:c r="I1127" s="2" t="str">
        <x:v>8192</x:v>
      </x:c>
      <x:c r="J1127" s="2" t="str">
        <x:v>250.0</x:v>
      </x:c>
      <x:c r="K1127" s="2" t="str">
        <x:v>2</x:v>
      </x:c>
      <x:c r="L1127" s="2" t="str">
        <x:v>3</x:v>
      </x:c>
      <x:c r="M1127" s="2" t="str">
        <x:v>2</x:v>
      </x:c>
      <x:c r="N1127" s="2" t="str">
        <x:v>1</x:v>
      </x:c>
      <x:c r="O1127" s="2" t="str">
        <x:v>0</x:v>
      </x:c>
      <x:c r="P1127" s="2" t="str">
        <x:v>true</x:v>
      </x:c>
      <x:c r="Q1127" s="2" t="str">
        <x:v>-98.954083320;-98.954083320</x:v>
      </x:c>
      <x:c r="R1127" s="2" t="str">
        <x:v>13.966500002425164</x:v>
      </x:c>
      <x:c r="S1127" s="2" t="str">
        <x:v>48.145653037977766</x:v>
      </x:c>
    </x:row>
    <x:row r="1128">
      <x:c r="A1128" s="2" t="str">
        <x:v>DE-CMP-01</x:v>
      </x:c>
      <x:c r="B1128" s="2" t="str">
        <x:v>CFG-C01</x:v>
      </x:c>
      <x:c r="C1128" s="2" t="n">
        <x:v>46227.70238086805</x:v>
      </x:c>
      <x:c r="D1128" s="2" t="str">
        <x:v>os_cfar</x:v>
      </x:c>
      <x:c r="E1128" s="2" t="str">
        <x:v>closely_spaced_carriers</x:v>
      </x:c>
      <x:c r="F1128" s="2" t="str">
        <x:v>564</x:v>
      </x:c>
      <x:c r="G1128" s="2" t="str">
        <x:v>3154267</x:v>
      </x:c>
      <x:c r="H1128" s="2" t="str">
        <x:v>2048000.0</x:v>
      </x:c>
      <x:c r="I1128" s="2" t="str">
        <x:v>8192</x:v>
      </x:c>
      <x:c r="J1128" s="2" t="str">
        <x:v>250.0</x:v>
      </x:c>
      <x:c r="K1128" s="2" t="str">
        <x:v>2</x:v>
      </x:c>
      <x:c r="L1128" s="2" t="str">
        <x:v>3</x:v>
      </x:c>
      <x:c r="M1128" s="2" t="str">
        <x:v>2</x:v>
      </x:c>
      <x:c r="N1128" s="2" t="str">
        <x:v>1</x:v>
      </x:c>
      <x:c r="O1128" s="2" t="str">
        <x:v>0</x:v>
      </x:c>
      <x:c r="P1128" s="2" t="str">
        <x:v>true</x:v>
      </x:c>
      <x:c r="Q1128" s="2" t="str">
        <x:v>80.603327945;80.603327945</x:v>
      </x:c>
      <x:c r="R1128" s="2" t="str">
        <x:v>14.111165990470909</x:v>
      </x:c>
      <x:c r="S1128" s="2" t="str">
        <x:v>48.10813244035039</x:v>
      </x:c>
    </x:row>
    <x:row r="1129">
      <x:c r="A1129" s="2" t="str">
        <x:v>DE-CMP-01</x:v>
      </x:c>
      <x:c r="B1129" s="2" t="str">
        <x:v>CFG-C01</x:v>
      </x:c>
      <x:c r="C1129" s="2" t="n">
        <x:v>46227.70238086805</x:v>
      </x:c>
      <x:c r="D1129" s="2" t="str">
        <x:v>adaptive</x:v>
      </x:c>
      <x:c r="E1129" s="2" t="str">
        <x:v>closely_spaced_carriers</x:v>
      </x:c>
      <x:c r="F1129" s="2" t="str">
        <x:v>564</x:v>
      </x:c>
      <x:c r="G1129" s="2" t="str">
        <x:v>3154267</x:v>
      </x:c>
      <x:c r="H1129" s="2" t="str">
        <x:v>2048000.0</x:v>
      </x:c>
      <x:c r="I1129" s="2" t="str">
        <x:v>8192</x:v>
      </x:c>
      <x:c r="J1129" s="2" t="str">
        <x:v>250.0</x:v>
      </x:c>
      <x:c r="K1129" s="2" t="str">
        <x:v>2</x:v>
      </x:c>
      <x:c r="L1129" s="2" t="str">
        <x:v>3</x:v>
      </x:c>
      <x:c r="M1129" s="2" t="str">
        <x:v>2</x:v>
      </x:c>
      <x:c r="N1129" s="2" t="str">
        <x:v>1</x:v>
      </x:c>
      <x:c r="O1129" s="2" t="str">
        <x:v>0</x:v>
      </x:c>
      <x:c r="P1129" s="2" t="str">
        <x:v>true</x:v>
      </x:c>
      <x:c r="Q1129" s="2" t="str">
        <x:v>80.603327945;80.603327945</x:v>
      </x:c>
      <x:c r="R1129" s="2" t="str">
        <x:v>0.42466699960641563</x:v>
      </x:c>
      <x:c r="S1129" s="2" t="str">
        <x:v>46.362613537568</x:v>
      </x:c>
    </x:row>
    <x:row r="1130">
      <x:c r="A1130" s="2" t="str">
        <x:v>DE-CMP-01</x:v>
      </x:c>
      <x:c r="B1130" s="2" t="str">
        <x:v>CFG-C01</x:v>
      </x:c>
      <x:c r="C1130" s="2" t="n">
        <x:v>46227.70238086805</x:v>
      </x:c>
      <x:c r="D1130" s="2" t="str">
        <x:v>adaptive</x:v>
      </x:c>
      <x:c r="E1130" s="2" t="str">
        <x:v>closely_spaced_carriers</x:v>
      </x:c>
      <x:c r="F1130" s="2" t="str">
        <x:v>565</x:v>
      </x:c>
      <x:c r="G1130" s="2" t="str">
        <x:v>3154268</x:v>
      </x:c>
      <x:c r="H1130" s="2" t="str">
        <x:v>2048000.0</x:v>
      </x:c>
      <x:c r="I1130" s="2" t="str">
        <x:v>8192</x:v>
      </x:c>
      <x:c r="J1130" s="2" t="str">
        <x:v>250.0</x:v>
      </x:c>
      <x:c r="K1130" s="2" t="str">
        <x:v>2</x:v>
      </x:c>
      <x:c r="L1130" s="2" t="str">
        <x:v>3</x:v>
      </x:c>
      <x:c r="M1130" s="2" t="str">
        <x:v>2</x:v>
      </x:c>
      <x:c r="N1130" s="2" t="str">
        <x:v>1</x:v>
      </x:c>
      <x:c r="O1130" s="2" t="str">
        <x:v>0</x:v>
      </x:c>
      <x:c r="P1130" s="2" t="str">
        <x:v>true</x:v>
      </x:c>
      <x:c r="Q1130" s="2" t="str">
        <x:v>12.238312680;12.238312680</x:v>
      </x:c>
      <x:c r="R1130" s="2" t="str">
        <x:v>0.42108299385290593</x:v>
      </x:c>
      <x:c r="S1130" s="2" t="str">
        <x:v>46.33531461813755</x:v>
      </x:c>
    </x:row>
    <x:row r="1131">
      <x:c r="A1131" s="2" t="str">
        <x:v>DE-CMP-01</x:v>
      </x:c>
      <x:c r="B1131" s="2" t="str">
        <x:v>CFG-C01</x:v>
      </x:c>
      <x:c r="C1131" s="2" t="n">
        <x:v>46227.70238086805</x:v>
      </x:c>
      <x:c r="D1131" s="2" t="str">
        <x:v>os_cfar</x:v>
      </x:c>
      <x:c r="E1131" s="2" t="str">
        <x:v>closely_spaced_carriers</x:v>
      </x:c>
      <x:c r="F1131" s="2" t="str">
        <x:v>565</x:v>
      </x:c>
      <x:c r="G1131" s="2" t="str">
        <x:v>3154268</x:v>
      </x:c>
      <x:c r="H1131" s="2" t="str">
        <x:v>2048000.0</x:v>
      </x:c>
      <x:c r="I1131" s="2" t="str">
        <x:v>8192</x:v>
      </x:c>
      <x:c r="J1131" s="2" t="str">
        <x:v>250.0</x:v>
      </x:c>
      <x:c r="K1131" s="2" t="str">
        <x:v>2</x:v>
      </x:c>
      <x:c r="L1131" s="2" t="str">
        <x:v>3</x:v>
      </x:c>
      <x:c r="M1131" s="2" t="str">
        <x:v>2</x:v>
      </x:c>
      <x:c r="N1131" s="2" t="str">
        <x:v>1</x:v>
      </x:c>
      <x:c r="O1131" s="2" t="str">
        <x:v>0</x:v>
      </x:c>
      <x:c r="P1131" s="2" t="str">
        <x:v>true</x:v>
      </x:c>
      <x:c r="Q1131" s="2" t="str">
        <x:v>12.238312680;12.238312680</x:v>
      </x:c>
      <x:c r="R1131" s="2" t="str">
        <x:v>14.020041999174282</x:v>
      </x:c>
      <x:c r="S1131" s="2" t="str">
        <x:v>48.22655590461616</x:v>
      </x:c>
    </x:row>
    <x:row r="1132">
      <x:c r="A1132" s="2" t="str">
        <x:v>DE-CMP-01</x:v>
      </x:c>
      <x:c r="B1132" s="2" t="str">
        <x:v>CFG-C01</x:v>
      </x:c>
      <x:c r="C1132" s="2" t="n">
        <x:v>46227.70238086805</x:v>
      </x:c>
      <x:c r="D1132" s="2" t="str">
        <x:v>os_cfar</x:v>
      </x:c>
      <x:c r="E1132" s="2" t="str">
        <x:v>closely_spaced_carriers</x:v>
      </x:c>
      <x:c r="F1132" s="2" t="str">
        <x:v>566</x:v>
      </x:c>
      <x:c r="G1132" s="2" t="str">
        <x:v>3154269</x:v>
      </x:c>
      <x:c r="H1132" s="2" t="str">
        <x:v>2048000.0</x:v>
      </x:c>
      <x:c r="I1132" s="2" t="str">
        <x:v>8192</x:v>
      </x:c>
      <x:c r="J1132" s="2" t="str">
        <x:v>250.0</x:v>
      </x:c>
      <x:c r="K1132" s="2" t="str">
        <x:v>2</x:v>
      </x:c>
      <x:c r="L1132" s="2" t="str">
        <x:v>3</x:v>
      </x:c>
      <x:c r="M1132" s="2" t="str">
        <x:v>2</x:v>
      </x:c>
      <x:c r="N1132" s="2" t="str">
        <x:v>1</x:v>
      </x:c>
      <x:c r="O1132" s="2" t="str">
        <x:v>0</x:v>
      </x:c>
      <x:c r="P1132" s="2" t="str">
        <x:v>true</x:v>
      </x:c>
      <x:c r="Q1132" s="2" t="str">
        <x:v>21.650593642;21.650593642</x:v>
      </x:c>
      <x:c r="R1132" s="2" t="str">
        <x:v>14.007625009980984</x:v>
      </x:c>
      <x:c r="S1132" s="2" t="str">
        <x:v>48.258362247815384</x:v>
      </x:c>
    </x:row>
    <x:row r="1133">
      <x:c r="A1133" s="2" t="str">
        <x:v>DE-CMP-01</x:v>
      </x:c>
      <x:c r="B1133" s="2" t="str">
        <x:v>CFG-C01</x:v>
      </x:c>
      <x:c r="C1133" s="2" t="n">
        <x:v>46227.70238086805</x:v>
      </x:c>
      <x:c r="D1133" s="2" t="str">
        <x:v>adaptive</x:v>
      </x:c>
      <x:c r="E1133" s="2" t="str">
        <x:v>closely_spaced_carriers</x:v>
      </x:c>
      <x:c r="F1133" s="2" t="str">
        <x:v>566</x:v>
      </x:c>
      <x:c r="G1133" s="2" t="str">
        <x:v>3154269</x:v>
      </x:c>
      <x:c r="H1133" s="2" t="str">
        <x:v>2048000.0</x:v>
      </x:c>
      <x:c r="I1133" s="2" t="str">
        <x:v>8192</x:v>
      </x:c>
      <x:c r="J1133" s="2" t="str">
        <x:v>250.0</x:v>
      </x:c>
      <x:c r="K1133" s="2" t="str">
        <x:v>2</x:v>
      </x:c>
      <x:c r="L1133" s="2" t="str">
        <x:v>3</x:v>
      </x:c>
      <x:c r="M1133" s="2" t="str">
        <x:v>2</x:v>
      </x:c>
      <x:c r="N1133" s="2" t="str">
        <x:v>1</x:v>
      </x:c>
      <x:c r="O1133" s="2" t="str">
        <x:v>0</x:v>
      </x:c>
      <x:c r="P1133" s="2" t="str">
        <x:v>true</x:v>
      </x:c>
      <x:c r="Q1133" s="2" t="str">
        <x:v>21.650593642;21.650593642</x:v>
      </x:c>
      <x:c r="R1133" s="2" t="str">
        <x:v>0.41033400339074433</x:v>
      </x:c>
      <x:c r="S1133" s="2" t="str">
        <x:v>46.53823166630533</x:v>
      </x:c>
    </x:row>
    <x:row r="1134">
      <x:c r="A1134" s="2" t="str">
        <x:v>DE-CMP-01</x:v>
      </x:c>
      <x:c r="B1134" s="2" t="str">
        <x:v>CFG-C01</x:v>
      </x:c>
      <x:c r="C1134" s="2" t="n">
        <x:v>46227.70238086805</x:v>
      </x:c>
      <x:c r="D1134" s="2" t="str">
        <x:v>adaptive</x:v>
      </x:c>
      <x:c r="E1134" s="2" t="str">
        <x:v>closely_spaced_carriers</x:v>
      </x:c>
      <x:c r="F1134" s="2" t="str">
        <x:v>567</x:v>
      </x:c>
      <x:c r="G1134" s="2" t="str">
        <x:v>3154270</x:v>
      </x:c>
      <x:c r="H1134" s="2" t="str">
        <x:v>2048000.0</x:v>
      </x:c>
      <x:c r="I1134" s="2" t="str">
        <x:v>8192</x:v>
      </x:c>
      <x:c r="J1134" s="2" t="str">
        <x:v>250.0</x:v>
      </x:c>
      <x:c r="K1134" s="2" t="str">
        <x:v>2</x:v>
      </x:c>
      <x:c r="L1134" s="2" t="str">
        <x:v>3</x:v>
      </x:c>
      <x:c r="M1134" s="2" t="str">
        <x:v>2</x:v>
      </x:c>
      <x:c r="N1134" s="2" t="str">
        <x:v>1</x:v>
      </x:c>
      <x:c r="O1134" s="2" t="str">
        <x:v>0</x:v>
      </x:c>
      <x:c r="P1134" s="2" t="str">
        <x:v>true</x:v>
      </x:c>
      <x:c r="Q1134" s="2" t="str">
        <x:v>32.017918169;32.017918169</x:v>
      </x:c>
      <x:c r="R1134" s="2" t="str">
        <x:v>0.39508398913312703</x:v>
      </x:c>
      <x:c r="S1134" s="2" t="str">
        <x:v>46.438415575098944</x:v>
      </x:c>
    </x:row>
    <x:row r="1135">
      <x:c r="A1135" s="2" t="str">
        <x:v>DE-CMP-01</x:v>
      </x:c>
      <x:c r="B1135" s="2" t="str">
        <x:v>CFG-C01</x:v>
      </x:c>
      <x:c r="C1135" s="2" t="n">
        <x:v>46227.70238086805</x:v>
      </x:c>
      <x:c r="D1135" s="2" t="str">
        <x:v>os_cfar</x:v>
      </x:c>
      <x:c r="E1135" s="2" t="str">
        <x:v>closely_spaced_carriers</x:v>
      </x:c>
      <x:c r="F1135" s="2" t="str">
        <x:v>567</x:v>
      </x:c>
      <x:c r="G1135" s="2" t="str">
        <x:v>3154270</x:v>
      </x:c>
      <x:c r="H1135" s="2" t="str">
        <x:v>2048000.0</x:v>
      </x:c>
      <x:c r="I1135" s="2" t="str">
        <x:v>8192</x:v>
      </x:c>
      <x:c r="J1135" s="2" t="str">
        <x:v>250.0</x:v>
      </x:c>
      <x:c r="K1135" s="2" t="str">
        <x:v>2</x:v>
      </x:c>
      <x:c r="L1135" s="2" t="str">
        <x:v>3</x:v>
      </x:c>
      <x:c r="M1135" s="2" t="str">
        <x:v>2</x:v>
      </x:c>
      <x:c r="N1135" s="2" t="str">
        <x:v>1</x:v>
      </x:c>
      <x:c r="O1135" s="2" t="str">
        <x:v>0</x:v>
      </x:c>
      <x:c r="P1135" s="2" t="str">
        <x:v>true</x:v>
      </x:c>
      <x:c r="Q1135" s="2" t="str">
        <x:v>32.017918169;32.017918169</x:v>
      </x:c>
      <x:c r="R1135" s="2" t="str">
        <x:v>14.087125004152767</x:v>
      </x:c>
      <x:c r="S1135" s="2" t="str">
        <x:v>48.28799121241418</x:v>
      </x:c>
    </x:row>
    <x:row r="1136">
      <x:c r="A1136" s="2" t="str">
        <x:v>DE-CMP-01</x:v>
      </x:c>
      <x:c r="B1136" s="2" t="str">
        <x:v>CFG-C01</x:v>
      </x:c>
      <x:c r="C1136" s="2" t="n">
        <x:v>46227.70238086805</x:v>
      </x:c>
      <x:c r="D1136" s="2" t="str">
        <x:v>os_cfar</x:v>
      </x:c>
      <x:c r="E1136" s="2" t="str">
        <x:v>closely_spaced_carriers</x:v>
      </x:c>
      <x:c r="F1136" s="2" t="str">
        <x:v>568</x:v>
      </x:c>
      <x:c r="G1136" s="2" t="str">
        <x:v>3154271</x:v>
      </x:c>
      <x:c r="H1136" s="2" t="str">
        <x:v>2048000.0</x:v>
      </x:c>
      <x:c r="I1136" s="2" t="str">
        <x:v>8192</x:v>
      </x:c>
      <x:c r="J1136" s="2" t="str">
        <x:v>250.0</x:v>
      </x:c>
      <x:c r="K1136" s="2" t="str">
        <x:v>2</x:v>
      </x:c>
      <x:c r="L1136" s="2" t="str">
        <x:v>3</x:v>
      </x:c>
      <x:c r="M1136" s="2" t="str">
        <x:v>2</x:v>
      </x:c>
      <x:c r="N1136" s="2" t="str">
        <x:v>1</x:v>
      </x:c>
      <x:c r="O1136" s="2" t="str">
        <x:v>0</x:v>
      </x:c>
      <x:c r="P1136" s="2" t="str">
        <x:v>true</x:v>
      </x:c>
      <x:c r="Q1136" s="2" t="str">
        <x:v>-80.990683889;-80.990683889</x:v>
      </x:c>
      <x:c r="R1136" s="2" t="str">
        <x:v>14.150625007459894</x:v>
      </x:c>
      <x:c r="S1136" s="2" t="str">
        <x:v>48.07201520460359</x:v>
      </x:c>
    </x:row>
    <x:row r="1137">
      <x:c r="A1137" s="2" t="str">
        <x:v>DE-CMP-01</x:v>
      </x:c>
      <x:c r="B1137" s="2" t="str">
        <x:v>CFG-C01</x:v>
      </x:c>
      <x:c r="C1137" s="2" t="n">
        <x:v>46227.70238086805</x:v>
      </x:c>
      <x:c r="D1137" s="2" t="str">
        <x:v>adaptive</x:v>
      </x:c>
      <x:c r="E1137" s="2" t="str">
        <x:v>closely_spaced_carriers</x:v>
      </x:c>
      <x:c r="F1137" s="2" t="str">
        <x:v>568</x:v>
      </x:c>
      <x:c r="G1137" s="2" t="str">
        <x:v>3154271</x:v>
      </x:c>
      <x:c r="H1137" s="2" t="str">
        <x:v>2048000.0</x:v>
      </x:c>
      <x:c r="I1137" s="2" t="str">
        <x:v>8192</x:v>
      </x:c>
      <x:c r="J1137" s="2" t="str">
        <x:v>250.0</x:v>
      </x:c>
      <x:c r="K1137" s="2" t="str">
        <x:v>2</x:v>
      </x:c>
      <x:c r="L1137" s="2" t="str">
        <x:v>3</x:v>
      </x:c>
      <x:c r="M1137" s="2" t="str">
        <x:v>2</x:v>
      </x:c>
      <x:c r="N1137" s="2" t="str">
        <x:v>1</x:v>
      </x:c>
      <x:c r="O1137" s="2" t="str">
        <x:v>0</x:v>
      </x:c>
      <x:c r="P1137" s="2" t="str">
        <x:v>true</x:v>
      </x:c>
      <x:c r="Q1137" s="2" t="str">
        <x:v>-80.990683889;-80.990683889</x:v>
      </x:c>
      <x:c r="R1137" s="2" t="str">
        <x:v>0.44254200474824756</x:v>
      </x:c>
      <x:c r="S1137" s="2" t="str">
        <x:v>46.290212221517265</x:v>
      </x:c>
    </x:row>
    <x:row r="1138">
      <x:c r="A1138" s="2" t="str">
        <x:v>DE-CMP-01</x:v>
      </x:c>
      <x:c r="B1138" s="2" t="str">
        <x:v>CFG-C01</x:v>
      </x:c>
      <x:c r="C1138" s="2" t="n">
        <x:v>46227.70238086805</x:v>
      </x:c>
      <x:c r="D1138" s="2" t="str">
        <x:v>adaptive</x:v>
      </x:c>
      <x:c r="E1138" s="2" t="str">
        <x:v>closely_spaced_carriers</x:v>
      </x:c>
      <x:c r="F1138" s="2" t="str">
        <x:v>569</x:v>
      </x:c>
      <x:c r="G1138" s="2" t="str">
        <x:v>3154272</x:v>
      </x:c>
      <x:c r="H1138" s="2" t="str">
        <x:v>2048000.0</x:v>
      </x:c>
      <x:c r="I1138" s="2" t="str">
        <x:v>8192</x:v>
      </x:c>
      <x:c r="J1138" s="2" t="str">
        <x:v>250.0</x:v>
      </x:c>
      <x:c r="K1138" s="2" t="str">
        <x:v>2</x:v>
      </x:c>
      <x:c r="L1138" s="2" t="str">
        <x:v>3</x:v>
      </x:c>
      <x:c r="M1138" s="2" t="str">
        <x:v>2</x:v>
      </x:c>
      <x:c r="N1138" s="2" t="str">
        <x:v>1</x:v>
      </x:c>
      <x:c r="O1138" s="2" t="str">
        <x:v>0</x:v>
      </x:c>
      <x:c r="P1138" s="2" t="str">
        <x:v>true</x:v>
      </x:c>
      <x:c r="Q1138" s="2" t="str">
        <x:v>101.633592846;101.633592846</x:v>
      </x:c>
      <x:c r="R1138" s="2" t="str">
        <x:v>0.41495800542179495</x:v>
      </x:c>
      <x:c r="S1138" s="2" t="str">
        <x:v>46.49289922861554</x:v>
      </x:c>
    </x:row>
    <x:row r="1139">
      <x:c r="A1139" s="2" t="str">
        <x:v>DE-CMP-01</x:v>
      </x:c>
      <x:c r="B1139" s="2" t="str">
        <x:v>CFG-C01</x:v>
      </x:c>
      <x:c r="C1139" s="2" t="n">
        <x:v>46227.70238086805</x:v>
      </x:c>
      <x:c r="D1139" s="2" t="str">
        <x:v>os_cfar</x:v>
      </x:c>
      <x:c r="E1139" s="2" t="str">
        <x:v>closely_spaced_carriers</x:v>
      </x:c>
      <x:c r="F1139" s="2" t="str">
        <x:v>569</x:v>
      </x:c>
      <x:c r="G1139" s="2" t="str">
        <x:v>3154272</x:v>
      </x:c>
      <x:c r="H1139" s="2" t="str">
        <x:v>2048000.0</x:v>
      </x:c>
      <x:c r="I1139" s="2" t="str">
        <x:v>8192</x:v>
      </x:c>
      <x:c r="J1139" s="2" t="str">
        <x:v>250.0</x:v>
      </x:c>
      <x:c r="K1139" s="2" t="str">
        <x:v>2</x:v>
      </x:c>
      <x:c r="L1139" s="2" t="str">
        <x:v>3</x:v>
      </x:c>
      <x:c r="M1139" s="2" t="str">
        <x:v>2</x:v>
      </x:c>
      <x:c r="N1139" s="2" t="str">
        <x:v>1</x:v>
      </x:c>
      <x:c r="O1139" s="2" t="str">
        <x:v>0</x:v>
      </x:c>
      <x:c r="P1139" s="2" t="str">
        <x:v>true</x:v>
      </x:c>
      <x:c r="Q1139" s="2" t="str">
        <x:v>101.633592846;101.633592846</x:v>
      </x:c>
      <x:c r="R1139" s="2" t="str">
        <x:v>14.15879200794734</x:v>
      </x:c>
      <x:c r="S1139" s="2" t="str">
        <x:v>48.13598762763817</x:v>
      </x:c>
    </x:row>
    <x:row r="1140">
      <x:c r="A1140" s="2" t="str">
        <x:v>DE-CMP-01</x:v>
      </x:c>
      <x:c r="B1140" s="2" t="str">
        <x:v>CFG-C01</x:v>
      </x:c>
      <x:c r="C1140" s="2" t="n">
        <x:v>46227.70238086805</x:v>
      </x:c>
      <x:c r="D1140" s="2" t="str">
        <x:v>os_cfar</x:v>
      </x:c>
      <x:c r="E1140" s="2" t="str">
        <x:v>closely_spaced_carriers</x:v>
      </x:c>
      <x:c r="F1140" s="2" t="str">
        <x:v>570</x:v>
      </x:c>
      <x:c r="G1140" s="2" t="str">
        <x:v>3154273</x:v>
      </x:c>
      <x:c r="H1140" s="2" t="str">
        <x:v>2048000.0</x:v>
      </x:c>
      <x:c r="I1140" s="2" t="str">
        <x:v>8192</x:v>
      </x:c>
      <x:c r="J1140" s="2" t="str">
        <x:v>250.0</x:v>
      </x:c>
      <x:c r="K1140" s="2" t="str">
        <x:v>2</x:v>
      </x:c>
      <x:c r="L1140" s="2" t="str">
        <x:v>3</x:v>
      </x:c>
      <x:c r="M1140" s="2" t="str">
        <x:v>2</x:v>
      </x:c>
      <x:c r="N1140" s="2" t="str">
        <x:v>1</x:v>
      </x:c>
      <x:c r="O1140" s="2" t="str">
        <x:v>0</x:v>
      </x:c>
      <x:c r="P1140" s="2" t="str">
        <x:v>true</x:v>
      </x:c>
      <x:c r="Q1140" s="2" t="str">
        <x:v>-111.535422345;-111.535422345</x:v>
      </x:c>
      <x:c r="R1140" s="2" t="str">
        <x:v>14.081125002121553</x:v>
      </x:c>
      <x:c r="S1140" s="2" t="str">
        <x:v>48.3044112183319</x:v>
      </x:c>
    </x:row>
    <x:row r="1141">
      <x:c r="A1141" s="2" t="str">
        <x:v>DE-CMP-01</x:v>
      </x:c>
      <x:c r="B1141" s="2" t="str">
        <x:v>CFG-C01</x:v>
      </x:c>
      <x:c r="C1141" s="2" t="n">
        <x:v>46227.70238086805</x:v>
      </x:c>
      <x:c r="D1141" s="2" t="str">
        <x:v>adaptive</x:v>
      </x:c>
      <x:c r="E1141" s="2" t="str">
        <x:v>closely_spaced_carriers</x:v>
      </x:c>
      <x:c r="F1141" s="2" t="str">
        <x:v>570</x:v>
      </x:c>
      <x:c r="G1141" s="2" t="str">
        <x:v>3154273</x:v>
      </x:c>
      <x:c r="H1141" s="2" t="str">
        <x:v>2048000.0</x:v>
      </x:c>
      <x:c r="I1141" s="2" t="str">
        <x:v>8192</x:v>
      </x:c>
      <x:c r="J1141" s="2" t="str">
        <x:v>250.0</x:v>
      </x:c>
      <x:c r="K1141" s="2" t="str">
        <x:v>2</x:v>
      </x:c>
      <x:c r="L1141" s="2" t="str">
        <x:v>3</x:v>
      </x:c>
      <x:c r="M1141" s="2" t="str">
        <x:v>2</x:v>
      </x:c>
      <x:c r="N1141" s="2" t="str">
        <x:v>1</x:v>
      </x:c>
      <x:c r="O1141" s="2" t="str">
        <x:v>0</x:v>
      </x:c>
      <x:c r="P1141" s="2" t="str">
        <x:v>true</x:v>
      </x:c>
      <x:c r="Q1141" s="2" t="str">
        <x:v>-111.535422345;-111.535422345</x:v>
      </x:c>
      <x:c r="R1141" s="2" t="str">
        <x:v>0.4440000047907233</x:v>
      </x:c>
      <x:c r="S1141" s="2" t="str">
        <x:v>46.55401706390246</x:v>
      </x:c>
    </x:row>
    <x:row r="1142">
      <x:c r="A1142" s="2" t="str">
        <x:v>DE-CMP-01</x:v>
      </x:c>
      <x:c r="B1142" s="2" t="str">
        <x:v>CFG-C01</x:v>
      </x:c>
      <x:c r="C1142" s="2" t="n">
        <x:v>46227.70238086805</x:v>
      </x:c>
      <x:c r="D1142" s="2" t="str">
        <x:v>adaptive</x:v>
      </x:c>
      <x:c r="E1142" s="2" t="str">
        <x:v>closely_spaced_carriers</x:v>
      </x:c>
      <x:c r="F1142" s="2" t="str">
        <x:v>571</x:v>
      </x:c>
      <x:c r="G1142" s="2" t="str">
        <x:v>3154274</x:v>
      </x:c>
      <x:c r="H1142" s="2" t="str">
        <x:v>2048000.0</x:v>
      </x:c>
      <x:c r="I1142" s="2" t="str">
        <x:v>8192</x:v>
      </x:c>
      <x:c r="J1142" s="2" t="str">
        <x:v>250.0</x:v>
      </x:c>
      <x:c r="K1142" s="2" t="str">
        <x:v>2</x:v>
      </x:c>
      <x:c r="L1142" s="2" t="str">
        <x:v>3</x:v>
      </x:c>
      <x:c r="M1142" s="2" t="str">
        <x:v>2</x:v>
      </x:c>
      <x:c r="N1142" s="2" t="str">
        <x:v>1</x:v>
      </x:c>
      <x:c r="O1142" s="2" t="str">
        <x:v>0</x:v>
      </x:c>
      <x:c r="P1142" s="2" t="str">
        <x:v>true</x:v>
      </x:c>
      <x:c r="Q1142" s="2" t="str">
        <x:v>14.814644227;14.814644227</x:v>
      </x:c>
      <x:c r="R1142" s="2" t="str">
        <x:v>0.4347500071162358</x:v>
      </x:c>
      <x:c r="S1142" s="2" t="str">
        <x:v>46.642626061413445</x:v>
      </x:c>
    </x:row>
    <x:row r="1143">
      <x:c r="A1143" s="2" t="str">
        <x:v>DE-CMP-01</x:v>
      </x:c>
      <x:c r="B1143" s="2" t="str">
        <x:v>CFG-C01</x:v>
      </x:c>
      <x:c r="C1143" s="2" t="n">
        <x:v>46227.70238086805</x:v>
      </x:c>
      <x:c r="D1143" s="2" t="str">
        <x:v>os_cfar</x:v>
      </x:c>
      <x:c r="E1143" s="2" t="str">
        <x:v>closely_spaced_carriers</x:v>
      </x:c>
      <x:c r="F1143" s="2" t="str">
        <x:v>571</x:v>
      </x:c>
      <x:c r="G1143" s="2" t="str">
        <x:v>3154274</x:v>
      </x:c>
      <x:c r="H1143" s="2" t="str">
        <x:v>2048000.0</x:v>
      </x:c>
      <x:c r="I1143" s="2" t="str">
        <x:v>8192</x:v>
      </x:c>
      <x:c r="J1143" s="2" t="str">
        <x:v>250.0</x:v>
      </x:c>
      <x:c r="K1143" s="2" t="str">
        <x:v>2</x:v>
      </x:c>
      <x:c r="L1143" s="2" t="str">
        <x:v>3</x:v>
      </x:c>
      <x:c r="M1143" s="2" t="str">
        <x:v>2</x:v>
      </x:c>
      <x:c r="N1143" s="2" t="str">
        <x:v>1</x:v>
      </x:c>
      <x:c r="O1143" s="2" t="str">
        <x:v>0</x:v>
      </x:c>
      <x:c r="P1143" s="2" t="str">
        <x:v>true</x:v>
      </x:c>
      <x:c r="Q1143" s="2" t="str">
        <x:v>14.814644227;14.814644227</x:v>
      </x:c>
      <x:c r="R1143" s="2" t="str">
        <x:v>14.057332999072969</x:v>
      </x:c>
      <x:c r="S1143" s="2" t="str">
        <x:v>48.303780942918586</x:v>
      </x:c>
    </x:row>
    <x:row r="1144">
      <x:c r="A1144" s="2" t="str">
        <x:v>DE-CMP-01</x:v>
      </x:c>
      <x:c r="B1144" s="2" t="str">
        <x:v>CFG-C01</x:v>
      </x:c>
      <x:c r="C1144" s="2" t="n">
        <x:v>46227.70238086805</x:v>
      </x:c>
      <x:c r="D1144" s="2" t="str">
        <x:v>os_cfar</x:v>
      </x:c>
      <x:c r="E1144" s="2" t="str">
        <x:v>closely_spaced_carriers</x:v>
      </x:c>
      <x:c r="F1144" s="2" t="str">
        <x:v>572</x:v>
      </x:c>
      <x:c r="G1144" s="2" t="str">
        <x:v>3154275</x:v>
      </x:c>
      <x:c r="H1144" s="2" t="str">
        <x:v>2048000.0</x:v>
      </x:c>
      <x:c r="I1144" s="2" t="str">
        <x:v>8192</x:v>
      </x:c>
      <x:c r="J1144" s="2" t="str">
        <x:v>250.0</x:v>
      </x:c>
      <x:c r="K1144" s="2" t="str">
        <x:v>2</x:v>
      </x:c>
      <x:c r="L1144" s="2" t="str">
        <x:v>3</x:v>
      </x:c>
      <x:c r="M1144" s="2" t="str">
        <x:v>2</x:v>
      </x:c>
      <x:c r="N1144" s="2" t="str">
        <x:v>1</x:v>
      </x:c>
      <x:c r="O1144" s="2" t="str">
        <x:v>0</x:v>
      </x:c>
      <x:c r="P1144" s="2" t="str">
        <x:v>true</x:v>
      </x:c>
      <x:c r="Q1144" s="2" t="str">
        <x:v>97.858970694;97.858970694</x:v>
      </x:c>
      <x:c r="R1144" s="2" t="str">
        <x:v>14.045459000044502</x:v>
      </x:c>
      <x:c r="S1144" s="2" t="str">
        <x:v>48.255314609890235</x:v>
      </x:c>
    </x:row>
    <x:row r="1145">
      <x:c r="A1145" s="2" t="str">
        <x:v>DE-CMP-01</x:v>
      </x:c>
      <x:c r="B1145" s="2" t="str">
        <x:v>CFG-C01</x:v>
      </x:c>
      <x:c r="C1145" s="2" t="n">
        <x:v>46227.70238086805</x:v>
      </x:c>
      <x:c r="D1145" s="2" t="str">
        <x:v>adaptive</x:v>
      </x:c>
      <x:c r="E1145" s="2" t="str">
        <x:v>closely_spaced_carriers</x:v>
      </x:c>
      <x:c r="F1145" s="2" t="str">
        <x:v>572</x:v>
      </x:c>
      <x:c r="G1145" s="2" t="str">
        <x:v>3154275</x:v>
      </x:c>
      <x:c r="H1145" s="2" t="str">
        <x:v>2048000.0</x:v>
      </x:c>
      <x:c r="I1145" s="2" t="str">
        <x:v>8192</x:v>
      </x:c>
      <x:c r="J1145" s="2" t="str">
        <x:v>250.0</x:v>
      </x:c>
      <x:c r="K1145" s="2" t="str">
        <x:v>2</x:v>
      </x:c>
      <x:c r="L1145" s="2" t="str">
        <x:v>3</x:v>
      </x:c>
      <x:c r="M1145" s="2" t="str">
        <x:v>2</x:v>
      </x:c>
      <x:c r="N1145" s="2" t="str">
        <x:v>1</x:v>
      </x:c>
      <x:c r="O1145" s="2" t="str">
        <x:v>0</x:v>
      </x:c>
      <x:c r="P1145" s="2" t="str">
        <x:v>true</x:v>
      </x:c>
      <x:c r="Q1145" s="2" t="str">
        <x:v>97.858970694;97.858970694</x:v>
      </x:c>
      <x:c r="R1145" s="2" t="str">
        <x:v>0.4515830078162253</x:v>
      </x:c>
      <x:c r="S1145" s="2" t="str">
        <x:v>46.48449426002395</x:v>
      </x:c>
    </x:row>
    <x:row r="1146">
      <x:c r="A1146" s="2" t="str">
        <x:v>DE-CMP-01</x:v>
      </x:c>
      <x:c r="B1146" s="2" t="str">
        <x:v>CFG-C01</x:v>
      </x:c>
      <x:c r="C1146" s="2" t="n">
        <x:v>46227.70238086805</x:v>
      </x:c>
      <x:c r="D1146" s="2" t="str">
        <x:v>adaptive</x:v>
      </x:c>
      <x:c r="E1146" s="2" t="str">
        <x:v>closely_spaced_carriers</x:v>
      </x:c>
      <x:c r="F1146" s="2" t="str">
        <x:v>573</x:v>
      </x:c>
      <x:c r="G1146" s="2" t="str">
        <x:v>3154276</x:v>
      </x:c>
      <x:c r="H1146" s="2" t="str">
        <x:v>2048000.0</x:v>
      </x:c>
      <x:c r="I1146" s="2" t="str">
        <x:v>8192</x:v>
      </x:c>
      <x:c r="J1146" s="2" t="str">
        <x:v>250.0</x:v>
      </x:c>
      <x:c r="K1146" s="2" t="str">
        <x:v>2</x:v>
      </x:c>
      <x:c r="L1146" s="2" t="str">
        <x:v>3</x:v>
      </x:c>
      <x:c r="M1146" s="2" t="str">
        <x:v>2</x:v>
      </x:c>
      <x:c r="N1146" s="2" t="str">
        <x:v>1</x:v>
      </x:c>
      <x:c r="O1146" s="2" t="str">
        <x:v>0</x:v>
      </x:c>
      <x:c r="P1146" s="2" t="str">
        <x:v>true</x:v>
      </x:c>
      <x:c r="Q1146" s="2" t="str">
        <x:v>-27.613057811;-27.613057811</x:v>
      </x:c>
      <x:c r="R1146" s="2" t="str">
        <x:v>0.39324999670498073</x:v>
      </x:c>
      <x:c r="S1146" s="2" t="str">
        <x:v>46.33635282015834</x:v>
      </x:c>
    </x:row>
    <x:row r="1147">
      <x:c r="A1147" s="2" t="str">
        <x:v>DE-CMP-01</x:v>
      </x:c>
      <x:c r="B1147" s="2" t="str">
        <x:v>CFG-C01</x:v>
      </x:c>
      <x:c r="C1147" s="2" t="n">
        <x:v>46227.70238086805</x:v>
      </x:c>
      <x:c r="D1147" s="2" t="str">
        <x:v>os_cfar</x:v>
      </x:c>
      <x:c r="E1147" s="2" t="str">
        <x:v>closely_spaced_carriers</x:v>
      </x:c>
      <x:c r="F1147" s="2" t="str">
        <x:v>573</x:v>
      </x:c>
      <x:c r="G1147" s="2" t="str">
        <x:v>3154276</x:v>
      </x:c>
      <x:c r="H1147" s="2" t="str">
        <x:v>2048000.0</x:v>
      </x:c>
      <x:c r="I1147" s="2" t="str">
        <x:v>8192</x:v>
      </x:c>
      <x:c r="J1147" s="2" t="str">
        <x:v>250.0</x:v>
      </x:c>
      <x:c r="K1147" s="2" t="str">
        <x:v>2</x:v>
      </x:c>
      <x:c r="L1147" s="2" t="str">
        <x:v>3</x:v>
      </x:c>
      <x:c r="M1147" s="2" t="str">
        <x:v>2</x:v>
      </x:c>
      <x:c r="N1147" s="2" t="str">
        <x:v>1</x:v>
      </x:c>
      <x:c r="O1147" s="2" t="str">
        <x:v>0</x:v>
      </x:c>
      <x:c r="P1147" s="2" t="str">
        <x:v>true</x:v>
      </x:c>
      <x:c r="Q1147" s="2" t="str">
        <x:v>-27.613057811;-27.613057811</x:v>
      </x:c>
      <x:c r="R1147" s="2" t="str">
        <x:v>13.728749996516854</x:v>
      </x:c>
      <x:c r="S1147" s="2" t="str">
        <x:v>48.01568599099082</x:v>
      </x:c>
    </x:row>
    <x:row r="1148">
      <x:c r="A1148" s="2" t="str">
        <x:v>DE-CMP-01</x:v>
      </x:c>
      <x:c r="B1148" s="2" t="str">
        <x:v>CFG-C01</x:v>
      </x:c>
      <x:c r="C1148" s="2" t="n">
        <x:v>46227.70238086805</x:v>
      </x:c>
      <x:c r="D1148" s="2" t="str">
        <x:v>os_cfar</x:v>
      </x:c>
      <x:c r="E1148" s="2" t="str">
        <x:v>closely_spaced_carriers</x:v>
      </x:c>
      <x:c r="F1148" s="2" t="str">
        <x:v>574</x:v>
      </x:c>
      <x:c r="G1148" s="2" t="str">
        <x:v>3154277</x:v>
      </x:c>
      <x:c r="H1148" s="2" t="str">
        <x:v>2048000.0</x:v>
      </x:c>
      <x:c r="I1148" s="2" t="str">
        <x:v>8192</x:v>
      </x:c>
      <x:c r="J1148" s="2" t="str">
        <x:v>250.0</x:v>
      </x:c>
      <x:c r="K1148" s="2" t="str">
        <x:v>2</x:v>
      </x:c>
      <x:c r="L1148" s="2" t="str">
        <x:v>3</x:v>
      </x:c>
      <x:c r="M1148" s="2" t="str">
        <x:v>2</x:v>
      </x:c>
      <x:c r="N1148" s="2" t="str">
        <x:v>1</x:v>
      </x:c>
      <x:c r="O1148" s="2" t="str">
        <x:v>0</x:v>
      </x:c>
      <x:c r="P1148" s="2" t="str">
        <x:v>true</x:v>
      </x:c>
      <x:c r="Q1148" s="2" t="str">
        <x:v>-7.542215606;-7.542215606</x:v>
      </x:c>
      <x:c r="R1148" s="2" t="str">
        <x:v>13.844083005096763</x:v>
      </x:c>
      <x:c r="S1148" s="2" t="str">
        <x:v>48.3475931367439</x:v>
      </x:c>
    </x:row>
    <x:row r="1149">
      <x:c r="A1149" s="2" t="str">
        <x:v>DE-CMP-01</x:v>
      </x:c>
      <x:c r="B1149" s="2" t="str">
        <x:v>CFG-C01</x:v>
      </x:c>
      <x:c r="C1149" s="2" t="n">
        <x:v>46227.70238086805</x:v>
      </x:c>
      <x:c r="D1149" s="2" t="str">
        <x:v>adaptive</x:v>
      </x:c>
      <x:c r="E1149" s="2" t="str">
        <x:v>closely_spaced_carriers</x:v>
      </x:c>
      <x:c r="F1149" s="2" t="str">
        <x:v>574</x:v>
      </x:c>
      <x:c r="G1149" s="2" t="str">
        <x:v>3154277</x:v>
      </x:c>
      <x:c r="H1149" s="2" t="str">
        <x:v>2048000.0</x:v>
      </x:c>
      <x:c r="I1149" s="2" t="str">
        <x:v>8192</x:v>
      </x:c>
      <x:c r="J1149" s="2" t="str">
        <x:v>250.0</x:v>
      </x:c>
      <x:c r="K1149" s="2" t="str">
        <x:v>2</x:v>
      </x:c>
      <x:c r="L1149" s="2" t="str">
        <x:v>3</x:v>
      </x:c>
      <x:c r="M1149" s="2" t="str">
        <x:v>2</x:v>
      </x:c>
      <x:c r="N1149" s="2" t="str">
        <x:v>1</x:v>
      </x:c>
      <x:c r="O1149" s="2" t="str">
        <x:v>0</x:v>
      </x:c>
      <x:c r="P1149" s="2" t="str">
        <x:v>true</x:v>
      </x:c>
      <x:c r="Q1149" s="2" t="str">
        <x:v>-7.542215606;-7.542215606</x:v>
      </x:c>
      <x:c r="R1149" s="2" t="str">
        <x:v>0.4292919911677018</x:v>
      </x:c>
      <x:c r="S1149" s="2" t="str">
        <x:v>46.507158501465966</x:v>
      </x:c>
    </x:row>
    <x:row r="1150">
      <x:c r="A1150" s="2" t="str">
        <x:v>DE-CMP-01</x:v>
      </x:c>
      <x:c r="B1150" s="2" t="str">
        <x:v>CFG-C01</x:v>
      </x:c>
      <x:c r="C1150" s="2" t="n">
        <x:v>46227.70238086805</x:v>
      </x:c>
      <x:c r="D1150" s="2" t="str">
        <x:v>adaptive</x:v>
      </x:c>
      <x:c r="E1150" s="2" t="str">
        <x:v>closely_spaced_carriers</x:v>
      </x:c>
      <x:c r="F1150" s="2" t="str">
        <x:v>575</x:v>
      </x:c>
      <x:c r="G1150" s="2" t="str">
        <x:v>3154278</x:v>
      </x:c>
      <x:c r="H1150" s="2" t="str">
        <x:v>2048000.0</x:v>
      </x:c>
      <x:c r="I1150" s="2" t="str">
        <x:v>8192</x:v>
      </x:c>
      <x:c r="J1150" s="2" t="str">
        <x:v>250.0</x:v>
      </x:c>
      <x:c r="K1150" s="2" t="str">
        <x:v>2</x:v>
      </x:c>
      <x:c r="L1150" s="2" t="str">
        <x:v>3</x:v>
      </x:c>
      <x:c r="M1150" s="2" t="str">
        <x:v>2</x:v>
      </x:c>
      <x:c r="N1150" s="2" t="str">
        <x:v>1</x:v>
      </x:c>
      <x:c r="O1150" s="2" t="str">
        <x:v>0</x:v>
      </x:c>
      <x:c r="P1150" s="2" t="str">
        <x:v>true</x:v>
      </x:c>
      <x:c r="Q1150" s="2" t="str">
        <x:v>113.666922483;113.666922483</x:v>
      </x:c>
      <x:c r="R1150" s="2" t="str">
        <x:v>0.4241670103510842</x:v>
      </x:c>
      <x:c r="S1150" s="2" t="str">
        <x:v>46.1671987733507</x:v>
      </x:c>
    </x:row>
    <x:row r="1151">
      <x:c r="A1151" s="2" t="str">
        <x:v>DE-CMP-01</x:v>
      </x:c>
      <x:c r="B1151" s="2" t="str">
        <x:v>CFG-C01</x:v>
      </x:c>
      <x:c r="C1151" s="2" t="n">
        <x:v>46227.70238086805</x:v>
      </x:c>
      <x:c r="D1151" s="2" t="str">
        <x:v>os_cfar</x:v>
      </x:c>
      <x:c r="E1151" s="2" t="str">
        <x:v>closely_spaced_carriers</x:v>
      </x:c>
      <x:c r="F1151" s="2" t="str">
        <x:v>575</x:v>
      </x:c>
      <x:c r="G1151" s="2" t="str">
        <x:v>3154278</x:v>
      </x:c>
      <x:c r="H1151" s="2" t="str">
        <x:v>2048000.0</x:v>
      </x:c>
      <x:c r="I1151" s="2" t="str">
        <x:v>8192</x:v>
      </x:c>
      <x:c r="J1151" s="2" t="str">
        <x:v>250.0</x:v>
      </x:c>
      <x:c r="K1151" s="2" t="str">
        <x:v>2</x:v>
      </x:c>
      <x:c r="L1151" s="2" t="str">
        <x:v>3</x:v>
      </x:c>
      <x:c r="M1151" s="2" t="str">
        <x:v>2</x:v>
      </x:c>
      <x:c r="N1151" s="2" t="str">
        <x:v>1</x:v>
      </x:c>
      <x:c r="O1151" s="2" t="str">
        <x:v>0</x:v>
      </x:c>
      <x:c r="P1151" s="2" t="str">
        <x:v>true</x:v>
      </x:c>
      <x:c r="Q1151" s="2" t="str">
        <x:v>113.666922483;113.666922483</x:v>
      </x:c>
      <x:c r="R1151" s="2" t="str">
        <x:v>13.755082996794954</x:v>
      </x:c>
      <x:c r="S1151" s="2" t="str">
        <x:v>48.14627867410568</x:v>
      </x:c>
    </x:row>
    <x:row r="1152">
      <x:c r="A1152" s="2" t="str">
        <x:v>DE-CMP-01</x:v>
      </x:c>
      <x:c r="B1152" s="2" t="str">
        <x:v>CFG-C01</x:v>
      </x:c>
      <x:c r="C1152" s="2" t="n">
        <x:v>46227.70238086805</x:v>
      </x:c>
      <x:c r="D1152" s="2" t="str">
        <x:v>os_cfar</x:v>
      </x:c>
      <x:c r="E1152" s="2" t="str">
        <x:v>closely_spaced_carriers</x:v>
      </x:c>
      <x:c r="F1152" s="2" t="str">
        <x:v>576</x:v>
      </x:c>
      <x:c r="G1152" s="2" t="str">
        <x:v>3154279</x:v>
      </x:c>
      <x:c r="H1152" s="2" t="str">
        <x:v>2048000.0</x:v>
      </x:c>
      <x:c r="I1152" s="2" t="str">
        <x:v>8192</x:v>
      </x:c>
      <x:c r="J1152" s="2" t="str">
        <x:v>250.0</x:v>
      </x:c>
      <x:c r="K1152" s="2" t="str">
        <x:v>2</x:v>
      </x:c>
      <x:c r="L1152" s="2" t="str">
        <x:v>3</x:v>
      </x:c>
      <x:c r="M1152" s="2" t="str">
        <x:v>2</x:v>
      </x:c>
      <x:c r="N1152" s="2" t="str">
        <x:v>1</x:v>
      </x:c>
      <x:c r="O1152" s="2" t="str">
        <x:v>0</x:v>
      </x:c>
      <x:c r="P1152" s="2" t="str">
        <x:v>true</x:v>
      </x:c>
      <x:c r="Q1152" s="2" t="str">
        <x:v>-100.567703224;-100.567703224</x:v>
      </x:c>
      <x:c r="R1152" s="2" t="str">
        <x:v>13.893875002395362</x:v>
      </x:c>
      <x:c r="S1152" s="2" t="str">
        <x:v>48.18220624742881</x:v>
      </x:c>
    </x:row>
    <x:row r="1153">
      <x:c r="A1153" s="2" t="str">
        <x:v>DE-CMP-01</x:v>
      </x:c>
      <x:c r="B1153" s="2" t="str">
        <x:v>CFG-C01</x:v>
      </x:c>
      <x:c r="C1153" s="2" t="n">
        <x:v>46227.70238086805</x:v>
      </x:c>
      <x:c r="D1153" s="2" t="str">
        <x:v>adaptive</x:v>
      </x:c>
      <x:c r="E1153" s="2" t="str">
        <x:v>closely_spaced_carriers</x:v>
      </x:c>
      <x:c r="F1153" s="2" t="str">
        <x:v>576</x:v>
      </x:c>
      <x:c r="G1153" s="2" t="str">
        <x:v>3154279</x:v>
      </x:c>
      <x:c r="H1153" s="2" t="str">
        <x:v>2048000.0</x:v>
      </x:c>
      <x:c r="I1153" s="2" t="str">
        <x:v>8192</x:v>
      </x:c>
      <x:c r="J1153" s="2" t="str">
        <x:v>250.0</x:v>
      </x:c>
      <x:c r="K1153" s="2" t="str">
        <x:v>2</x:v>
      </x:c>
      <x:c r="L1153" s="2" t="str">
        <x:v>3</x:v>
      </x:c>
      <x:c r="M1153" s="2" t="str">
        <x:v>2</x:v>
      </x:c>
      <x:c r="N1153" s="2" t="str">
        <x:v>1</x:v>
      </x:c>
      <x:c r="O1153" s="2" t="str">
        <x:v>0</x:v>
      </x:c>
      <x:c r="P1153" s="2" t="str">
        <x:v>true</x:v>
      </x:c>
      <x:c r="Q1153" s="2" t="str">
        <x:v>-100.567703224;-100.567703224</x:v>
      </x:c>
      <x:c r="R1153" s="2" t="str">
        <x:v>0.454249995527789</x:v>
      </x:c>
      <x:c r="S1153" s="2" t="str">
        <x:v>46.36167489654996</x:v>
      </x:c>
    </x:row>
    <x:row r="1154">
      <x:c r="A1154" s="2" t="str">
        <x:v>DE-CMP-01</x:v>
      </x:c>
      <x:c r="B1154" s="2" t="str">
        <x:v>CFG-C01</x:v>
      </x:c>
      <x:c r="C1154" s="2" t="n">
        <x:v>46227.70238086805</x:v>
      </x:c>
      <x:c r="D1154" s="2" t="str">
        <x:v>adaptive</x:v>
      </x:c>
      <x:c r="E1154" s="2" t="str">
        <x:v>closely_spaced_carriers</x:v>
      </x:c>
      <x:c r="F1154" s="2" t="str">
        <x:v>577</x:v>
      </x:c>
      <x:c r="G1154" s="2" t="str">
        <x:v>3154280</x:v>
      </x:c>
      <x:c r="H1154" s="2" t="str">
        <x:v>2048000.0</x:v>
      </x:c>
      <x:c r="I1154" s="2" t="str">
        <x:v>8192</x:v>
      </x:c>
      <x:c r="J1154" s="2" t="str">
        <x:v>250.0</x:v>
      </x:c>
      <x:c r="K1154" s="2" t="str">
        <x:v>2</x:v>
      </x:c>
      <x:c r="L1154" s="2" t="str">
        <x:v>3</x:v>
      </x:c>
      <x:c r="M1154" s="2" t="str">
        <x:v>2</x:v>
      </x:c>
      <x:c r="N1154" s="2" t="str">
        <x:v>1</x:v>
      </x:c>
      <x:c r="O1154" s="2" t="str">
        <x:v>0</x:v>
      </x:c>
      <x:c r="P1154" s="2" t="str">
        <x:v>true</x:v>
      </x:c>
      <x:c r="Q1154" s="2" t="str">
        <x:v>55.464764022;55.464764022</x:v>
      </x:c>
      <x:c r="R1154" s="2" t="str">
        <x:v>0.4334999975981191</x:v>
      </x:c>
      <x:c r="S1154" s="2" t="str">
        <x:v>46.45788396128355</x:v>
      </x:c>
    </x:row>
    <x:row r="1155">
      <x:c r="A1155" s="2" t="str">
        <x:v>DE-CMP-01</x:v>
      </x:c>
      <x:c r="B1155" s="2" t="str">
        <x:v>CFG-C01</x:v>
      </x:c>
      <x:c r="C1155" s="2" t="n">
        <x:v>46227.70238086805</x:v>
      </x:c>
      <x:c r="D1155" s="2" t="str">
        <x:v>os_cfar</x:v>
      </x:c>
      <x:c r="E1155" s="2" t="str">
        <x:v>closely_spaced_carriers</x:v>
      </x:c>
      <x:c r="F1155" s="2" t="str">
        <x:v>577</x:v>
      </x:c>
      <x:c r="G1155" s="2" t="str">
        <x:v>3154280</x:v>
      </x:c>
      <x:c r="H1155" s="2" t="str">
        <x:v>2048000.0</x:v>
      </x:c>
      <x:c r="I1155" s="2" t="str">
        <x:v>8192</x:v>
      </x:c>
      <x:c r="J1155" s="2" t="str">
        <x:v>250.0</x:v>
      </x:c>
      <x:c r="K1155" s="2" t="str">
        <x:v>2</x:v>
      </x:c>
      <x:c r="L1155" s="2" t="str">
        <x:v>3</x:v>
      </x:c>
      <x:c r="M1155" s="2" t="str">
        <x:v>2</x:v>
      </x:c>
      <x:c r="N1155" s="2" t="str">
        <x:v>1</x:v>
      </x:c>
      <x:c r="O1155" s="2" t="str">
        <x:v>0</x:v>
      </x:c>
      <x:c r="P1155" s="2" t="str">
        <x:v>true</x:v>
      </x:c>
      <x:c r="Q1155" s="2" t="str">
        <x:v>55.464764022;55.464764022</x:v>
      </x:c>
      <x:c r="R1155" s="2" t="str">
        <x:v>13.768832999630831</x:v>
      </x:c>
      <x:c r="S1155" s="2" t="str">
        <x:v>48.25996463061585</x:v>
      </x:c>
    </x:row>
    <x:row r="1156">
      <x:c r="A1156" s="2" t="str">
        <x:v>DE-CMP-01</x:v>
      </x:c>
      <x:c r="B1156" s="2" t="str">
        <x:v>CFG-C01</x:v>
      </x:c>
      <x:c r="C1156" s="2" t="n">
        <x:v>46227.70238086805</x:v>
      </x:c>
      <x:c r="D1156" s="2" t="str">
        <x:v>os_cfar</x:v>
      </x:c>
      <x:c r="E1156" s="2" t="str">
        <x:v>closely_spaced_carriers</x:v>
      </x:c>
      <x:c r="F1156" s="2" t="str">
        <x:v>578</x:v>
      </x:c>
      <x:c r="G1156" s="2" t="str">
        <x:v>3154281</x:v>
      </x:c>
      <x:c r="H1156" s="2" t="str">
        <x:v>2048000.0</x:v>
      </x:c>
      <x:c r="I1156" s="2" t="str">
        <x:v>8192</x:v>
      </x:c>
      <x:c r="J1156" s="2" t="str">
        <x:v>250.0</x:v>
      </x:c>
      <x:c r="K1156" s="2" t="str">
        <x:v>2</x:v>
      </x:c>
      <x:c r="L1156" s="2" t="str">
        <x:v>3</x:v>
      </x:c>
      <x:c r="M1156" s="2" t="str">
        <x:v>2</x:v>
      </x:c>
      <x:c r="N1156" s="2" t="str">
        <x:v>1</x:v>
      </x:c>
      <x:c r="O1156" s="2" t="str">
        <x:v>0</x:v>
      </x:c>
      <x:c r="P1156" s="2" t="str">
        <x:v>true</x:v>
      </x:c>
      <x:c r="Q1156" s="2" t="str">
        <x:v>0.972642479;0.972642479</x:v>
      </x:c>
      <x:c r="R1156" s="2" t="str">
        <x:v>13.85245799610857</x:v>
      </x:c>
      <x:c r="S1156" s="2" t="str">
        <x:v>48.2848349305454</x:v>
      </x:c>
    </x:row>
    <x:row r="1157">
      <x:c r="A1157" s="2" t="str">
        <x:v>DE-CMP-01</x:v>
      </x:c>
      <x:c r="B1157" s="2" t="str">
        <x:v>CFG-C01</x:v>
      </x:c>
      <x:c r="C1157" s="2" t="n">
        <x:v>46227.70238086805</x:v>
      </x:c>
      <x:c r="D1157" s="2" t="str">
        <x:v>adaptive</x:v>
      </x:c>
      <x:c r="E1157" s="2" t="str">
        <x:v>closely_spaced_carriers</x:v>
      </x:c>
      <x:c r="F1157" s="2" t="str">
        <x:v>578</x:v>
      </x:c>
      <x:c r="G1157" s="2" t="str">
        <x:v>3154281</x:v>
      </x:c>
      <x:c r="H1157" s="2" t="str">
        <x:v>2048000.0</x:v>
      </x:c>
      <x:c r="I1157" s="2" t="str">
        <x:v>8192</x:v>
      </x:c>
      <x:c r="J1157" s="2" t="str">
        <x:v>250.0</x:v>
      </x:c>
      <x:c r="K1157" s="2" t="str">
        <x:v>2</x:v>
      </x:c>
      <x:c r="L1157" s="2" t="str">
        <x:v>3</x:v>
      </x:c>
      <x:c r="M1157" s="2" t="str">
        <x:v>2</x:v>
      </x:c>
      <x:c r="N1157" s="2" t="str">
        <x:v>1</x:v>
      </x:c>
      <x:c r="O1157" s="2" t="str">
        <x:v>0</x:v>
      </x:c>
      <x:c r="P1157" s="2" t="str">
        <x:v>true</x:v>
      </x:c>
      <x:c r="Q1157" s="2" t="str">
        <x:v>0.972642479;0.972642479</x:v>
      </x:c>
      <x:c r="R1157" s="2" t="str">
        <x:v>0.4785839992109686</x:v>
      </x:c>
      <x:c r="S1157" s="2" t="str">
        <x:v>46.30169077370705</x:v>
      </x:c>
    </x:row>
    <x:row r="1158">
      <x:c r="A1158" s="2" t="str">
        <x:v>DE-CMP-01</x:v>
      </x:c>
      <x:c r="B1158" s="2" t="str">
        <x:v>CFG-C01</x:v>
      </x:c>
      <x:c r="C1158" s="2" t="n">
        <x:v>46227.70238086805</x:v>
      </x:c>
      <x:c r="D1158" s="2" t="str">
        <x:v>adaptive</x:v>
      </x:c>
      <x:c r="E1158" s="2" t="str">
        <x:v>closely_spaced_carriers</x:v>
      </x:c>
      <x:c r="F1158" s="2" t="str">
        <x:v>579</x:v>
      </x:c>
      <x:c r="G1158" s="2" t="str">
        <x:v>3154282</x:v>
      </x:c>
      <x:c r="H1158" s="2" t="str">
        <x:v>2048000.0</x:v>
      </x:c>
      <x:c r="I1158" s="2" t="str">
        <x:v>8192</x:v>
      </x:c>
      <x:c r="J1158" s="2" t="str">
        <x:v>250.0</x:v>
      </x:c>
      <x:c r="K1158" s="2" t="str">
        <x:v>2</x:v>
      </x:c>
      <x:c r="L1158" s="2" t="str">
        <x:v>3</x:v>
      </x:c>
      <x:c r="M1158" s="2" t="str">
        <x:v>2</x:v>
      </x:c>
      <x:c r="N1158" s="2" t="str">
        <x:v>1</x:v>
      </x:c>
      <x:c r="O1158" s="2" t="str">
        <x:v>0</x:v>
      </x:c>
      <x:c r="P1158" s="2" t="str">
        <x:v>true</x:v>
      </x:c>
      <x:c r="Q1158" s="2" t="str">
        <x:v>66.042667922;66.042667922</x:v>
      </x:c>
      <x:c r="R1158" s="2" t="str">
        <x:v>0.4350829985924065</x:v>
      </x:c>
      <x:c r="S1158" s="2" t="str">
        <x:v>46.44327089268627</x:v>
      </x:c>
    </x:row>
    <x:row r="1159">
      <x:c r="A1159" s="2" t="str">
        <x:v>DE-CMP-01</x:v>
      </x:c>
      <x:c r="B1159" s="2" t="str">
        <x:v>CFG-C01</x:v>
      </x:c>
      <x:c r="C1159" s="2" t="n">
        <x:v>46227.70238086805</x:v>
      </x:c>
      <x:c r="D1159" s="2" t="str">
        <x:v>os_cfar</x:v>
      </x:c>
      <x:c r="E1159" s="2" t="str">
        <x:v>closely_spaced_carriers</x:v>
      </x:c>
      <x:c r="F1159" s="2" t="str">
        <x:v>579</x:v>
      </x:c>
      <x:c r="G1159" s="2" t="str">
        <x:v>3154282</x:v>
      </x:c>
      <x:c r="H1159" s="2" t="str">
        <x:v>2048000.0</x:v>
      </x:c>
      <x:c r="I1159" s="2" t="str">
        <x:v>8192</x:v>
      </x:c>
      <x:c r="J1159" s="2" t="str">
        <x:v>250.0</x:v>
      </x:c>
      <x:c r="K1159" s="2" t="str">
        <x:v>2</x:v>
      </x:c>
      <x:c r="L1159" s="2" t="str">
        <x:v>3</x:v>
      </x:c>
      <x:c r="M1159" s="2" t="str">
        <x:v>2</x:v>
      </x:c>
      <x:c r="N1159" s="2" t="str">
        <x:v>1</x:v>
      </x:c>
      <x:c r="O1159" s="2" t="str">
        <x:v>0</x:v>
      </x:c>
      <x:c r="P1159" s="2" t="str">
        <x:v>true</x:v>
      </x:c>
      <x:c r="Q1159" s="2" t="str">
        <x:v>66.042667922;66.042667922</x:v>
      </x:c>
      <x:c r="R1159" s="2" t="str">
        <x:v>13.8240410014987</x:v>
      </x:c>
      <x:c r="S1159" s="2" t="str">
        <x:v>48.19141759491557</x:v>
      </x:c>
    </x:row>
    <x:row r="1160">
      <x:c r="A1160" s="2" t="str">
        <x:v>DE-CMP-01</x:v>
      </x:c>
      <x:c r="B1160" s="2" t="str">
        <x:v>CFG-C01</x:v>
      </x:c>
      <x:c r="C1160" s="2" t="n">
        <x:v>46227.70238086805</x:v>
      </x:c>
      <x:c r="D1160" s="2" t="str">
        <x:v>os_cfar</x:v>
      </x:c>
      <x:c r="E1160" s="2" t="str">
        <x:v>closely_spaced_carriers</x:v>
      </x:c>
      <x:c r="F1160" s="2" t="str">
        <x:v>580</x:v>
      </x:c>
      <x:c r="G1160" s="2" t="str">
        <x:v>3154283</x:v>
      </x:c>
      <x:c r="H1160" s="2" t="str">
        <x:v>2048000.0</x:v>
      </x:c>
      <x:c r="I1160" s="2" t="str">
        <x:v>8192</x:v>
      </x:c>
      <x:c r="J1160" s="2" t="str">
        <x:v>250.0</x:v>
      </x:c>
      <x:c r="K1160" s="2" t="str">
        <x:v>2</x:v>
      </x:c>
      <x:c r="L1160" s="2" t="str">
        <x:v>3</x:v>
      </x:c>
      <x:c r="M1160" s="2" t="str">
        <x:v>2</x:v>
      </x:c>
      <x:c r="N1160" s="2" t="str">
        <x:v>1</x:v>
      </x:c>
      <x:c r="O1160" s="2" t="str">
        <x:v>0</x:v>
      </x:c>
      <x:c r="P1160" s="2" t="str">
        <x:v>true</x:v>
      </x:c>
      <x:c r="Q1160" s="2" t="str">
        <x:v>-65.896190876;-65.896190876</x:v>
      </x:c>
      <x:c r="R1160" s="2" t="str">
        <x:v>13.932042013038881</x:v>
      </x:c>
      <x:c r="S1160" s="2" t="str">
        <x:v>48.18327910121775</x:v>
      </x:c>
    </x:row>
    <x:row r="1161">
      <x:c r="A1161" s="2" t="str">
        <x:v>DE-CMP-01</x:v>
      </x:c>
      <x:c r="B1161" s="2" t="str">
        <x:v>CFG-C01</x:v>
      </x:c>
      <x:c r="C1161" s="2" t="n">
        <x:v>46227.70238086805</x:v>
      </x:c>
      <x:c r="D1161" s="2" t="str">
        <x:v>adaptive</x:v>
      </x:c>
      <x:c r="E1161" s="2" t="str">
        <x:v>closely_spaced_carriers</x:v>
      </x:c>
      <x:c r="F1161" s="2" t="str">
        <x:v>580</x:v>
      </x:c>
      <x:c r="G1161" s="2" t="str">
        <x:v>3154283</x:v>
      </x:c>
      <x:c r="H1161" s="2" t="str">
        <x:v>2048000.0</x:v>
      </x:c>
      <x:c r="I1161" s="2" t="str">
        <x:v>8192</x:v>
      </x:c>
      <x:c r="J1161" s="2" t="str">
        <x:v>250.0</x:v>
      </x:c>
      <x:c r="K1161" s="2" t="str">
        <x:v>2</x:v>
      </x:c>
      <x:c r="L1161" s="2" t="str">
        <x:v>3</x:v>
      </x:c>
      <x:c r="M1161" s="2" t="str">
        <x:v>2</x:v>
      </x:c>
      <x:c r="N1161" s="2" t="str">
        <x:v>1</x:v>
      </x:c>
      <x:c r="O1161" s="2" t="str">
        <x:v>0</x:v>
      </x:c>
      <x:c r="P1161" s="2" t="str">
        <x:v>true</x:v>
      </x:c>
      <x:c r="Q1161" s="2" t="str">
        <x:v>-65.896190876;-65.896190876</x:v>
      </x:c>
      <x:c r="R1161" s="2" t="str">
        <x:v>0.4263339942554012</x:v>
      </x:c>
      <x:c r="S1161" s="2" t="str">
        <x:v>46.477539681709395</x:v>
      </x:c>
    </x:row>
    <x:row r="1162">
      <x:c r="A1162" s="2" t="str">
        <x:v>DE-CMP-01</x:v>
      </x:c>
      <x:c r="B1162" s="2" t="str">
        <x:v>CFG-C01</x:v>
      </x:c>
      <x:c r="C1162" s="2" t="n">
        <x:v>46227.70238086805</x:v>
      </x:c>
      <x:c r="D1162" s="2" t="str">
        <x:v>adaptive</x:v>
      </x:c>
      <x:c r="E1162" s="2" t="str">
        <x:v>closely_spaced_carriers</x:v>
      </x:c>
      <x:c r="F1162" s="2" t="str">
        <x:v>581</x:v>
      </x:c>
      <x:c r="G1162" s="2" t="str">
        <x:v>3154284</x:v>
      </x:c>
      <x:c r="H1162" s="2" t="str">
        <x:v>2048000.0</x:v>
      </x:c>
      <x:c r="I1162" s="2" t="str">
        <x:v>8192</x:v>
      </x:c>
      <x:c r="J1162" s="2" t="str">
        <x:v>250.0</x:v>
      </x:c>
      <x:c r="K1162" s="2" t="str">
        <x:v>2</x:v>
      </x:c>
      <x:c r="L1162" s="2" t="str">
        <x:v>3</x:v>
      </x:c>
      <x:c r="M1162" s="2" t="str">
        <x:v>2</x:v>
      </x:c>
      <x:c r="N1162" s="2" t="str">
        <x:v>1</x:v>
      </x:c>
      <x:c r="O1162" s="2" t="str">
        <x:v>0</x:v>
      </x:c>
      <x:c r="P1162" s="2" t="str">
        <x:v>true</x:v>
      </x:c>
      <x:c r="Q1162" s="2" t="str">
        <x:v>68.013740309;68.013740309</x:v>
      </x:c>
      <x:c r="R1162" s="2" t="str">
        <x:v>0.3922090108972043</x:v>
      </x:c>
      <x:c r="S1162" s="2" t="str">
        <x:v>46.358264235012044</x:v>
      </x:c>
    </x:row>
    <x:row r="1163">
      <x:c r="A1163" s="2" t="str">
        <x:v>DE-CMP-01</x:v>
      </x:c>
      <x:c r="B1163" s="2" t="str">
        <x:v>CFG-C01</x:v>
      </x:c>
      <x:c r="C1163" s="2" t="n">
        <x:v>46227.70238086805</x:v>
      </x:c>
      <x:c r="D1163" s="2" t="str">
        <x:v>os_cfar</x:v>
      </x:c>
      <x:c r="E1163" s="2" t="str">
        <x:v>closely_spaced_carriers</x:v>
      </x:c>
      <x:c r="F1163" s="2" t="str">
        <x:v>581</x:v>
      </x:c>
      <x:c r="G1163" s="2" t="str">
        <x:v>3154284</x:v>
      </x:c>
      <x:c r="H1163" s="2" t="str">
        <x:v>2048000.0</x:v>
      </x:c>
      <x:c r="I1163" s="2" t="str">
        <x:v>8192</x:v>
      </x:c>
      <x:c r="J1163" s="2" t="str">
        <x:v>250.0</x:v>
      </x:c>
      <x:c r="K1163" s="2" t="str">
        <x:v>2</x:v>
      </x:c>
      <x:c r="L1163" s="2" t="str">
        <x:v>3</x:v>
      </x:c>
      <x:c r="M1163" s="2" t="str">
        <x:v>2</x:v>
      </x:c>
      <x:c r="N1163" s="2" t="str">
        <x:v>1</x:v>
      </x:c>
      <x:c r="O1163" s="2" t="str">
        <x:v>0</x:v>
      </x:c>
      <x:c r="P1163" s="2" t="str">
        <x:v>true</x:v>
      </x:c>
      <x:c r="Q1163" s="2" t="str">
        <x:v>68.013740309;68.013740309</x:v>
      </x:c>
      <x:c r="R1163" s="2" t="str">
        <x:v>13.783540998701937</x:v>
      </x:c>
      <x:c r="S1163" s="2" t="str">
        <x:v>48.22115585661287</x:v>
      </x:c>
    </x:row>
    <x:row r="1164">
      <x:c r="A1164" s="2" t="str">
        <x:v>DE-CMP-01</x:v>
      </x:c>
      <x:c r="B1164" s="2" t="str">
        <x:v>CFG-C01</x:v>
      </x:c>
      <x:c r="C1164" s="2" t="n">
        <x:v>46227.70238086805</x:v>
      </x:c>
      <x:c r="D1164" s="2" t="str">
        <x:v>os_cfar</x:v>
      </x:c>
      <x:c r="E1164" s="2" t="str">
        <x:v>closely_spaced_carriers</x:v>
      </x:c>
      <x:c r="F1164" s="2" t="str">
        <x:v>582</x:v>
      </x:c>
      <x:c r="G1164" s="2" t="str">
        <x:v>3154285</x:v>
      </x:c>
      <x:c r="H1164" s="2" t="str">
        <x:v>2048000.0</x:v>
      </x:c>
      <x:c r="I1164" s="2" t="str">
        <x:v>8192</x:v>
      </x:c>
      <x:c r="J1164" s="2" t="str">
        <x:v>250.0</x:v>
      </x:c>
      <x:c r="K1164" s="2" t="str">
        <x:v>2</x:v>
      </x:c>
      <x:c r="L1164" s="2" t="str">
        <x:v>3</x:v>
      </x:c>
      <x:c r="M1164" s="2" t="str">
        <x:v>2</x:v>
      </x:c>
      <x:c r="N1164" s="2" t="str">
        <x:v>1</x:v>
      </x:c>
      <x:c r="O1164" s="2" t="str">
        <x:v>0</x:v>
      </x:c>
      <x:c r="P1164" s="2" t="str">
        <x:v>true</x:v>
      </x:c>
      <x:c r="Q1164" s="2" t="str">
        <x:v>-56.464761231;-56.464761231</x:v>
      </x:c>
      <x:c r="R1164" s="2" t="str">
        <x:v>13.7959999992745</x:v>
      </x:c>
      <x:c r="S1164" s="2" t="str">
        <x:v>48.25560638747284</x:v>
      </x:c>
    </x:row>
    <x:row r="1165">
      <x:c r="A1165" s="2" t="str">
        <x:v>DE-CMP-01</x:v>
      </x:c>
      <x:c r="B1165" s="2" t="str">
        <x:v>CFG-C01</x:v>
      </x:c>
      <x:c r="C1165" s="2" t="n">
        <x:v>46227.70238086805</x:v>
      </x:c>
      <x:c r="D1165" s="2" t="str">
        <x:v>adaptive</x:v>
      </x:c>
      <x:c r="E1165" s="2" t="str">
        <x:v>closely_spaced_carriers</x:v>
      </x:c>
      <x:c r="F1165" s="2" t="str">
        <x:v>582</x:v>
      </x:c>
      <x:c r="G1165" s="2" t="str">
        <x:v>3154285</x:v>
      </x:c>
      <x:c r="H1165" s="2" t="str">
        <x:v>2048000.0</x:v>
      </x:c>
      <x:c r="I1165" s="2" t="str">
        <x:v>8192</x:v>
      </x:c>
      <x:c r="J1165" s="2" t="str">
        <x:v>250.0</x:v>
      </x:c>
      <x:c r="K1165" s="2" t="str">
        <x:v>2</x:v>
      </x:c>
      <x:c r="L1165" s="2" t="str">
        <x:v>3</x:v>
      </x:c>
      <x:c r="M1165" s="2" t="str">
        <x:v>2</x:v>
      </x:c>
      <x:c r="N1165" s="2" t="str">
        <x:v>1</x:v>
      </x:c>
      <x:c r="O1165" s="2" t="str">
        <x:v>0</x:v>
      </x:c>
      <x:c r="P1165" s="2" t="str">
        <x:v>true</x:v>
      </x:c>
      <x:c r="Q1165" s="2" t="str">
        <x:v>-56.464761231;-56.464761231</x:v>
      </x:c>
      <x:c r="R1165" s="2" t="str">
        <x:v>0.43662500684149563</x:v>
      </x:c>
      <x:c r="S1165" s="2" t="str">
        <x:v>46.33037420708743</x:v>
      </x:c>
    </x:row>
    <x:row r="1166">
      <x:c r="A1166" s="2" t="str">
        <x:v>DE-CMP-01</x:v>
      </x:c>
      <x:c r="B1166" s="2" t="str">
        <x:v>CFG-C01</x:v>
      </x:c>
      <x:c r="C1166" s="2" t="n">
        <x:v>46227.70238086805</x:v>
      </x:c>
      <x:c r="D1166" s="2" t="str">
        <x:v>adaptive</x:v>
      </x:c>
      <x:c r="E1166" s="2" t="str">
        <x:v>closely_spaced_carriers</x:v>
      </x:c>
      <x:c r="F1166" s="2" t="str">
        <x:v>583</x:v>
      </x:c>
      <x:c r="G1166" s="2" t="str">
        <x:v>3154286</x:v>
      </x:c>
      <x:c r="H1166" s="2" t="str">
        <x:v>2048000.0</x:v>
      </x:c>
      <x:c r="I1166" s="2" t="str">
        <x:v>8192</x:v>
      </x:c>
      <x:c r="J1166" s="2" t="str">
        <x:v>250.0</x:v>
      </x:c>
      <x:c r="K1166" s="2" t="str">
        <x:v>2</x:v>
      </x:c>
      <x:c r="L1166" s="2" t="str">
        <x:v>3</x:v>
      </x:c>
      <x:c r="M1166" s="2" t="str">
        <x:v>2</x:v>
      </x:c>
      <x:c r="N1166" s="2" t="str">
        <x:v>1</x:v>
      </x:c>
      <x:c r="O1166" s="2" t="str">
        <x:v>0</x:v>
      </x:c>
      <x:c r="P1166" s="2" t="str">
        <x:v>true</x:v>
      </x:c>
      <x:c r="Q1166" s="2" t="str">
        <x:v>112.283054297;112.283054297</x:v>
      </x:c>
      <x:c r="R1166" s="2" t="str">
        <x:v>0.4212079948047176</x:v>
      </x:c>
      <x:c r="S1166" s="2" t="str">
        <x:v>46.38447471848127</x:v>
      </x:c>
    </x:row>
    <x:row r="1167">
      <x:c r="A1167" s="2" t="str">
        <x:v>DE-CMP-01</x:v>
      </x:c>
      <x:c r="B1167" s="2" t="str">
        <x:v>CFG-C01</x:v>
      </x:c>
      <x:c r="C1167" s="2" t="n">
        <x:v>46227.70238086805</x:v>
      </x:c>
      <x:c r="D1167" s="2" t="str">
        <x:v>os_cfar</x:v>
      </x:c>
      <x:c r="E1167" s="2" t="str">
        <x:v>closely_spaced_carriers</x:v>
      </x:c>
      <x:c r="F1167" s="2" t="str">
        <x:v>583</x:v>
      </x:c>
      <x:c r="G1167" s="2" t="str">
        <x:v>3154286</x:v>
      </x:c>
      <x:c r="H1167" s="2" t="str">
        <x:v>2048000.0</x:v>
      </x:c>
      <x:c r="I1167" s="2" t="str">
        <x:v>8192</x:v>
      </x:c>
      <x:c r="J1167" s="2" t="str">
        <x:v>250.0</x:v>
      </x:c>
      <x:c r="K1167" s="2" t="str">
        <x:v>2</x:v>
      </x:c>
      <x:c r="L1167" s="2" t="str">
        <x:v>3</x:v>
      </x:c>
      <x:c r="M1167" s="2" t="str">
        <x:v>2</x:v>
      </x:c>
      <x:c r="N1167" s="2" t="str">
        <x:v>1</x:v>
      </x:c>
      <x:c r="O1167" s="2" t="str">
        <x:v>0</x:v>
      </x:c>
      <x:c r="P1167" s="2" t="str">
        <x:v>true</x:v>
      </x:c>
      <x:c r="Q1167" s="2" t="str">
        <x:v>112.283054297;112.283054297</x:v>
      </x:c>
      <x:c r="R1167" s="2" t="str">
        <x:v>13.87333299499005</x:v>
      </x:c>
      <x:c r="S1167" s="2" t="str">
        <x:v>48.21355009088923</x:v>
      </x:c>
    </x:row>
    <x:row r="1168">
      <x:c r="A1168" s="2" t="str">
        <x:v>DE-CMP-01</x:v>
      </x:c>
      <x:c r="B1168" s="2" t="str">
        <x:v>CFG-C01</x:v>
      </x:c>
      <x:c r="C1168" s="2" t="n">
        <x:v>46227.70238086805</x:v>
      </x:c>
      <x:c r="D1168" s="2" t="str">
        <x:v>os_cfar</x:v>
      </x:c>
      <x:c r="E1168" s="2" t="str">
        <x:v>closely_spaced_carriers</x:v>
      </x:c>
      <x:c r="F1168" s="2" t="str">
        <x:v>584</x:v>
      </x:c>
      <x:c r="G1168" s="2" t="str">
        <x:v>3154287</x:v>
      </x:c>
      <x:c r="H1168" s="2" t="str">
        <x:v>2048000.0</x:v>
      </x:c>
      <x:c r="I1168" s="2" t="str">
        <x:v>8192</x:v>
      </x:c>
      <x:c r="J1168" s="2" t="str">
        <x:v>250.0</x:v>
      </x:c>
      <x:c r="K1168" s="2" t="str">
        <x:v>2</x:v>
      </x:c>
      <x:c r="L1168" s="2" t="str">
        <x:v>3</x:v>
      </x:c>
      <x:c r="M1168" s="2" t="str">
        <x:v>2</x:v>
      </x:c>
      <x:c r="N1168" s="2" t="str">
        <x:v>1</x:v>
      </x:c>
      <x:c r="O1168" s="2" t="str">
        <x:v>0</x:v>
      </x:c>
      <x:c r="P1168" s="2" t="str">
        <x:v>true</x:v>
      </x:c>
      <x:c r="Q1168" s="2" t="str">
        <x:v>-77.809292387;-77.809292387</x:v>
      </x:c>
      <x:c r="R1168" s="2" t="str">
        <x:v>13.989375001983717</x:v>
      </x:c>
      <x:c r="S1168" s="2" t="str">
        <x:v>48.289320325628466</x:v>
      </x:c>
    </x:row>
    <x:row r="1169">
      <x:c r="A1169" s="2" t="str">
        <x:v>DE-CMP-01</x:v>
      </x:c>
      <x:c r="B1169" s="2" t="str">
        <x:v>CFG-C01</x:v>
      </x:c>
      <x:c r="C1169" s="2" t="n">
        <x:v>46227.70238086805</x:v>
      </x:c>
      <x:c r="D1169" s="2" t="str">
        <x:v>adaptive</x:v>
      </x:c>
      <x:c r="E1169" s="2" t="str">
        <x:v>closely_spaced_carriers</x:v>
      </x:c>
      <x:c r="F1169" s="2" t="str">
        <x:v>584</x:v>
      </x:c>
      <x:c r="G1169" s="2" t="str">
        <x:v>3154287</x:v>
      </x:c>
      <x:c r="H1169" s="2" t="str">
        <x:v>2048000.0</x:v>
      </x:c>
      <x:c r="I1169" s="2" t="str">
        <x:v>8192</x:v>
      </x:c>
      <x:c r="J1169" s="2" t="str">
        <x:v>250.0</x:v>
      </x:c>
      <x:c r="K1169" s="2" t="str">
        <x:v>2</x:v>
      </x:c>
      <x:c r="L1169" s="2" t="str">
        <x:v>3</x:v>
      </x:c>
      <x:c r="M1169" s="2" t="str">
        <x:v>2</x:v>
      </x:c>
      <x:c r="N1169" s="2" t="str">
        <x:v>1</x:v>
      </x:c>
      <x:c r="O1169" s="2" t="str">
        <x:v>0</x:v>
      </x:c>
      <x:c r="P1169" s="2" t="str">
        <x:v>true</x:v>
      </x:c>
      <x:c r="Q1169" s="2" t="str">
        <x:v>-77.809292387;-77.809292387</x:v>
      </x:c>
      <x:c r="R1169" s="2" t="str">
        <x:v>0.4279160057194531</x:v>
      </x:c>
      <x:c r="S1169" s="2" t="str">
        <x:v>46.530963664268775</x:v>
      </x:c>
    </x:row>
    <x:row r="1170">
      <x:c r="A1170" s="2" t="str">
        <x:v>DE-CMP-01</x:v>
      </x:c>
      <x:c r="B1170" s="2" t="str">
        <x:v>CFG-C01</x:v>
      </x:c>
      <x:c r="C1170" s="2" t="n">
        <x:v>46227.70238086805</x:v>
      </x:c>
      <x:c r="D1170" s="2" t="str">
        <x:v>adaptive</x:v>
      </x:c>
      <x:c r="E1170" s="2" t="str">
        <x:v>closely_spaced_carriers</x:v>
      </x:c>
      <x:c r="F1170" s="2" t="str">
        <x:v>585</x:v>
      </x:c>
      <x:c r="G1170" s="2" t="str">
        <x:v>3154288</x:v>
      </x:c>
      <x:c r="H1170" s="2" t="str">
        <x:v>2048000.0</x:v>
      </x:c>
      <x:c r="I1170" s="2" t="str">
        <x:v>8192</x:v>
      </x:c>
      <x:c r="J1170" s="2" t="str">
        <x:v>250.0</x:v>
      </x:c>
      <x:c r="K1170" s="2" t="str">
        <x:v>2</x:v>
      </x:c>
      <x:c r="L1170" s="2" t="str">
        <x:v>3</x:v>
      </x:c>
      <x:c r="M1170" s="2" t="str">
        <x:v>2</x:v>
      </x:c>
      <x:c r="N1170" s="2" t="str">
        <x:v>1</x:v>
      </x:c>
      <x:c r="O1170" s="2" t="str">
        <x:v>0</x:v>
      </x:c>
      <x:c r="P1170" s="2" t="str">
        <x:v>true</x:v>
      </x:c>
      <x:c r="Q1170" s="2" t="str">
        <x:v>-102.788790392;-102.788790392</x:v>
      </x:c>
      <x:c r="R1170" s="2" t="str">
        <x:v>0.41441700886934996</x:v>
      </x:c>
      <x:c r="S1170" s="2" t="str">
        <x:v>46.49572726197209</x:v>
      </x:c>
    </x:row>
    <x:row r="1171">
      <x:c r="A1171" s="2" t="str">
        <x:v>DE-CMP-01</x:v>
      </x:c>
      <x:c r="B1171" s="2" t="str">
        <x:v>CFG-C01</x:v>
      </x:c>
      <x:c r="C1171" s="2" t="n">
        <x:v>46227.70238086805</x:v>
      </x:c>
      <x:c r="D1171" s="2" t="str">
        <x:v>os_cfar</x:v>
      </x:c>
      <x:c r="E1171" s="2" t="str">
        <x:v>closely_spaced_carriers</x:v>
      </x:c>
      <x:c r="F1171" s="2" t="str">
        <x:v>585</x:v>
      </x:c>
      <x:c r="G1171" s="2" t="str">
        <x:v>3154288</x:v>
      </x:c>
      <x:c r="H1171" s="2" t="str">
        <x:v>2048000.0</x:v>
      </x:c>
      <x:c r="I1171" s="2" t="str">
        <x:v>8192</x:v>
      </x:c>
      <x:c r="J1171" s="2" t="str">
        <x:v>250.0</x:v>
      </x:c>
      <x:c r="K1171" s="2" t="str">
        <x:v>2</x:v>
      </x:c>
      <x:c r="L1171" s="2" t="str">
        <x:v>3</x:v>
      </x:c>
      <x:c r="M1171" s="2" t="str">
        <x:v>2</x:v>
      </x:c>
      <x:c r="N1171" s="2" t="str">
        <x:v>1</x:v>
      </x:c>
      <x:c r="O1171" s="2" t="str">
        <x:v>0</x:v>
      </x:c>
      <x:c r="P1171" s="2" t="str">
        <x:v>true</x:v>
      </x:c>
      <x:c r="Q1171" s="2" t="str">
        <x:v>-102.788790392;-102.788790392</x:v>
      </x:c>
      <x:c r="R1171" s="2" t="str">
        <x:v>13.884583007893525</x:v>
      </x:c>
      <x:c r="S1171" s="2" t="str">
        <x:v>48.21633118797868</x:v>
      </x:c>
    </x:row>
    <x:row r="1172">
      <x:c r="A1172" s="2" t="str">
        <x:v>DE-CMP-01</x:v>
      </x:c>
      <x:c r="B1172" s="2" t="str">
        <x:v>CFG-C01</x:v>
      </x:c>
      <x:c r="C1172" s="2" t="n">
        <x:v>46227.70238086805</x:v>
      </x:c>
      <x:c r="D1172" s="2" t="str">
        <x:v>os_cfar</x:v>
      </x:c>
      <x:c r="E1172" s="2" t="str">
        <x:v>closely_spaced_carriers</x:v>
      </x:c>
      <x:c r="F1172" s="2" t="str">
        <x:v>586</x:v>
      </x:c>
      <x:c r="G1172" s="2" t="str">
        <x:v>3154289</x:v>
      </x:c>
      <x:c r="H1172" s="2" t="str">
        <x:v>2048000.0</x:v>
      </x:c>
      <x:c r="I1172" s="2" t="str">
        <x:v>8192</x:v>
      </x:c>
      <x:c r="J1172" s="2" t="str">
        <x:v>250.0</x:v>
      </x:c>
      <x:c r="K1172" s="2" t="str">
        <x:v>2</x:v>
      </x:c>
      <x:c r="L1172" s="2" t="str">
        <x:v>3</x:v>
      </x:c>
      <x:c r="M1172" s="2" t="str">
        <x:v>2</x:v>
      </x:c>
      <x:c r="N1172" s="2" t="str">
        <x:v>1</x:v>
      </x:c>
      <x:c r="O1172" s="2" t="str">
        <x:v>0</x:v>
      </x:c>
      <x:c r="P1172" s="2" t="str">
        <x:v>true</x:v>
      </x:c>
      <x:c r="Q1172" s="2" t="str">
        <x:v>-6.267792957;-6.267792958</x:v>
      </x:c>
      <x:c r="R1172" s="2" t="str">
        <x:v>14.016957997228019</x:v>
      </x:c>
      <x:c r="S1172" s="2" t="str">
        <x:v>48.189804991168444</x:v>
      </x:c>
    </x:row>
    <x:row r="1173">
      <x:c r="A1173" s="2" t="str">
        <x:v>DE-CMP-01</x:v>
      </x:c>
      <x:c r="B1173" s="2" t="str">
        <x:v>CFG-C01</x:v>
      </x:c>
      <x:c r="C1173" s="2" t="n">
        <x:v>46227.70238086805</x:v>
      </x:c>
      <x:c r="D1173" s="2" t="str">
        <x:v>adaptive</x:v>
      </x:c>
      <x:c r="E1173" s="2" t="str">
        <x:v>closely_spaced_carriers</x:v>
      </x:c>
      <x:c r="F1173" s="2" t="str">
        <x:v>586</x:v>
      </x:c>
      <x:c r="G1173" s="2" t="str">
        <x:v>3154289</x:v>
      </x:c>
      <x:c r="H1173" s="2" t="str">
        <x:v>2048000.0</x:v>
      </x:c>
      <x:c r="I1173" s="2" t="str">
        <x:v>8192</x:v>
      </x:c>
      <x:c r="J1173" s="2" t="str">
        <x:v>250.0</x:v>
      </x:c>
      <x:c r="K1173" s="2" t="str">
        <x:v>2</x:v>
      </x:c>
      <x:c r="L1173" s="2" t="str">
        <x:v>3</x:v>
      </x:c>
      <x:c r="M1173" s="2" t="str">
        <x:v>2</x:v>
      </x:c>
      <x:c r="N1173" s="2" t="str">
        <x:v>1</x:v>
      </x:c>
      <x:c r="O1173" s="2" t="str">
        <x:v>0</x:v>
      </x:c>
      <x:c r="P1173" s="2" t="str">
        <x:v>true</x:v>
      </x:c>
      <x:c r="Q1173" s="2" t="str">
        <x:v>-6.267792957;-6.267792958</x:v>
      </x:c>
      <x:c r="R1173" s="2" t="str">
        <x:v>0.4098329955013469</x:v>
      </x:c>
      <x:c r="S1173" s="2" t="str">
        <x:v>46.541098459855</x:v>
      </x:c>
    </x:row>
    <x:row r="1174">
      <x:c r="A1174" s="2" t="str">
        <x:v>DE-CMP-01</x:v>
      </x:c>
      <x:c r="B1174" s="2" t="str">
        <x:v>CFG-C01</x:v>
      </x:c>
      <x:c r="C1174" s="2" t="n">
        <x:v>46227.70238086805</x:v>
      </x:c>
      <x:c r="D1174" s="2" t="str">
        <x:v>adaptive</x:v>
      </x:c>
      <x:c r="E1174" s="2" t="str">
        <x:v>closely_spaced_carriers</x:v>
      </x:c>
      <x:c r="F1174" s="2" t="str">
        <x:v>587</x:v>
      </x:c>
      <x:c r="G1174" s="2" t="str">
        <x:v>3154290</x:v>
      </x:c>
      <x:c r="H1174" s="2" t="str">
        <x:v>2048000.0</x:v>
      </x:c>
      <x:c r="I1174" s="2" t="str">
        <x:v>8192</x:v>
      </x:c>
      <x:c r="J1174" s="2" t="str">
        <x:v>250.0</x:v>
      </x:c>
      <x:c r="K1174" s="2" t="str">
        <x:v>2</x:v>
      </x:c>
      <x:c r="L1174" s="2" t="str">
        <x:v>3</x:v>
      </x:c>
      <x:c r="M1174" s="2" t="str">
        <x:v>2</x:v>
      </x:c>
      <x:c r="N1174" s="2" t="str">
        <x:v>1</x:v>
      </x:c>
      <x:c r="O1174" s="2" t="str">
        <x:v>0</x:v>
      </x:c>
      <x:c r="P1174" s="2" t="str">
        <x:v>true</x:v>
      </x:c>
      <x:c r="Q1174" s="2" t="str">
        <x:v>96.289171584;96.289171584</x:v>
      </x:c>
      <x:c r="R1174" s="2" t="str">
        <x:v>0.40691600588615984</x:v>
      </x:c>
      <x:c r="S1174" s="2" t="str">
        <x:v>46.40976998389672</x:v>
      </x:c>
    </x:row>
    <x:row r="1175">
      <x:c r="A1175" s="2" t="str">
        <x:v>DE-CMP-01</x:v>
      </x:c>
      <x:c r="B1175" s="2" t="str">
        <x:v>CFG-C01</x:v>
      </x:c>
      <x:c r="C1175" s="2" t="n">
        <x:v>46227.70238086805</x:v>
      </x:c>
      <x:c r="D1175" s="2" t="str">
        <x:v>os_cfar</x:v>
      </x:c>
      <x:c r="E1175" s="2" t="str">
        <x:v>closely_spaced_carriers</x:v>
      </x:c>
      <x:c r="F1175" s="2" t="str">
        <x:v>587</x:v>
      </x:c>
      <x:c r="G1175" s="2" t="str">
        <x:v>3154290</x:v>
      </x:c>
      <x:c r="H1175" s="2" t="str">
        <x:v>2048000.0</x:v>
      </x:c>
      <x:c r="I1175" s="2" t="str">
        <x:v>8192</x:v>
      </x:c>
      <x:c r="J1175" s="2" t="str">
        <x:v>250.0</x:v>
      </x:c>
      <x:c r="K1175" s="2" t="str">
        <x:v>2</x:v>
      </x:c>
      <x:c r="L1175" s="2" t="str">
        <x:v>3</x:v>
      </x:c>
      <x:c r="M1175" s="2" t="str">
        <x:v>2</x:v>
      </x:c>
      <x:c r="N1175" s="2" t="str">
        <x:v>1</x:v>
      </x:c>
      <x:c r="O1175" s="2" t="str">
        <x:v>0</x:v>
      </x:c>
      <x:c r="P1175" s="2" t="str">
        <x:v>true</x:v>
      </x:c>
      <x:c r="Q1175" s="2" t="str">
        <x:v>96.289171584;96.289171584</x:v>
      </x:c>
      <x:c r="R1175" s="2" t="str">
        <x:v>13.893042007111944</x:v>
      </x:c>
      <x:c r="S1175" s="2" t="str">
        <x:v>48.188383374864046</x:v>
      </x:c>
    </x:row>
    <x:row r="1176">
      <x:c r="A1176" s="2" t="str">
        <x:v>DE-CMP-01</x:v>
      </x:c>
      <x:c r="B1176" s="2" t="str">
        <x:v>CFG-C01</x:v>
      </x:c>
      <x:c r="C1176" s="2" t="n">
        <x:v>46227.70238086805</x:v>
      </x:c>
      <x:c r="D1176" s="2" t="str">
        <x:v>os_cfar</x:v>
      </x:c>
      <x:c r="E1176" s="2" t="str">
        <x:v>closely_spaced_carriers</x:v>
      </x:c>
      <x:c r="F1176" s="2" t="str">
        <x:v>588</x:v>
      </x:c>
      <x:c r="G1176" s="2" t="str">
        <x:v>3154291</x:v>
      </x:c>
      <x:c r="H1176" s="2" t="str">
        <x:v>2048000.0</x:v>
      </x:c>
      <x:c r="I1176" s="2" t="str">
        <x:v>8192</x:v>
      </x:c>
      <x:c r="J1176" s="2" t="str">
        <x:v>250.0</x:v>
      </x:c>
      <x:c r="K1176" s="2" t="str">
        <x:v>2</x:v>
      </x:c>
      <x:c r="L1176" s="2" t="str">
        <x:v>3</x:v>
      </x:c>
      <x:c r="M1176" s="2" t="str">
        <x:v>2</x:v>
      </x:c>
      <x:c r="N1176" s="2" t="str">
        <x:v>1</x:v>
      </x:c>
      <x:c r="O1176" s="2" t="str">
        <x:v>0</x:v>
      </x:c>
      <x:c r="P1176" s="2" t="str">
        <x:v>true</x:v>
      </x:c>
      <x:c r="Q1176" s="2" t="str">
        <x:v>-53.091638610;-53.091638610</x:v>
      </x:c>
      <x:c r="R1176" s="2" t="str">
        <x:v>13.776166990282945</x:v>
      </x:c>
      <x:c r="S1176" s="2" t="str">
        <x:v>48.10270819945842</x:v>
      </x:c>
    </x:row>
    <x:row r="1177">
      <x:c r="A1177" s="2" t="str">
        <x:v>DE-CMP-01</x:v>
      </x:c>
      <x:c r="B1177" s="2" t="str">
        <x:v>CFG-C01</x:v>
      </x:c>
      <x:c r="C1177" s="2" t="n">
        <x:v>46227.70238086805</x:v>
      </x:c>
      <x:c r="D1177" s="2" t="str">
        <x:v>adaptive</x:v>
      </x:c>
      <x:c r="E1177" s="2" t="str">
        <x:v>closely_spaced_carriers</x:v>
      </x:c>
      <x:c r="F1177" s="2" t="str">
        <x:v>588</x:v>
      </x:c>
      <x:c r="G1177" s="2" t="str">
        <x:v>3154291</x:v>
      </x:c>
      <x:c r="H1177" s="2" t="str">
        <x:v>2048000.0</x:v>
      </x:c>
      <x:c r="I1177" s="2" t="str">
        <x:v>8192</x:v>
      </x:c>
      <x:c r="J1177" s="2" t="str">
        <x:v>250.0</x:v>
      </x:c>
      <x:c r="K1177" s="2" t="str">
        <x:v>2</x:v>
      </x:c>
      <x:c r="L1177" s="2" t="str">
        <x:v>3</x:v>
      </x:c>
      <x:c r="M1177" s="2" t="str">
        <x:v>2</x:v>
      </x:c>
      <x:c r="N1177" s="2" t="str">
        <x:v>1</x:v>
      </x:c>
      <x:c r="O1177" s="2" t="str">
        <x:v>0</x:v>
      </x:c>
      <x:c r="P1177" s="2" t="str">
        <x:v>true</x:v>
      </x:c>
      <x:c r="Q1177" s="2" t="str">
        <x:v>-53.091638610;-53.091638610</x:v>
      </x:c>
      <x:c r="R1177" s="2" t="str">
        <x:v>0.4649159964174032</x:v>
      </x:c>
      <x:c r="S1177" s="2" t="str">
        <x:v>46.314720073395094</x:v>
      </x:c>
    </x:row>
    <x:row r="1178">
      <x:c r="A1178" s="2" t="str">
        <x:v>DE-CMP-01</x:v>
      </x:c>
      <x:c r="B1178" s="2" t="str">
        <x:v>CFG-C01</x:v>
      </x:c>
      <x:c r="C1178" s="2" t="n">
        <x:v>46227.70238086805</x:v>
      </x:c>
      <x:c r="D1178" s="2" t="str">
        <x:v>adaptive</x:v>
      </x:c>
      <x:c r="E1178" s="2" t="str">
        <x:v>closely_spaced_carriers</x:v>
      </x:c>
      <x:c r="F1178" s="2" t="str">
        <x:v>589</x:v>
      </x:c>
      <x:c r="G1178" s="2" t="str">
        <x:v>3154292</x:v>
      </x:c>
      <x:c r="H1178" s="2" t="str">
        <x:v>2048000.0</x:v>
      </x:c>
      <x:c r="I1178" s="2" t="str">
        <x:v>8192</x:v>
      </x:c>
      <x:c r="J1178" s="2" t="str">
        <x:v>250.0</x:v>
      </x:c>
      <x:c r="K1178" s="2" t="str">
        <x:v>2</x:v>
      </x:c>
      <x:c r="L1178" s="2" t="str">
        <x:v>3</x:v>
      </x:c>
      <x:c r="M1178" s="2" t="str">
        <x:v>2</x:v>
      </x:c>
      <x:c r="N1178" s="2" t="str">
        <x:v>1</x:v>
      </x:c>
      <x:c r="O1178" s="2" t="str">
        <x:v>0</x:v>
      </x:c>
      <x:c r="P1178" s="2" t="str">
        <x:v>true</x:v>
      </x:c>
      <x:c r="Q1178" s="2" t="str">
        <x:v>115.146242313;115.146242313</x:v>
      </x:c>
      <x:c r="R1178" s="2" t="str">
        <x:v>0.4352079995442182</x:v>
      </x:c>
      <x:c r="S1178" s="2" t="str">
        <x:v>46.51941539640387</x:v>
      </x:c>
    </x:row>
    <x:row r="1179">
      <x:c r="A1179" s="2" t="str">
        <x:v>DE-CMP-01</x:v>
      </x:c>
      <x:c r="B1179" s="2" t="str">
        <x:v>CFG-C01</x:v>
      </x:c>
      <x:c r="C1179" s="2" t="n">
        <x:v>46227.70238086805</x:v>
      </x:c>
      <x:c r="D1179" s="2" t="str">
        <x:v>os_cfar</x:v>
      </x:c>
      <x:c r="E1179" s="2" t="str">
        <x:v>closely_spaced_carriers</x:v>
      </x:c>
      <x:c r="F1179" s="2" t="str">
        <x:v>589</x:v>
      </x:c>
      <x:c r="G1179" s="2" t="str">
        <x:v>3154292</x:v>
      </x:c>
      <x:c r="H1179" s="2" t="str">
        <x:v>2048000.0</x:v>
      </x:c>
      <x:c r="I1179" s="2" t="str">
        <x:v>8192</x:v>
      </x:c>
      <x:c r="J1179" s="2" t="str">
        <x:v>250.0</x:v>
      </x:c>
      <x:c r="K1179" s="2" t="str">
        <x:v>2</x:v>
      </x:c>
      <x:c r="L1179" s="2" t="str">
        <x:v>3</x:v>
      </x:c>
      <x:c r="M1179" s="2" t="str">
        <x:v>2</x:v>
      </x:c>
      <x:c r="N1179" s="2" t="str">
        <x:v>1</x:v>
      </x:c>
      <x:c r="O1179" s="2" t="str">
        <x:v>0</x:v>
      </x:c>
      <x:c r="P1179" s="2" t="str">
        <x:v>true</x:v>
      </x:c>
      <x:c r="Q1179" s="2" t="str">
        <x:v>115.146242313;115.146242313</x:v>
      </x:c>
      <x:c r="R1179" s="2" t="str">
        <x:v>14.272959000663832</x:v>
      </x:c>
      <x:c r="S1179" s="2" t="str">
        <x:v>48.332217129378</x:v>
      </x:c>
    </x:row>
    <x:row r="1180">
      <x:c r="A1180" s="2" t="str">
        <x:v>DE-CMP-01</x:v>
      </x:c>
      <x:c r="B1180" s="2" t="str">
        <x:v>CFG-C01</x:v>
      </x:c>
      <x:c r="C1180" s="2" t="n">
        <x:v>46227.70238086805</x:v>
      </x:c>
      <x:c r="D1180" s="2" t="str">
        <x:v>os_cfar</x:v>
      </x:c>
      <x:c r="E1180" s="2" t="str">
        <x:v>closely_spaced_carriers</x:v>
      </x:c>
      <x:c r="F1180" s="2" t="str">
        <x:v>590</x:v>
      </x:c>
      <x:c r="G1180" s="2" t="str">
        <x:v>3154293</x:v>
      </x:c>
      <x:c r="H1180" s="2" t="str">
        <x:v>2048000.0</x:v>
      </x:c>
      <x:c r="I1180" s="2" t="str">
        <x:v>8192</x:v>
      </x:c>
      <x:c r="J1180" s="2" t="str">
        <x:v>250.0</x:v>
      </x:c>
      <x:c r="K1180" s="2" t="str">
        <x:v>2</x:v>
      </x:c>
      <x:c r="L1180" s="2" t="str">
        <x:v>3</x:v>
      </x:c>
      <x:c r="M1180" s="2" t="str">
        <x:v>2</x:v>
      </x:c>
      <x:c r="N1180" s="2" t="str">
        <x:v>1</x:v>
      </x:c>
      <x:c r="O1180" s="2" t="str">
        <x:v>0</x:v>
      </x:c>
      <x:c r="P1180" s="2" t="str">
        <x:v>true</x:v>
      </x:c>
      <x:c r="Q1180" s="2" t="str">
        <x:v>-65.930412626;-65.930412626</x:v>
      </x:c>
      <x:c r="R1180" s="2" t="str">
        <x:v>13.936666990048252</x:v>
      </x:c>
      <x:c r="S1180" s="2" t="str">
        <x:v>48.12908159816766</x:v>
      </x:c>
    </x:row>
    <x:row r="1181">
      <x:c r="A1181" s="2" t="str">
        <x:v>DE-CMP-01</x:v>
      </x:c>
      <x:c r="B1181" s="2" t="str">
        <x:v>CFG-C01</x:v>
      </x:c>
      <x:c r="C1181" s="2" t="n">
        <x:v>46227.70238086805</x:v>
      </x:c>
      <x:c r="D1181" s="2" t="str">
        <x:v>adaptive</x:v>
      </x:c>
      <x:c r="E1181" s="2" t="str">
        <x:v>closely_spaced_carriers</x:v>
      </x:c>
      <x:c r="F1181" s="2" t="str">
        <x:v>590</x:v>
      </x:c>
      <x:c r="G1181" s="2" t="str">
        <x:v>3154293</x:v>
      </x:c>
      <x:c r="H1181" s="2" t="str">
        <x:v>2048000.0</x:v>
      </x:c>
      <x:c r="I1181" s="2" t="str">
        <x:v>8192</x:v>
      </x:c>
      <x:c r="J1181" s="2" t="str">
        <x:v>250.0</x:v>
      </x:c>
      <x:c r="K1181" s="2" t="str">
        <x:v>2</x:v>
      </x:c>
      <x:c r="L1181" s="2" t="str">
        <x:v>3</x:v>
      </x:c>
      <x:c r="M1181" s="2" t="str">
        <x:v>2</x:v>
      </x:c>
      <x:c r="N1181" s="2" t="str">
        <x:v>1</x:v>
      </x:c>
      <x:c r="O1181" s="2" t="str">
        <x:v>0</x:v>
      </x:c>
      <x:c r="P1181" s="2" t="str">
        <x:v>true</x:v>
      </x:c>
      <x:c r="Q1181" s="2" t="str">
        <x:v>-65.930412626;-65.930412626</x:v>
      </x:c>
      <x:c r="R1181" s="2" t="str">
        <x:v>0.4677499964600429</x:v>
      </x:c>
      <x:c r="S1181" s="2" t="str">
        <x:v>46.31722748439953</x:v>
      </x:c>
    </x:row>
    <x:row r="1182">
      <x:c r="A1182" s="2" t="str">
        <x:v>DE-CMP-01</x:v>
      </x:c>
      <x:c r="B1182" s="2" t="str">
        <x:v>CFG-C01</x:v>
      </x:c>
      <x:c r="C1182" s="2" t="n">
        <x:v>46227.70238086805</x:v>
      </x:c>
      <x:c r="D1182" s="2" t="str">
        <x:v>adaptive</x:v>
      </x:c>
      <x:c r="E1182" s="2" t="str">
        <x:v>closely_spaced_carriers</x:v>
      </x:c>
      <x:c r="F1182" s="2" t="str">
        <x:v>591</x:v>
      </x:c>
      <x:c r="G1182" s="2" t="str">
        <x:v>3154294</x:v>
      </x:c>
      <x:c r="H1182" s="2" t="str">
        <x:v>2048000.0</x:v>
      </x:c>
      <x:c r="I1182" s="2" t="str">
        <x:v>8192</x:v>
      </x:c>
      <x:c r="J1182" s="2" t="str">
        <x:v>250.0</x:v>
      </x:c>
      <x:c r="K1182" s="2" t="str">
        <x:v>2</x:v>
      </x:c>
      <x:c r="L1182" s="2" t="str">
        <x:v>3</x:v>
      </x:c>
      <x:c r="M1182" s="2" t="str">
        <x:v>2</x:v>
      </x:c>
      <x:c r="N1182" s="2" t="str">
        <x:v>1</x:v>
      </x:c>
      <x:c r="O1182" s="2" t="str">
        <x:v>0</x:v>
      </x:c>
      <x:c r="P1182" s="2" t="str">
        <x:v>true</x:v>
      </x:c>
      <x:c r="Q1182" s="2" t="str">
        <x:v>-8.453134583;-8.453134583</x:v>
      </x:c>
      <x:c r="R1182" s="2" t="str">
        <x:v>0.4378750018076971</x:v>
      </x:c>
      <x:c r="S1182" s="2" t="str">
        <x:v>46.44319641792558</x:v>
      </x:c>
    </x:row>
    <x:row r="1183">
      <x:c r="A1183" s="2" t="str">
        <x:v>DE-CMP-01</x:v>
      </x:c>
      <x:c r="B1183" s="2" t="str">
        <x:v>CFG-C01</x:v>
      </x:c>
      <x:c r="C1183" s="2" t="n">
        <x:v>46227.70238086805</x:v>
      </x:c>
      <x:c r="D1183" s="2" t="str">
        <x:v>os_cfar</x:v>
      </x:c>
      <x:c r="E1183" s="2" t="str">
        <x:v>closely_spaced_carriers</x:v>
      </x:c>
      <x:c r="F1183" s="2" t="str">
        <x:v>591</x:v>
      </x:c>
      <x:c r="G1183" s="2" t="str">
        <x:v>3154294</x:v>
      </x:c>
      <x:c r="H1183" s="2" t="str">
        <x:v>2048000.0</x:v>
      </x:c>
      <x:c r="I1183" s="2" t="str">
        <x:v>8192</x:v>
      </x:c>
      <x:c r="J1183" s="2" t="str">
        <x:v>250.0</x:v>
      </x:c>
      <x:c r="K1183" s="2" t="str">
        <x:v>2</x:v>
      </x:c>
      <x:c r="L1183" s="2" t="str">
        <x:v>3</x:v>
      </x:c>
      <x:c r="M1183" s="2" t="str">
        <x:v>2</x:v>
      </x:c>
      <x:c r="N1183" s="2" t="str">
        <x:v>1</x:v>
      </x:c>
      <x:c r="O1183" s="2" t="str">
        <x:v>0</x:v>
      </x:c>
      <x:c r="P1183" s="2" t="str">
        <x:v>true</x:v>
      </x:c>
      <x:c r="Q1183" s="2" t="str">
        <x:v>-8.453134583;-8.453134583</x:v>
      </x:c>
      <x:c r="R1183" s="2" t="str">
        <x:v>13.85879100416787</x:v>
      </x:c>
      <x:c r="S1183" s="2" t="str">
        <x:v>48.13075433653873</x:v>
      </x:c>
    </x:row>
    <x:row r="1184">
      <x:c r="A1184" s="2" t="str">
        <x:v>DE-CMP-01</x:v>
      </x:c>
      <x:c r="B1184" s="2" t="str">
        <x:v>CFG-C01</x:v>
      </x:c>
      <x:c r="C1184" s="2" t="n">
        <x:v>46227.70238086805</x:v>
      </x:c>
      <x:c r="D1184" s="2" t="str">
        <x:v>os_cfar</x:v>
      </x:c>
      <x:c r="E1184" s="2" t="str">
        <x:v>closely_spaced_carriers</x:v>
      </x:c>
      <x:c r="F1184" s="2" t="str">
        <x:v>592</x:v>
      </x:c>
      <x:c r="G1184" s="2" t="str">
        <x:v>3154295</x:v>
      </x:c>
      <x:c r="H1184" s="2" t="str">
        <x:v>2048000.0</x:v>
      </x:c>
      <x:c r="I1184" s="2" t="str">
        <x:v>8192</x:v>
      </x:c>
      <x:c r="J1184" s="2" t="str">
        <x:v>250.0</x:v>
      </x:c>
      <x:c r="K1184" s="2" t="str">
        <x:v>2</x:v>
      </x:c>
      <x:c r="L1184" s="2" t="str">
        <x:v>3</x:v>
      </x:c>
      <x:c r="M1184" s="2" t="str">
        <x:v>2</x:v>
      </x:c>
      <x:c r="N1184" s="2" t="str">
        <x:v>1</x:v>
      </x:c>
      <x:c r="O1184" s="2" t="str">
        <x:v>0</x:v>
      </x:c>
      <x:c r="P1184" s="2" t="str">
        <x:v>true</x:v>
      </x:c>
      <x:c r="Q1184" s="2" t="str">
        <x:v>114.575623337;114.575623337</x:v>
      </x:c>
      <x:c r="R1184" s="2" t="str">
        <x:v>14.14233299146872</x:v>
      </x:c>
      <x:c r="S1184" s="2" t="str">
        <x:v>48.109961664902016</x:v>
      </x:c>
    </x:row>
    <x:row r="1185">
      <x:c r="A1185" s="2" t="str">
        <x:v>DE-CMP-01</x:v>
      </x:c>
      <x:c r="B1185" s="2" t="str">
        <x:v>CFG-C01</x:v>
      </x:c>
      <x:c r="C1185" s="2" t="n">
        <x:v>46227.70238086805</x:v>
      </x:c>
      <x:c r="D1185" s="2" t="str">
        <x:v>adaptive</x:v>
      </x:c>
      <x:c r="E1185" s="2" t="str">
        <x:v>closely_spaced_carriers</x:v>
      </x:c>
      <x:c r="F1185" s="2" t="str">
        <x:v>592</x:v>
      </x:c>
      <x:c r="G1185" s="2" t="str">
        <x:v>3154295</x:v>
      </x:c>
      <x:c r="H1185" s="2" t="str">
        <x:v>2048000.0</x:v>
      </x:c>
      <x:c r="I1185" s="2" t="str">
        <x:v>8192</x:v>
      </x:c>
      <x:c r="J1185" s="2" t="str">
        <x:v>250.0</x:v>
      </x:c>
      <x:c r="K1185" s="2" t="str">
        <x:v>2</x:v>
      </x:c>
      <x:c r="L1185" s="2" t="str">
        <x:v>3</x:v>
      </x:c>
      <x:c r="M1185" s="2" t="str">
        <x:v>2</x:v>
      </x:c>
      <x:c r="N1185" s="2" t="str">
        <x:v>1</x:v>
      </x:c>
      <x:c r="O1185" s="2" t="str">
        <x:v>0</x:v>
      </x:c>
      <x:c r="P1185" s="2" t="str">
        <x:v>true</x:v>
      </x:c>
      <x:c r="Q1185" s="2" t="str">
        <x:v>114.575623337;114.575623337</x:v>
      </x:c>
      <x:c r="R1185" s="2" t="str">
        <x:v>0.44183299178257585</x:v>
      </x:c>
      <x:c r="S1185" s="2" t="str">
        <x:v>46.49151597584652</x:v>
      </x:c>
    </x:row>
    <x:row r="1186">
      <x:c r="A1186" s="2" t="str">
        <x:v>DE-CMP-01</x:v>
      </x:c>
      <x:c r="B1186" s="2" t="str">
        <x:v>CFG-C01</x:v>
      </x:c>
      <x:c r="C1186" s="2" t="n">
        <x:v>46227.70238086805</x:v>
      </x:c>
      <x:c r="D1186" s="2" t="str">
        <x:v>adaptive</x:v>
      </x:c>
      <x:c r="E1186" s="2" t="str">
        <x:v>closely_spaced_carriers</x:v>
      </x:c>
      <x:c r="F1186" s="2" t="str">
        <x:v>593</x:v>
      </x:c>
      <x:c r="G1186" s="2" t="str">
        <x:v>3154296</x:v>
      </x:c>
      <x:c r="H1186" s="2" t="str">
        <x:v>2048000.0</x:v>
      </x:c>
      <x:c r="I1186" s="2" t="str">
        <x:v>8192</x:v>
      </x:c>
      <x:c r="J1186" s="2" t="str">
        <x:v>250.0</x:v>
      </x:c>
      <x:c r="K1186" s="2" t="str">
        <x:v>2</x:v>
      </x:c>
      <x:c r="L1186" s="2" t="str">
        <x:v>3</x:v>
      </x:c>
      <x:c r="M1186" s="2" t="str">
        <x:v>2</x:v>
      </x:c>
      <x:c r="N1186" s="2" t="str">
        <x:v>1</x:v>
      </x:c>
      <x:c r="O1186" s="2" t="str">
        <x:v>0</x:v>
      </x:c>
      <x:c r="P1186" s="2" t="str">
        <x:v>true</x:v>
      </x:c>
      <x:c r="Q1186" s="2" t="str">
        <x:v>105.917810386;105.917810386</x:v>
      </x:c>
      <x:c r="R1186" s="2" t="str">
        <x:v>0.4142079997109249</x:v>
      </x:c>
      <x:c r="S1186" s="2" t="str">
        <x:v>46.66975118972748</x:v>
      </x:c>
    </x:row>
    <x:row r="1187">
      <x:c r="A1187" s="2" t="str">
        <x:v>DE-CMP-01</x:v>
      </x:c>
      <x:c r="B1187" s="2" t="str">
        <x:v>CFG-C01</x:v>
      </x:c>
      <x:c r="C1187" s="2" t="n">
        <x:v>46227.70238086805</x:v>
      </x:c>
      <x:c r="D1187" s="2" t="str">
        <x:v>os_cfar</x:v>
      </x:c>
      <x:c r="E1187" s="2" t="str">
        <x:v>closely_spaced_carriers</x:v>
      </x:c>
      <x:c r="F1187" s="2" t="str">
        <x:v>593</x:v>
      </x:c>
      <x:c r="G1187" s="2" t="str">
        <x:v>3154296</x:v>
      </x:c>
      <x:c r="H1187" s="2" t="str">
        <x:v>2048000.0</x:v>
      </x:c>
      <x:c r="I1187" s="2" t="str">
        <x:v>8192</x:v>
      </x:c>
      <x:c r="J1187" s="2" t="str">
        <x:v>250.0</x:v>
      </x:c>
      <x:c r="K1187" s="2" t="str">
        <x:v>2</x:v>
      </x:c>
      <x:c r="L1187" s="2" t="str">
        <x:v>3</x:v>
      </x:c>
      <x:c r="M1187" s="2" t="str">
        <x:v>2</x:v>
      </x:c>
      <x:c r="N1187" s="2" t="str">
        <x:v>1</x:v>
      </x:c>
      <x:c r="O1187" s="2" t="str">
        <x:v>0</x:v>
      </x:c>
      <x:c r="P1187" s="2" t="str">
        <x:v>true</x:v>
      </x:c>
      <x:c r="Q1187" s="2" t="str">
        <x:v>105.917810386;105.917810386</x:v>
      </x:c>
      <x:c r="R1187" s="2" t="str">
        <x:v>14.052541999262758</x:v>
      </x:c>
      <x:c r="S1187" s="2" t="str">
        <x:v>48.344955755235446</x:v>
      </x:c>
    </x:row>
    <x:row r="1188">
      <x:c r="A1188" s="2" t="str">
        <x:v>DE-CMP-01</x:v>
      </x:c>
      <x:c r="B1188" s="2" t="str">
        <x:v>CFG-C01</x:v>
      </x:c>
      <x:c r="C1188" s="2" t="n">
        <x:v>46227.70238086805</x:v>
      </x:c>
      <x:c r="D1188" s="2" t="str">
        <x:v>os_cfar</x:v>
      </x:c>
      <x:c r="E1188" s="2" t="str">
        <x:v>closely_spaced_carriers</x:v>
      </x:c>
      <x:c r="F1188" s="2" t="str">
        <x:v>594</x:v>
      </x:c>
      <x:c r="G1188" s="2" t="str">
        <x:v>3154297</x:v>
      </x:c>
      <x:c r="H1188" s="2" t="str">
        <x:v>2048000.0</x:v>
      </x:c>
      <x:c r="I1188" s="2" t="str">
        <x:v>8192</x:v>
      </x:c>
      <x:c r="J1188" s="2" t="str">
        <x:v>250.0</x:v>
      </x:c>
      <x:c r="K1188" s="2" t="str">
        <x:v>2</x:v>
      </x:c>
      <x:c r="L1188" s="2" t="str">
        <x:v>3</x:v>
      </x:c>
      <x:c r="M1188" s="2" t="str">
        <x:v>2</x:v>
      </x:c>
      <x:c r="N1188" s="2" t="str">
        <x:v>1</x:v>
      </x:c>
      <x:c r="O1188" s="2" t="str">
        <x:v>0</x:v>
      </x:c>
      <x:c r="P1188" s="2" t="str">
        <x:v>true</x:v>
      </x:c>
      <x:c r="Q1188" s="2" t="str">
        <x:v>47.728921923;47.728921923</x:v>
      </x:c>
      <x:c r="R1188" s="2" t="str">
        <x:v>14.2597499943804</x:v>
      </x:c>
      <x:c r="S1188" s="2" t="str">
        <x:v>48.31093669145841</x:v>
      </x:c>
    </x:row>
    <x:row r="1189">
      <x:c r="A1189" s="2" t="str">
        <x:v>DE-CMP-01</x:v>
      </x:c>
      <x:c r="B1189" s="2" t="str">
        <x:v>CFG-C01</x:v>
      </x:c>
      <x:c r="C1189" s="2" t="n">
        <x:v>46227.70238086805</x:v>
      </x:c>
      <x:c r="D1189" s="2" t="str">
        <x:v>adaptive</x:v>
      </x:c>
      <x:c r="E1189" s="2" t="str">
        <x:v>closely_spaced_carriers</x:v>
      </x:c>
      <x:c r="F1189" s="2" t="str">
        <x:v>594</x:v>
      </x:c>
      <x:c r="G1189" s="2" t="str">
        <x:v>3154297</x:v>
      </x:c>
      <x:c r="H1189" s="2" t="str">
        <x:v>2048000.0</x:v>
      </x:c>
      <x:c r="I1189" s="2" t="str">
        <x:v>8192</x:v>
      </x:c>
      <x:c r="J1189" s="2" t="str">
        <x:v>250.0</x:v>
      </x:c>
      <x:c r="K1189" s="2" t="str">
        <x:v>2</x:v>
      </x:c>
      <x:c r="L1189" s="2" t="str">
        <x:v>3</x:v>
      </x:c>
      <x:c r="M1189" s="2" t="str">
        <x:v>2</x:v>
      </x:c>
      <x:c r="N1189" s="2" t="str">
        <x:v>1</x:v>
      </x:c>
      <x:c r="O1189" s="2" t="str">
        <x:v>0</x:v>
      </x:c>
      <x:c r="P1189" s="2" t="str">
        <x:v>true</x:v>
      </x:c>
      <x:c r="Q1189" s="2" t="str">
        <x:v>47.728921923;47.728921923</x:v>
      </x:c>
      <x:c r="R1189" s="2" t="str">
        <x:v>0.4525420081336051</x:v>
      </x:c>
      <x:c r="S1189" s="2" t="str">
        <x:v>46.405869557940264</x:v>
      </x:c>
    </x:row>
    <x:row r="1190">
      <x:c r="A1190" s="2" t="str">
        <x:v>DE-CMP-01</x:v>
      </x:c>
      <x:c r="B1190" s="2" t="str">
        <x:v>CFG-C01</x:v>
      </x:c>
      <x:c r="C1190" s="2" t="n">
        <x:v>46227.70238086805</x:v>
      </x:c>
      <x:c r="D1190" s="2" t="str">
        <x:v>adaptive</x:v>
      </x:c>
      <x:c r="E1190" s="2" t="str">
        <x:v>closely_spaced_carriers</x:v>
      </x:c>
      <x:c r="F1190" s="2" t="str">
        <x:v>595</x:v>
      </x:c>
      <x:c r="G1190" s="2" t="str">
        <x:v>3154298</x:v>
      </x:c>
      <x:c r="H1190" s="2" t="str">
        <x:v>2048000.0</x:v>
      </x:c>
      <x:c r="I1190" s="2" t="str">
        <x:v>8192</x:v>
      </x:c>
      <x:c r="J1190" s="2" t="str">
        <x:v>250.0</x:v>
      </x:c>
      <x:c r="K1190" s="2" t="str">
        <x:v>2</x:v>
      </x:c>
      <x:c r="L1190" s="2" t="str">
        <x:v>3</x:v>
      </x:c>
      <x:c r="M1190" s="2" t="str">
        <x:v>2</x:v>
      </x:c>
      <x:c r="N1190" s="2" t="str">
        <x:v>1</x:v>
      </x:c>
      <x:c r="O1190" s="2" t="str">
        <x:v>0</x:v>
      </x:c>
      <x:c r="P1190" s="2" t="str">
        <x:v>true</x:v>
      </x:c>
      <x:c r="Q1190" s="2" t="str">
        <x:v>-21.623231512;-21.623231512</x:v>
      </x:c>
      <x:c r="R1190" s="2" t="str">
        <x:v>0.447209007688798</x:v>
      </x:c>
      <x:c r="S1190" s="2" t="str">
        <x:v>46.425966785538016</x:v>
      </x:c>
    </x:row>
    <x:row r="1191">
      <x:c r="A1191" s="2" t="str">
        <x:v>DE-CMP-01</x:v>
      </x:c>
      <x:c r="B1191" s="2" t="str">
        <x:v>CFG-C01</x:v>
      </x:c>
      <x:c r="C1191" s="2" t="n">
        <x:v>46227.70238086805</x:v>
      </x:c>
      <x:c r="D1191" s="2" t="str">
        <x:v>os_cfar</x:v>
      </x:c>
      <x:c r="E1191" s="2" t="str">
        <x:v>closely_spaced_carriers</x:v>
      </x:c>
      <x:c r="F1191" s="2" t="str">
        <x:v>595</x:v>
      </x:c>
      <x:c r="G1191" s="2" t="str">
        <x:v>3154298</x:v>
      </x:c>
      <x:c r="H1191" s="2" t="str">
        <x:v>2048000.0</x:v>
      </x:c>
      <x:c r="I1191" s="2" t="str">
        <x:v>8192</x:v>
      </x:c>
      <x:c r="J1191" s="2" t="str">
        <x:v>250.0</x:v>
      </x:c>
      <x:c r="K1191" s="2" t="str">
        <x:v>2</x:v>
      </x:c>
      <x:c r="L1191" s="2" t="str">
        <x:v>3</x:v>
      </x:c>
      <x:c r="M1191" s="2" t="str">
        <x:v>2</x:v>
      </x:c>
      <x:c r="N1191" s="2" t="str">
        <x:v>1</x:v>
      </x:c>
      <x:c r="O1191" s="2" t="str">
        <x:v>0</x:v>
      </x:c>
      <x:c r="P1191" s="2" t="str">
        <x:v>true</x:v>
      </x:c>
      <x:c r="Q1191" s="2" t="str">
        <x:v>-21.623231512;-21.623231512</x:v>
      </x:c>
      <x:c r="R1191" s="2" t="str">
        <x:v>13.978208997286856</x:v>
      </x:c>
      <x:c r="S1191" s="2" t="str">
        <x:v>48.2001762128599</x:v>
      </x:c>
    </x:row>
    <x:row r="1192">
      <x:c r="A1192" s="2" t="str">
        <x:v>DE-CMP-01</x:v>
      </x:c>
      <x:c r="B1192" s="2" t="str">
        <x:v>CFG-C01</x:v>
      </x:c>
      <x:c r="C1192" s="2" t="n">
        <x:v>46227.70238086805</x:v>
      </x:c>
      <x:c r="D1192" s="2" t="str">
        <x:v>os_cfar</x:v>
      </x:c>
      <x:c r="E1192" s="2" t="str">
        <x:v>closely_spaced_carriers</x:v>
      </x:c>
      <x:c r="F1192" s="2" t="str">
        <x:v>596</x:v>
      </x:c>
      <x:c r="G1192" s="2" t="str">
        <x:v>3154299</x:v>
      </x:c>
      <x:c r="H1192" s="2" t="str">
        <x:v>2048000.0</x:v>
      </x:c>
      <x:c r="I1192" s="2" t="str">
        <x:v>8192</x:v>
      </x:c>
      <x:c r="J1192" s="2" t="str">
        <x:v>250.0</x:v>
      </x:c>
      <x:c r="K1192" s="2" t="str">
        <x:v>2</x:v>
      </x:c>
      <x:c r="L1192" s="2" t="str">
        <x:v>3</x:v>
      </x:c>
      <x:c r="M1192" s="2" t="str">
        <x:v>2</x:v>
      </x:c>
      <x:c r="N1192" s="2" t="str">
        <x:v>1</x:v>
      </x:c>
      <x:c r="O1192" s="2" t="str">
        <x:v>0</x:v>
      </x:c>
      <x:c r="P1192" s="2" t="str">
        <x:v>true</x:v>
      </x:c>
      <x:c r="Q1192" s="2" t="str">
        <x:v>-58.324446413;-58.324446413</x:v>
      </x:c>
      <x:c r="R1192" s="2" t="str">
        <x:v>13.696458991034888</x:v>
      </x:c>
      <x:c r="S1192" s="2" t="str">
        <x:v>48.26682756582473</x:v>
      </x:c>
    </x:row>
    <x:row r="1193">
      <x:c r="A1193" s="2" t="str">
        <x:v>DE-CMP-01</x:v>
      </x:c>
      <x:c r="B1193" s="2" t="str">
        <x:v>CFG-C01</x:v>
      </x:c>
      <x:c r="C1193" s="2" t="n">
        <x:v>46227.70238086805</x:v>
      </x:c>
      <x:c r="D1193" s="2" t="str">
        <x:v>adaptive</x:v>
      </x:c>
      <x:c r="E1193" s="2" t="str">
        <x:v>closely_spaced_carriers</x:v>
      </x:c>
      <x:c r="F1193" s="2" t="str">
        <x:v>596</x:v>
      </x:c>
      <x:c r="G1193" s="2" t="str">
        <x:v>3154299</x:v>
      </x:c>
      <x:c r="H1193" s="2" t="str">
        <x:v>2048000.0</x:v>
      </x:c>
      <x:c r="I1193" s="2" t="str">
        <x:v>8192</x:v>
      </x:c>
      <x:c r="J1193" s="2" t="str">
        <x:v>250.0</x:v>
      </x:c>
      <x:c r="K1193" s="2" t="str">
        <x:v>2</x:v>
      </x:c>
      <x:c r="L1193" s="2" t="str">
        <x:v>3</x:v>
      </x:c>
      <x:c r="M1193" s="2" t="str">
        <x:v>2</x:v>
      </x:c>
      <x:c r="N1193" s="2" t="str">
        <x:v>1</x:v>
      </x:c>
      <x:c r="O1193" s="2" t="str">
        <x:v>0</x:v>
      </x:c>
      <x:c r="P1193" s="2" t="str">
        <x:v>true</x:v>
      </x:c>
      <x:c r="Q1193" s="2" t="str">
        <x:v>-58.324446413;-58.324446413</x:v>
      </x:c>
      <x:c r="R1193" s="2" t="str">
        <x:v>0.4284169990569353</x:v>
      </x:c>
      <x:c r="S1193" s="2" t="str">
        <x:v>46.52648687562681</x:v>
      </x:c>
    </x:row>
    <x:row r="1194">
      <x:c r="A1194" s="2" t="str">
        <x:v>DE-CMP-01</x:v>
      </x:c>
      <x:c r="B1194" s="2" t="str">
        <x:v>CFG-C01</x:v>
      </x:c>
      <x:c r="C1194" s="2" t="n">
        <x:v>46227.70238086805</x:v>
      </x:c>
      <x:c r="D1194" s="2" t="str">
        <x:v>adaptive</x:v>
      </x:c>
      <x:c r="E1194" s="2" t="str">
        <x:v>closely_spaced_carriers</x:v>
      </x:c>
      <x:c r="F1194" s="2" t="str">
        <x:v>597</x:v>
      </x:c>
      <x:c r="G1194" s="2" t="str">
        <x:v>3154300</x:v>
      </x:c>
      <x:c r="H1194" s="2" t="str">
        <x:v>2048000.0</x:v>
      </x:c>
      <x:c r="I1194" s="2" t="str">
        <x:v>8192</x:v>
      </x:c>
      <x:c r="J1194" s="2" t="str">
        <x:v>250.0</x:v>
      </x:c>
      <x:c r="K1194" s="2" t="str">
        <x:v>2</x:v>
      </x:c>
      <x:c r="L1194" s="2" t="str">
        <x:v>3</x:v>
      </x:c>
      <x:c r="M1194" s="2" t="str">
        <x:v>2</x:v>
      </x:c>
      <x:c r="N1194" s="2" t="str">
        <x:v>1</x:v>
      </x:c>
      <x:c r="O1194" s="2" t="str">
        <x:v>0</x:v>
      </x:c>
      <x:c r="P1194" s="2" t="str">
        <x:v>true</x:v>
      </x:c>
      <x:c r="Q1194" s="2" t="str">
        <x:v>104.024685942;104.024685942</x:v>
      </x:c>
      <x:c r="R1194" s="2" t="str">
        <x:v>0.42741700599435717</x:v>
      </x:c>
      <x:c r="S1194" s="2" t="str">
        <x:v>46.41989442572061</x:v>
      </x:c>
    </x:row>
    <x:row r="1195">
      <x:c r="A1195" s="2" t="str">
        <x:v>DE-CMP-01</x:v>
      </x:c>
      <x:c r="B1195" s="2" t="str">
        <x:v>CFG-C01</x:v>
      </x:c>
      <x:c r="C1195" s="2" t="n">
        <x:v>46227.70238086805</x:v>
      </x:c>
      <x:c r="D1195" s="2" t="str">
        <x:v>os_cfar</x:v>
      </x:c>
      <x:c r="E1195" s="2" t="str">
        <x:v>closely_spaced_carriers</x:v>
      </x:c>
      <x:c r="F1195" s="2" t="str">
        <x:v>597</x:v>
      </x:c>
      <x:c r="G1195" s="2" t="str">
        <x:v>3154300</x:v>
      </x:c>
      <x:c r="H1195" s="2" t="str">
        <x:v>2048000.0</x:v>
      </x:c>
      <x:c r="I1195" s="2" t="str">
        <x:v>8192</x:v>
      </x:c>
      <x:c r="J1195" s="2" t="str">
        <x:v>250.0</x:v>
      </x:c>
      <x:c r="K1195" s="2" t="str">
        <x:v>2</x:v>
      </x:c>
      <x:c r="L1195" s="2" t="str">
        <x:v>3</x:v>
      </x:c>
      <x:c r="M1195" s="2" t="str">
        <x:v>2</x:v>
      </x:c>
      <x:c r="N1195" s="2" t="str">
        <x:v>1</x:v>
      </x:c>
      <x:c r="O1195" s="2" t="str">
        <x:v>0</x:v>
      </x:c>
      <x:c r="P1195" s="2" t="str">
        <x:v>true</x:v>
      </x:c>
      <x:c r="Q1195" s="2" t="str">
        <x:v>104.024685942;104.024685942</x:v>
      </x:c>
      <x:c r="R1195" s="2" t="str">
        <x:v>13.864290987839922</x:v>
      </x:c>
      <x:c r="S1195" s="2" t="str">
        <x:v>48.197483296317074</x:v>
      </x:c>
    </x:row>
    <x:row r="1196">
      <x:c r="A1196" s="2" t="str">
        <x:v>DE-CMP-01</x:v>
      </x:c>
      <x:c r="B1196" s="2" t="str">
        <x:v>CFG-C01</x:v>
      </x:c>
      <x:c r="C1196" s="2" t="n">
        <x:v>46227.70238086805</x:v>
      </x:c>
      <x:c r="D1196" s="2" t="str">
        <x:v>os_cfar</x:v>
      </x:c>
      <x:c r="E1196" s="2" t="str">
        <x:v>closely_spaced_carriers</x:v>
      </x:c>
      <x:c r="F1196" s="2" t="str">
        <x:v>598</x:v>
      </x:c>
      <x:c r="G1196" s="2" t="str">
        <x:v>3154301</x:v>
      </x:c>
      <x:c r="H1196" s="2" t="str">
        <x:v>2048000.0</x:v>
      </x:c>
      <x:c r="I1196" s="2" t="str">
        <x:v>8192</x:v>
      </x:c>
      <x:c r="J1196" s="2" t="str">
        <x:v>250.0</x:v>
      </x:c>
      <x:c r="K1196" s="2" t="str">
        <x:v>2</x:v>
      </x:c>
      <x:c r="L1196" s="2" t="str">
        <x:v>3</x:v>
      </x:c>
      <x:c r="M1196" s="2" t="str">
        <x:v>2</x:v>
      </x:c>
      <x:c r="N1196" s="2" t="str">
        <x:v>1</x:v>
      </x:c>
      <x:c r="O1196" s="2" t="str">
        <x:v>0</x:v>
      </x:c>
      <x:c r="P1196" s="2" t="str">
        <x:v>true</x:v>
      </x:c>
      <x:c r="Q1196" s="2" t="str">
        <x:v>-38.004591492;-38.004591492</x:v>
      </x:c>
      <x:c r="R1196" s="2" t="str">
        <x:v>14.06587500241585</x:v>
      </x:c>
      <x:c r="S1196" s="2" t="str">
        <x:v>48.117103150820085</x:v>
      </x:c>
    </x:row>
    <x:row r="1197">
      <x:c r="A1197" s="2" t="str">
        <x:v>DE-CMP-01</x:v>
      </x:c>
      <x:c r="B1197" s="2" t="str">
        <x:v>CFG-C01</x:v>
      </x:c>
      <x:c r="C1197" s="2" t="n">
        <x:v>46227.70238086805</x:v>
      </x:c>
      <x:c r="D1197" s="2" t="str">
        <x:v>adaptive</x:v>
      </x:c>
      <x:c r="E1197" s="2" t="str">
        <x:v>closely_spaced_carriers</x:v>
      </x:c>
      <x:c r="F1197" s="2" t="str">
        <x:v>598</x:v>
      </x:c>
      <x:c r="G1197" s="2" t="str">
        <x:v>3154301</x:v>
      </x:c>
      <x:c r="H1197" s="2" t="str">
        <x:v>2048000.0</x:v>
      </x:c>
      <x:c r="I1197" s="2" t="str">
        <x:v>8192</x:v>
      </x:c>
      <x:c r="J1197" s="2" t="str">
        <x:v>250.0</x:v>
      </x:c>
      <x:c r="K1197" s="2" t="str">
        <x:v>2</x:v>
      </x:c>
      <x:c r="L1197" s="2" t="str">
        <x:v>3</x:v>
      </x:c>
      <x:c r="M1197" s="2" t="str">
        <x:v>2</x:v>
      </x:c>
      <x:c r="N1197" s="2" t="str">
        <x:v>1</x:v>
      </x:c>
      <x:c r="O1197" s="2" t="str">
        <x:v>0</x:v>
      </x:c>
      <x:c r="P1197" s="2" t="str">
        <x:v>true</x:v>
      </x:c>
      <x:c r="Q1197" s="2" t="str">
        <x:v>-38.004591492;-38.004591492</x:v>
      </x:c>
      <x:c r="R1197" s="2" t="str">
        <x:v>0.42050000047311187</x:v>
      </x:c>
      <x:c r="S1197" s="2" t="str">
        <x:v>46.36182822597962</x:v>
      </x:c>
    </x:row>
    <x:row r="1198">
      <x:c r="A1198" s="2" t="str">
        <x:v>DE-CMP-01</x:v>
      </x:c>
      <x:c r="B1198" s="2" t="str">
        <x:v>CFG-C01</x:v>
      </x:c>
      <x:c r="C1198" s="2" t="n">
        <x:v>46227.70238086805</x:v>
      </x:c>
      <x:c r="D1198" s="2" t="str">
        <x:v>adaptive</x:v>
      </x:c>
      <x:c r="E1198" s="2" t="str">
        <x:v>closely_spaced_carriers</x:v>
      </x:c>
      <x:c r="F1198" s="2" t="str">
        <x:v>599</x:v>
      </x:c>
      <x:c r="G1198" s="2" t="str">
        <x:v>3154302</x:v>
      </x:c>
      <x:c r="H1198" s="2" t="str">
        <x:v>2048000.0</x:v>
      </x:c>
      <x:c r="I1198" s="2" t="str">
        <x:v>8192</x:v>
      </x:c>
      <x:c r="J1198" s="2" t="str">
        <x:v>250.0</x:v>
      </x:c>
      <x:c r="K1198" s="2" t="str">
        <x:v>2</x:v>
      </x:c>
      <x:c r="L1198" s="2" t="str">
        <x:v>3</x:v>
      </x:c>
      <x:c r="M1198" s="2" t="str">
        <x:v>2</x:v>
      </x:c>
      <x:c r="N1198" s="2" t="str">
        <x:v>1</x:v>
      </x:c>
      <x:c r="O1198" s="2" t="str">
        <x:v>0</x:v>
      </x:c>
      <x:c r="P1198" s="2" t="str">
        <x:v>true</x:v>
      </x:c>
      <x:c r="Q1198" s="2" t="str">
        <x:v>-68.029360827;-68.029360827</x:v>
      </x:c>
      <x:c r="R1198" s="2" t="str">
        <x:v>0.4096670018043369</x:v>
      </x:c>
      <x:c r="S1198" s="2" t="str">
        <x:v>46.50454339378633</x:v>
      </x:c>
    </x:row>
    <x:row r="1199">
      <x:c r="A1199" s="2" t="str">
        <x:v>DE-CMP-01</x:v>
      </x:c>
      <x:c r="B1199" s="2" t="str">
        <x:v>CFG-C01</x:v>
      </x:c>
      <x:c r="C1199" s="2" t="n">
        <x:v>46227.70238086805</x:v>
      </x:c>
      <x:c r="D1199" s="2" t="str">
        <x:v>os_cfar</x:v>
      </x:c>
      <x:c r="E1199" s="2" t="str">
        <x:v>closely_spaced_carriers</x:v>
      </x:c>
      <x:c r="F1199" s="2" t="str">
        <x:v>599</x:v>
      </x:c>
      <x:c r="G1199" s="2" t="str">
        <x:v>3154302</x:v>
      </x:c>
      <x:c r="H1199" s="2" t="str">
        <x:v>2048000.0</x:v>
      </x:c>
      <x:c r="I1199" s="2" t="str">
        <x:v>8192</x:v>
      </x:c>
      <x:c r="J1199" s="2" t="str">
        <x:v>250.0</x:v>
      </x:c>
      <x:c r="K1199" s="2" t="str">
        <x:v>2</x:v>
      </x:c>
      <x:c r="L1199" s="2" t="str">
        <x:v>3</x:v>
      </x:c>
      <x:c r="M1199" s="2" t="str">
        <x:v>2</x:v>
      </x:c>
      <x:c r="N1199" s="2" t="str">
        <x:v>1</x:v>
      </x:c>
      <x:c r="O1199" s="2" t="str">
        <x:v>0</x:v>
      </x:c>
      <x:c r="P1199" s="2" t="str">
        <x:v>true</x:v>
      </x:c>
      <x:c r="Q1199" s="2" t="str">
        <x:v>-68.029360827;-68.029360827</x:v>
      </x:c>
      <x:c r="R1199" s="2" t="str">
        <x:v>13.936375005869195</x:v>
      </x:c>
      <x:c r="S1199" s="2" t="str">
        <x:v>48.27156290285808</x:v>
      </x:c>
    </x:row>
    <x:row r="1200">
      <x:c r="A1200" s="2" t="str">
        <x:v>DE-CMP-01</x:v>
      </x:c>
      <x:c r="B1200" s="2" t="str">
        <x:v>CFG-C01</x:v>
      </x:c>
      <x:c r="C1200" s="2" t="n">
        <x:v>46227.70238086805</x:v>
      </x:c>
      <x:c r="D1200" s="2" t="str">
        <x:v>os_cfar</x:v>
      </x:c>
      <x:c r="E1200" s="2" t="str">
        <x:v>closely_spaced_carriers</x:v>
      </x:c>
      <x:c r="F1200" s="2" t="str">
        <x:v>600</x:v>
      </x:c>
      <x:c r="G1200" s="2" t="str">
        <x:v>3154303</x:v>
      </x:c>
      <x:c r="H1200" s="2" t="str">
        <x:v>2048000.0</x:v>
      </x:c>
      <x:c r="I1200" s="2" t="str">
        <x:v>8192</x:v>
      </x:c>
      <x:c r="J1200" s="2" t="str">
        <x:v>250.0</x:v>
      </x:c>
      <x:c r="K1200" s="2" t="str">
        <x:v>2</x:v>
      </x:c>
      <x:c r="L1200" s="2" t="str">
        <x:v>3</x:v>
      </x:c>
      <x:c r="M1200" s="2" t="str">
        <x:v>2</x:v>
      </x:c>
      <x:c r="N1200" s="2" t="str">
        <x:v>1</x:v>
      </x:c>
      <x:c r="O1200" s="2" t="str">
        <x:v>0</x:v>
      </x:c>
      <x:c r="P1200" s="2" t="str">
        <x:v>true</x:v>
      </x:c>
      <x:c r="Q1200" s="2" t="str">
        <x:v>-43.475180791;-43.475180791</x:v>
      </x:c>
      <x:c r="R1200" s="2" t="str">
        <x:v>13.96158299758099</x:v>
      </x:c>
      <x:c r="S1200" s="2" t="str">
        <x:v>48.19996043417534</x:v>
      </x:c>
    </x:row>
    <x:row r="1201">
      <x:c r="A1201" s="2" t="str">
        <x:v>DE-CMP-01</x:v>
      </x:c>
      <x:c r="B1201" s="2" t="str">
        <x:v>CFG-C01</x:v>
      </x:c>
      <x:c r="C1201" s="2" t="n">
        <x:v>46227.70238086805</x:v>
      </x:c>
      <x:c r="D1201" s="2" t="str">
        <x:v>adaptive</x:v>
      </x:c>
      <x:c r="E1201" s="2" t="str">
        <x:v>closely_spaced_carriers</x:v>
      </x:c>
      <x:c r="F1201" s="2" t="str">
        <x:v>600</x:v>
      </x:c>
      <x:c r="G1201" s="2" t="str">
        <x:v>3154303</x:v>
      </x:c>
      <x:c r="H1201" s="2" t="str">
        <x:v>2048000.0</x:v>
      </x:c>
      <x:c r="I1201" s="2" t="str">
        <x:v>8192</x:v>
      </x:c>
      <x:c r="J1201" s="2" t="str">
        <x:v>250.0</x:v>
      </x:c>
      <x:c r="K1201" s="2" t="str">
        <x:v>2</x:v>
      </x:c>
      <x:c r="L1201" s="2" t="str">
        <x:v>3</x:v>
      </x:c>
      <x:c r="M1201" s="2" t="str">
        <x:v>2</x:v>
      </x:c>
      <x:c r="N1201" s="2" t="str">
        <x:v>1</x:v>
      </x:c>
      <x:c r="O1201" s="2" t="str">
        <x:v>0</x:v>
      </x:c>
      <x:c r="P1201" s="2" t="str">
        <x:v>true</x:v>
      </x:c>
      <x:c r="Q1201" s="2" t="str">
        <x:v>-43.475180791;-43.475180791</x:v>
      </x:c>
      <x:c r="R1201" s="2" t="str">
        <x:v>0.4574589984258637</x:v>
      </x:c>
      <x:c r="S1201" s="2" t="str">
        <x:v>46.21893579357628</x:v>
      </x:c>
    </x:row>
    <x:row r="1202">
      <x:c r="A1202" s="2" t="str">
        <x:v>DE-CMP-01</x:v>
      </x:c>
      <x:c r="B1202" s="2" t="str">
        <x:v>CFG-C01</x:v>
      </x:c>
      <x:c r="C1202" s="2" t="n">
        <x:v>46227.70238086805</x:v>
      </x:c>
      <x:c r="D1202" s="2" t="str">
        <x:v>adaptive</x:v>
      </x:c>
      <x:c r="E1202" s="2" t="str">
        <x:v>variable_noise_floor</x:v>
      </x:c>
      <x:c r="F1202" s="2" t="str">
        <x:v>601</x:v>
      </x:c>
      <x:c r="G1202" s="2" t="str">
        <x:v>3164204</x:v>
      </x:c>
      <x:c r="H1202" s="2" t="str">
        <x:v>2048000.0</x:v>
      </x:c>
      <x:c r="I1202" s="2" t="str">
        <x:v>8192</x:v>
      </x:c>
      <x:c r="J1202" s="2" t="str">
        <x:v>250.0</x:v>
      </x:c>
      <x:c r="K1202" s="2" t="str">
        <x:v>1</x:v>
      </x:c>
      <x:c r="L1202" s="2" t="str">
        <x:v>3</x:v>
      </x:c>
      <x:c r="M1202" s="2" t="str">
        <x:v>1</x:v>
      </x:c>
      <x:c r="N1202" s="2" t="str">
        <x:v>2</x:v>
      </x:c>
      <x:c r="O1202" s="2" t="str">
        <x:v>0</x:v>
      </x:c>
      <x:c r="P1202" s="2" t="str">
        <x:v>true</x:v>
      </x:c>
      <x:c r="Q1202" s="2" t="str">
        <x:v>-115.096975296</x:v>
      </x:c>
      <x:c r="R1202" s="2" t="str">
        <x:v>0.44512499880511314</x:v>
      </x:c>
      <x:c r="S1202" s="2" t="str">
        <x:v>46.22654441175034</x:v>
      </x:c>
    </x:row>
    <x:row r="1203">
      <x:c r="A1203" s="2" t="str">
        <x:v>DE-CMP-01</x:v>
      </x:c>
      <x:c r="B1203" s="2" t="str">
        <x:v>CFG-C01</x:v>
      </x:c>
      <x:c r="C1203" s="2" t="n">
        <x:v>46227.70238086805</x:v>
      </x:c>
      <x:c r="D1203" s="2" t="str">
        <x:v>os_cfar</x:v>
      </x:c>
      <x:c r="E1203" s="2" t="str">
        <x:v>variable_noise_floor</x:v>
      </x:c>
      <x:c r="F1203" s="2" t="str">
        <x:v>601</x:v>
      </x:c>
      <x:c r="G1203" s="2" t="str">
        <x:v>3164204</x:v>
      </x:c>
      <x:c r="H1203" s="2" t="str">
        <x:v>2048000.0</x:v>
      </x:c>
      <x:c r="I1203" s="2" t="str">
        <x:v>8192</x:v>
      </x:c>
      <x:c r="J1203" s="2" t="str">
        <x:v>250.0</x:v>
      </x:c>
      <x:c r="K1203" s="2" t="str">
        <x:v>1</x:v>
      </x:c>
      <x:c r="L1203" s="2" t="str">
        <x:v>3</x:v>
      </x:c>
      <x:c r="M1203" s="2" t="str">
        <x:v>1</x:v>
      </x:c>
      <x:c r="N1203" s="2" t="str">
        <x:v>2</x:v>
      </x:c>
      <x:c r="O1203" s="2" t="str">
        <x:v>0</x:v>
      </x:c>
      <x:c r="P1203" s="2" t="str">
        <x:v>true</x:v>
      </x:c>
      <x:c r="Q1203" s="2" t="str">
        <x:v>-115.096975296</x:v>
      </x:c>
      <x:c r="R1203" s="2" t="str">
        <x:v>13.74345899967011</x:v>
      </x:c>
      <x:c r="S1203" s="2" t="str">
        <x:v>48.08980068647866</x:v>
      </x:c>
    </x:row>
    <x:row r="1204">
      <x:c r="A1204" s="2" t="str">
        <x:v>DE-CMP-01</x:v>
      </x:c>
      <x:c r="B1204" s="2" t="str">
        <x:v>CFG-C01</x:v>
      </x:c>
      <x:c r="C1204" s="2" t="n">
        <x:v>46227.70238086805</x:v>
      </x:c>
      <x:c r="D1204" s="2" t="str">
        <x:v>os_cfar</x:v>
      </x:c>
      <x:c r="E1204" s="2" t="str">
        <x:v>variable_noise_floor</x:v>
      </x:c>
      <x:c r="F1204" s="2" t="str">
        <x:v>602</x:v>
      </x:c>
      <x:c r="G1204" s="2" t="str">
        <x:v>3164205</x:v>
      </x:c>
      <x:c r="H1204" s="2" t="str">
        <x:v>2048000.0</x:v>
      </x:c>
      <x:c r="I1204" s="2" t="str">
        <x:v>8192</x:v>
      </x:c>
      <x:c r="J1204" s="2" t="str">
        <x:v>250.0</x:v>
      </x:c>
      <x:c r="K1204" s="2" t="str">
        <x:v>1</x:v>
      </x:c>
      <x:c r="L1204" s="2" t="str">
        <x:v>3</x:v>
      </x:c>
      <x:c r="M1204" s="2" t="str">
        <x:v>1</x:v>
      </x:c>
      <x:c r="N1204" s="2" t="str">
        <x:v>2</x:v>
      </x:c>
      <x:c r="O1204" s="2" t="str">
        <x:v>0</x:v>
      </x:c>
      <x:c r="P1204" s="2" t="str">
        <x:v>true</x:v>
      </x:c>
      <x:c r="Q1204" s="2" t="str">
        <x:v>41.105722920</x:v>
      </x:c>
      <x:c r="R1204" s="2" t="str">
        <x:v>13.844582994352095</x:v>
      </x:c>
      <x:c r="S1204" s="2" t="str">
        <x:v>47.88501423234473</x:v>
      </x:c>
    </x:row>
    <x:row r="1205">
      <x:c r="A1205" s="2" t="str">
        <x:v>DE-CMP-01</x:v>
      </x:c>
      <x:c r="B1205" s="2" t="str">
        <x:v>CFG-C01</x:v>
      </x:c>
      <x:c r="C1205" s="2" t="n">
        <x:v>46227.70238086805</x:v>
      </x:c>
      <x:c r="D1205" s="2" t="str">
        <x:v>adaptive</x:v>
      </x:c>
      <x:c r="E1205" s="2" t="str">
        <x:v>variable_noise_floor</x:v>
      </x:c>
      <x:c r="F1205" s="2" t="str">
        <x:v>602</x:v>
      </x:c>
      <x:c r="G1205" s="2" t="str">
        <x:v>3164205</x:v>
      </x:c>
      <x:c r="H1205" s="2" t="str">
        <x:v>2048000.0</x:v>
      </x:c>
      <x:c r="I1205" s="2" t="str">
        <x:v>8192</x:v>
      </x:c>
      <x:c r="J1205" s="2" t="str">
        <x:v>250.0</x:v>
      </x:c>
      <x:c r="K1205" s="2" t="str">
        <x:v>1</x:v>
      </x:c>
      <x:c r="L1205" s="2" t="str">
        <x:v>3</x:v>
      </x:c>
      <x:c r="M1205" s="2" t="str">
        <x:v>1</x:v>
      </x:c>
      <x:c r="N1205" s="2" t="str">
        <x:v>2</x:v>
      </x:c>
      <x:c r="O1205" s="2" t="str">
        <x:v>0</x:v>
      </x:c>
      <x:c r="P1205" s="2" t="str">
        <x:v>true</x:v>
      </x:c>
      <x:c r="Q1205" s="2" t="str">
        <x:v>41.105722920</x:v>
      </x:c>
      <x:c r="R1205" s="2" t="str">
        <x:v>0.40420799632556736</x:v>
      </x:c>
      <x:c r="S1205" s="2" t="str">
        <x:v>45.55706694403569</x:v>
      </x:c>
    </x:row>
    <x:row r="1206">
      <x:c r="A1206" s="2" t="str">
        <x:v>DE-CMP-01</x:v>
      </x:c>
      <x:c r="B1206" s="2" t="str">
        <x:v>CFG-C01</x:v>
      </x:c>
      <x:c r="C1206" s="2" t="n">
        <x:v>46227.70238086805</x:v>
      </x:c>
      <x:c r="D1206" s="2" t="str">
        <x:v>adaptive</x:v>
      </x:c>
      <x:c r="E1206" s="2" t="str">
        <x:v>variable_noise_floor</x:v>
      </x:c>
      <x:c r="F1206" s="2" t="str">
        <x:v>603</x:v>
      </x:c>
      <x:c r="G1206" s="2" t="str">
        <x:v>3164206</x:v>
      </x:c>
      <x:c r="H1206" s="2" t="str">
        <x:v>2048000.0</x:v>
      </x:c>
      <x:c r="I1206" s="2" t="str">
        <x:v>8192</x:v>
      </x:c>
      <x:c r="J1206" s="2" t="str">
        <x:v>250.0</x:v>
      </x:c>
      <x:c r="K1206" s="2" t="str">
        <x:v>1</x:v>
      </x:c>
      <x:c r="L1206" s="2" t="str">
        <x:v>3</x:v>
      </x:c>
      <x:c r="M1206" s="2" t="str">
        <x:v>1</x:v>
      </x:c>
      <x:c r="N1206" s="2" t="str">
        <x:v>2</x:v>
      </x:c>
      <x:c r="O1206" s="2" t="str">
        <x:v>0</x:v>
      </x:c>
      <x:c r="P1206" s="2" t="str">
        <x:v>true</x:v>
      </x:c>
      <x:c r="Q1206" s="2" t="str">
        <x:v>99.603302855</x:v>
      </x:c>
      <x:c r="R1206" s="2" t="str">
        <x:v>0.411750006605871</x:v>
      </x:c>
      <x:c r="S1206" s="2" t="str">
        <x:v>45.97574169162728</x:v>
      </x:c>
    </x:row>
    <x:row r="1207">
      <x:c r="A1207" s="2" t="str">
        <x:v>DE-CMP-01</x:v>
      </x:c>
      <x:c r="B1207" s="2" t="str">
        <x:v>CFG-C01</x:v>
      </x:c>
      <x:c r="C1207" s="2" t="n">
        <x:v>46227.70238086805</x:v>
      </x:c>
      <x:c r="D1207" s="2" t="str">
        <x:v>os_cfar</x:v>
      </x:c>
      <x:c r="E1207" s="2" t="str">
        <x:v>variable_noise_floor</x:v>
      </x:c>
      <x:c r="F1207" s="2" t="str">
        <x:v>603</x:v>
      </x:c>
      <x:c r="G1207" s="2" t="str">
        <x:v>3164206</x:v>
      </x:c>
      <x:c r="H1207" s="2" t="str">
        <x:v>2048000.0</x:v>
      </x:c>
      <x:c r="I1207" s="2" t="str">
        <x:v>8192</x:v>
      </x:c>
      <x:c r="J1207" s="2" t="str">
        <x:v>250.0</x:v>
      </x:c>
      <x:c r="K1207" s="2" t="str">
        <x:v>1</x:v>
      </x:c>
      <x:c r="L1207" s="2" t="str">
        <x:v>3</x:v>
      </x:c>
      <x:c r="M1207" s="2" t="str">
        <x:v>1</x:v>
      </x:c>
      <x:c r="N1207" s="2" t="str">
        <x:v>2</x:v>
      </x:c>
      <x:c r="O1207" s="2" t="str">
        <x:v>0</x:v>
      </x:c>
      <x:c r="P1207" s="2" t="str">
        <x:v>true</x:v>
      </x:c>
      <x:c r="Q1207" s="2" t="str">
        <x:v>99.603302855</x:v>
      </x:c>
      <x:c r="R1207" s="2" t="str">
        <x:v>13.758707995293662</x:v>
      </x:c>
      <x:c r="S1207" s="2" t="str">
        <x:v>48.3177887308033</x:v>
      </x:c>
    </x:row>
    <x:row r="1208">
      <x:c r="A1208" s="2" t="str">
        <x:v>DE-CMP-01</x:v>
      </x:c>
      <x:c r="B1208" s="2" t="str">
        <x:v>CFG-C01</x:v>
      </x:c>
      <x:c r="C1208" s="2" t="n">
        <x:v>46227.70238086805</x:v>
      </x:c>
      <x:c r="D1208" s="2" t="str">
        <x:v>os_cfar</x:v>
      </x:c>
      <x:c r="E1208" s="2" t="str">
        <x:v>variable_noise_floor</x:v>
      </x:c>
      <x:c r="F1208" s="2" t="str">
        <x:v>604</x:v>
      </x:c>
      <x:c r="G1208" s="2" t="str">
        <x:v>3164207</x:v>
      </x:c>
      <x:c r="H1208" s="2" t="str">
        <x:v>2048000.0</x:v>
      </x:c>
      <x:c r="I1208" s="2" t="str">
        <x:v>8192</x:v>
      </x:c>
      <x:c r="J1208" s="2" t="str">
        <x:v>250.0</x:v>
      </x:c>
      <x:c r="K1208" s="2" t="str">
        <x:v>1</x:v>
      </x:c>
      <x:c r="L1208" s="2" t="str">
        <x:v>3</x:v>
      </x:c>
      <x:c r="M1208" s="2" t="str">
        <x:v>1</x:v>
      </x:c>
      <x:c r="N1208" s="2" t="str">
        <x:v>2</x:v>
      </x:c>
      <x:c r="O1208" s="2" t="str">
        <x:v>0</x:v>
      </x:c>
      <x:c r="P1208" s="2" t="str">
        <x:v>true</x:v>
      </x:c>
      <x:c r="Q1208" s="2" t="str">
        <x:v>-15.877052045</x:v>
      </x:c>
      <x:c r="R1208" s="2" t="str">
        <x:v>13.914875002228655</x:v>
      </x:c>
      <x:c r="S1208" s="2" t="str">
        <x:v>48.493186931392216</x:v>
      </x:c>
    </x:row>
    <x:row r="1209">
      <x:c r="A1209" s="2" t="str">
        <x:v>DE-CMP-01</x:v>
      </x:c>
      <x:c r="B1209" s="2" t="str">
        <x:v>CFG-C01</x:v>
      </x:c>
      <x:c r="C1209" s="2" t="n">
        <x:v>46227.70238086805</x:v>
      </x:c>
      <x:c r="D1209" s="2" t="str">
        <x:v>adaptive</x:v>
      </x:c>
      <x:c r="E1209" s="2" t="str">
        <x:v>variable_noise_floor</x:v>
      </x:c>
      <x:c r="F1209" s="2" t="str">
        <x:v>604</x:v>
      </x:c>
      <x:c r="G1209" s="2" t="str">
        <x:v>3164207</x:v>
      </x:c>
      <x:c r="H1209" s="2" t="str">
        <x:v>2048000.0</x:v>
      </x:c>
      <x:c r="I1209" s="2" t="str">
        <x:v>8192</x:v>
      </x:c>
      <x:c r="J1209" s="2" t="str">
        <x:v>250.0</x:v>
      </x:c>
      <x:c r="K1209" s="2" t="str">
        <x:v>1</x:v>
      </x:c>
      <x:c r="L1209" s="2" t="str">
        <x:v>3</x:v>
      </x:c>
      <x:c r="M1209" s="2" t="str">
        <x:v>1</x:v>
      </x:c>
      <x:c r="N1209" s="2" t="str">
        <x:v>2</x:v>
      </x:c>
      <x:c r="O1209" s="2" t="str">
        <x:v>0</x:v>
      </x:c>
      <x:c r="P1209" s="2" t="str">
        <x:v>true</x:v>
      </x:c>
      <x:c r="Q1209" s="2" t="str">
        <x:v>-15.877052045</x:v>
      </x:c>
      <x:c r="R1209" s="2" t="str">
        <x:v>0.43629099673125893</x:v>
      </x:c>
      <x:c r="S1209" s="2" t="str">
        <x:v>46.17275412314005</x:v>
      </x:c>
    </x:row>
    <x:row r="1210">
      <x:c r="A1210" s="2" t="str">
        <x:v>DE-CMP-01</x:v>
      </x:c>
      <x:c r="B1210" s="2" t="str">
        <x:v>CFG-C01</x:v>
      </x:c>
      <x:c r="C1210" s="2" t="n">
        <x:v>46227.70238086805</x:v>
      </x:c>
      <x:c r="D1210" s="2" t="str">
        <x:v>adaptive</x:v>
      </x:c>
      <x:c r="E1210" s="2" t="str">
        <x:v>variable_noise_floor</x:v>
      </x:c>
      <x:c r="F1210" s="2" t="str">
        <x:v>605</x:v>
      </x:c>
      <x:c r="G1210" s="2" t="str">
        <x:v>3164208</x:v>
      </x:c>
      <x:c r="H1210" s="2" t="str">
        <x:v>2048000.0</x:v>
      </x:c>
      <x:c r="I1210" s="2" t="str">
        <x:v>8192</x:v>
      </x:c>
      <x:c r="J1210" s="2" t="str">
        <x:v>250.0</x:v>
      </x:c>
      <x:c r="K1210" s="2" t="str">
        <x:v>1</x:v>
      </x:c>
      <x:c r="L1210" s="2" t="str">
        <x:v>3</x:v>
      </x:c>
      <x:c r="M1210" s="2" t="str">
        <x:v>1</x:v>
      </x:c>
      <x:c r="N1210" s="2" t="str">
        <x:v>2</x:v>
      </x:c>
      <x:c r="O1210" s="2" t="str">
        <x:v>0</x:v>
      </x:c>
      <x:c r="P1210" s="2" t="str">
        <x:v>true</x:v>
      </x:c>
      <x:c r="Q1210" s="2" t="str">
        <x:v>-118.687958416</x:v>
      </x:c>
      <x:c r="R1210" s="2" t="str">
        <x:v>0.4276249965187162</x:v>
      </x:c>
      <x:c r="S1210" s="2" t="str">
        <x:v>46.114473861163354</x:v>
      </x:c>
    </x:row>
    <x:row r="1211">
      <x:c r="A1211" s="2" t="str">
        <x:v>DE-CMP-01</x:v>
      </x:c>
      <x:c r="B1211" s="2" t="str">
        <x:v>CFG-C01</x:v>
      </x:c>
      <x:c r="C1211" s="2" t="n">
        <x:v>46227.70238086805</x:v>
      </x:c>
      <x:c r="D1211" s="2" t="str">
        <x:v>os_cfar</x:v>
      </x:c>
      <x:c r="E1211" s="2" t="str">
        <x:v>variable_noise_floor</x:v>
      </x:c>
      <x:c r="F1211" s="2" t="str">
        <x:v>605</x:v>
      </x:c>
      <x:c r="G1211" s="2" t="str">
        <x:v>3164208</x:v>
      </x:c>
      <x:c r="H1211" s="2" t="str">
        <x:v>2048000.0</x:v>
      </x:c>
      <x:c r="I1211" s="2" t="str">
        <x:v>8192</x:v>
      </x:c>
      <x:c r="J1211" s="2" t="str">
        <x:v>250.0</x:v>
      </x:c>
      <x:c r="K1211" s="2" t="str">
        <x:v>1</x:v>
      </x:c>
      <x:c r="L1211" s="2" t="str">
        <x:v>3</x:v>
      </x:c>
      <x:c r="M1211" s="2" t="str">
        <x:v>1</x:v>
      </x:c>
      <x:c r="N1211" s="2" t="str">
        <x:v>2</x:v>
      </x:c>
      <x:c r="O1211" s="2" t="str">
        <x:v>0</x:v>
      </x:c>
      <x:c r="P1211" s="2" t="str">
        <x:v>true</x:v>
      </x:c>
      <x:c r="Q1211" s="2" t="str">
        <x:v>-118.687958416</x:v>
      </x:c>
      <x:c r="R1211" s="2" t="str">
        <x:v>13.662957993801683</x:v>
      </x:c>
      <x:c r="S1211" s="2" t="str">
        <x:v>48.355916028112055</x:v>
      </x:c>
    </x:row>
    <x:row r="1212">
      <x:c r="A1212" s="2" t="str">
        <x:v>DE-CMP-01</x:v>
      </x:c>
      <x:c r="B1212" s="2" t="str">
        <x:v>CFG-C01</x:v>
      </x:c>
      <x:c r="C1212" s="2" t="n">
        <x:v>46227.70238086805</x:v>
      </x:c>
      <x:c r="D1212" s="2" t="str">
        <x:v>os_cfar</x:v>
      </x:c>
      <x:c r="E1212" s="2" t="str">
        <x:v>variable_noise_floor</x:v>
      </x:c>
      <x:c r="F1212" s="2" t="str">
        <x:v>606</x:v>
      </x:c>
      <x:c r="G1212" s="2" t="str">
        <x:v>3164209</x:v>
      </x:c>
      <x:c r="H1212" s="2" t="str">
        <x:v>2048000.0</x:v>
      </x:c>
      <x:c r="I1212" s="2" t="str">
        <x:v>8192</x:v>
      </x:c>
      <x:c r="J1212" s="2" t="str">
        <x:v>250.0</x:v>
      </x:c>
      <x:c r="K1212" s="2" t="str">
        <x:v>1</x:v>
      </x:c>
      <x:c r="L1212" s="2" t="str">
        <x:v>3</x:v>
      </x:c>
      <x:c r="M1212" s="2" t="str">
        <x:v>1</x:v>
      </x:c>
      <x:c r="N1212" s="2" t="str">
        <x:v>2</x:v>
      </x:c>
      <x:c r="O1212" s="2" t="str">
        <x:v>0</x:v>
      </x:c>
      <x:c r="P1212" s="2" t="str">
        <x:v>true</x:v>
      </x:c>
      <x:c r="Q1212" s="2" t="str">
        <x:v>112.421501167</x:v>
      </x:c>
      <x:c r="R1212" s="2" t="str">
        <x:v>13.804999995045364</x:v>
      </x:c>
      <x:c r="S1212" s="2" t="str">
        <x:v>48.40132981233171</x:v>
      </x:c>
    </x:row>
    <x:row r="1213">
      <x:c r="A1213" s="2" t="str">
        <x:v>DE-CMP-01</x:v>
      </x:c>
      <x:c r="B1213" s="2" t="str">
        <x:v>CFG-C01</x:v>
      </x:c>
      <x:c r="C1213" s="2" t="n">
        <x:v>46227.70238086805</x:v>
      </x:c>
      <x:c r="D1213" s="2" t="str">
        <x:v>adaptive</x:v>
      </x:c>
      <x:c r="E1213" s="2" t="str">
        <x:v>variable_noise_floor</x:v>
      </x:c>
      <x:c r="F1213" s="2" t="str">
        <x:v>606</x:v>
      </x:c>
      <x:c r="G1213" s="2" t="str">
        <x:v>3164209</x:v>
      </x:c>
      <x:c r="H1213" s="2" t="str">
        <x:v>2048000.0</x:v>
      </x:c>
      <x:c r="I1213" s="2" t="str">
        <x:v>8192</x:v>
      </x:c>
      <x:c r="J1213" s="2" t="str">
        <x:v>250.0</x:v>
      </x:c>
      <x:c r="K1213" s="2" t="str">
        <x:v>1</x:v>
      </x:c>
      <x:c r="L1213" s="2" t="str">
        <x:v>3</x:v>
      </x:c>
      <x:c r="M1213" s="2" t="str">
        <x:v>1</x:v>
      </x:c>
      <x:c r="N1213" s="2" t="str">
        <x:v>2</x:v>
      </x:c>
      <x:c r="O1213" s="2" t="str">
        <x:v>0</x:v>
      </x:c>
      <x:c r="P1213" s="2" t="str">
        <x:v>true</x:v>
      </x:c>
      <x:c r="Q1213" s="2" t="str">
        <x:v>112.421501167</x:v>
      </x:c>
      <x:c r="R1213" s="2" t="str">
        <x:v>0.4292499943403527</x:v>
      </x:c>
      <x:c r="S1213" s="2" t="str">
        <x:v>45.842241419685344</x:v>
      </x:c>
    </x:row>
    <x:row r="1214">
      <x:c r="A1214" s="2" t="str">
        <x:v>DE-CMP-01</x:v>
      </x:c>
      <x:c r="B1214" s="2" t="str">
        <x:v>CFG-C01</x:v>
      </x:c>
      <x:c r="C1214" s="2" t="n">
        <x:v>46227.70238086805</x:v>
      </x:c>
      <x:c r="D1214" s="2" t="str">
        <x:v>adaptive</x:v>
      </x:c>
      <x:c r="E1214" s="2" t="str">
        <x:v>variable_noise_floor</x:v>
      </x:c>
      <x:c r="F1214" s="2" t="str">
        <x:v>607</x:v>
      </x:c>
      <x:c r="G1214" s="2" t="str">
        <x:v>3164210</x:v>
      </x:c>
      <x:c r="H1214" s="2" t="str">
        <x:v>2048000.0</x:v>
      </x:c>
      <x:c r="I1214" s="2" t="str">
        <x:v>8192</x:v>
      </x:c>
      <x:c r="J1214" s="2" t="str">
        <x:v>250.0</x:v>
      </x:c>
      <x:c r="K1214" s="2" t="str">
        <x:v>1</x:v>
      </x:c>
      <x:c r="L1214" s="2" t="str">
        <x:v>3</x:v>
      </x:c>
      <x:c r="M1214" s="2" t="str">
        <x:v>1</x:v>
      </x:c>
      <x:c r="N1214" s="2" t="str">
        <x:v>2</x:v>
      </x:c>
      <x:c r="O1214" s="2" t="str">
        <x:v>0</x:v>
      </x:c>
      <x:c r="P1214" s="2" t="str">
        <x:v>true</x:v>
      </x:c>
      <x:c r="Q1214" s="2" t="str">
        <x:v>120.645239491</x:v>
      </x:c>
      <x:c r="R1214" s="2" t="str">
        <x:v>0.4216249944875017</x:v>
      </x:c>
      <x:c r="S1214" s="2" t="str">
        <x:v>46.17309741770108</x:v>
      </x:c>
    </x:row>
    <x:row r="1215">
      <x:c r="A1215" s="2" t="str">
        <x:v>DE-CMP-01</x:v>
      </x:c>
      <x:c r="B1215" s="2" t="str">
        <x:v>CFG-C01</x:v>
      </x:c>
      <x:c r="C1215" s="2" t="n">
        <x:v>46227.70238086805</x:v>
      </x:c>
      <x:c r="D1215" s="2" t="str">
        <x:v>os_cfar</x:v>
      </x:c>
      <x:c r="E1215" s="2" t="str">
        <x:v>variable_noise_floor</x:v>
      </x:c>
      <x:c r="F1215" s="2" t="str">
        <x:v>607</x:v>
      </x:c>
      <x:c r="G1215" s="2" t="str">
        <x:v>3164210</x:v>
      </x:c>
      <x:c r="H1215" s="2" t="str">
        <x:v>2048000.0</x:v>
      </x:c>
      <x:c r="I1215" s="2" t="str">
        <x:v>8192</x:v>
      </x:c>
      <x:c r="J1215" s="2" t="str">
        <x:v>250.0</x:v>
      </x:c>
      <x:c r="K1215" s="2" t="str">
        <x:v>1</x:v>
      </x:c>
      <x:c r="L1215" s="2" t="str">
        <x:v>3</x:v>
      </x:c>
      <x:c r="M1215" s="2" t="str">
        <x:v>1</x:v>
      </x:c>
      <x:c r="N1215" s="2" t="str">
        <x:v>2</x:v>
      </x:c>
      <x:c r="O1215" s="2" t="str">
        <x:v>0</x:v>
      </x:c>
      <x:c r="P1215" s="2" t="str">
        <x:v>true</x:v>
      </x:c>
      <x:c r="Q1215" s="2" t="str">
        <x:v>120.645239491</x:v>
      </x:c>
      <x:c r="R1215" s="2" t="str">
        <x:v>13.71920898964163</x:v>
      </x:c>
      <x:c r="S1215" s="2" t="str">
        <x:v>48.33088472091539</x:v>
      </x:c>
    </x:row>
    <x:row r="1216">
      <x:c r="A1216" s="2" t="str">
        <x:v>DE-CMP-01</x:v>
      </x:c>
      <x:c r="B1216" s="2" t="str">
        <x:v>CFG-C01</x:v>
      </x:c>
      <x:c r="C1216" s="2" t="n">
        <x:v>46227.70238086805</x:v>
      </x:c>
      <x:c r="D1216" s="2" t="str">
        <x:v>os_cfar</x:v>
      </x:c>
      <x:c r="E1216" s="2" t="str">
        <x:v>variable_noise_floor</x:v>
      </x:c>
      <x:c r="F1216" s="2" t="str">
        <x:v>608</x:v>
      </x:c>
      <x:c r="G1216" s="2" t="str">
        <x:v>3164211</x:v>
      </x:c>
      <x:c r="H1216" s="2" t="str">
        <x:v>2048000.0</x:v>
      </x:c>
      <x:c r="I1216" s="2" t="str">
        <x:v>8192</x:v>
      </x:c>
      <x:c r="J1216" s="2" t="str">
        <x:v>250.0</x:v>
      </x:c>
      <x:c r="K1216" s="2" t="str">
        <x:v>1</x:v>
      </x:c>
      <x:c r="L1216" s="2" t="str">
        <x:v>3</x:v>
      </x:c>
      <x:c r="M1216" s="2" t="str">
        <x:v>1</x:v>
      </x:c>
      <x:c r="N1216" s="2" t="str">
        <x:v>2</x:v>
      </x:c>
      <x:c r="O1216" s="2" t="str">
        <x:v>0</x:v>
      </x:c>
      <x:c r="P1216" s="2" t="str">
        <x:v>true</x:v>
      </x:c>
      <x:c r="Q1216" s="2" t="str">
        <x:v>-116.231418089</x:v>
      </x:c>
      <x:c r="R1216" s="2" t="str">
        <x:v>13.963750010589138</x:v>
      </x:c>
      <x:c r="S1216" s="2" t="str">
        <x:v>48.15217237196671</x:v>
      </x:c>
    </x:row>
    <x:row r="1217">
      <x:c r="A1217" s="2" t="str">
        <x:v>DE-CMP-01</x:v>
      </x:c>
      <x:c r="B1217" s="2" t="str">
        <x:v>CFG-C01</x:v>
      </x:c>
      <x:c r="C1217" s="2" t="n">
        <x:v>46227.70238086805</x:v>
      </x:c>
      <x:c r="D1217" s="2" t="str">
        <x:v>adaptive</x:v>
      </x:c>
      <x:c r="E1217" s="2" t="str">
        <x:v>variable_noise_floor</x:v>
      </x:c>
      <x:c r="F1217" s="2" t="str">
        <x:v>608</x:v>
      </x:c>
      <x:c r="G1217" s="2" t="str">
        <x:v>3164211</x:v>
      </x:c>
      <x:c r="H1217" s="2" t="str">
        <x:v>2048000.0</x:v>
      </x:c>
      <x:c r="I1217" s="2" t="str">
        <x:v>8192</x:v>
      </x:c>
      <x:c r="J1217" s="2" t="str">
        <x:v>250.0</x:v>
      </x:c>
      <x:c r="K1217" s="2" t="str">
        <x:v>1</x:v>
      </x:c>
      <x:c r="L1217" s="2" t="str">
        <x:v>3</x:v>
      </x:c>
      <x:c r="M1217" s="2" t="str">
        <x:v>1</x:v>
      </x:c>
      <x:c r="N1217" s="2" t="str">
        <x:v>2</x:v>
      </x:c>
      <x:c r="O1217" s="2" t="str">
        <x:v>0</x:v>
      </x:c>
      <x:c r="P1217" s="2" t="str">
        <x:v>true</x:v>
      </x:c>
      <x:c r="Q1217" s="2" t="str">
        <x:v>-116.231418089</x:v>
      </x:c>
      <x:c r="R1217" s="2" t="str">
        <x:v>0.44445898674894124</x:v>
      </x:c>
      <x:c r="S1217" s="2" t="str">
        <x:v>45.42847800556415</x:v>
      </x:c>
    </x:row>
    <x:row r="1218">
      <x:c r="A1218" s="2" t="str">
        <x:v>DE-CMP-01</x:v>
      </x:c>
      <x:c r="B1218" s="2" t="str">
        <x:v>CFG-C01</x:v>
      </x:c>
      <x:c r="C1218" s="2" t="n">
        <x:v>46227.70238086805</x:v>
      </x:c>
      <x:c r="D1218" s="2" t="str">
        <x:v>adaptive</x:v>
      </x:c>
      <x:c r="E1218" s="2" t="str">
        <x:v>variable_noise_floor</x:v>
      </x:c>
      <x:c r="F1218" s="2" t="str">
        <x:v>609</x:v>
      </x:c>
      <x:c r="G1218" s="2" t="str">
        <x:v>3164212</x:v>
      </x:c>
      <x:c r="H1218" s="2" t="str">
        <x:v>2048000.0</x:v>
      </x:c>
      <x:c r="I1218" s="2" t="str">
        <x:v>8192</x:v>
      </x:c>
      <x:c r="J1218" s="2" t="str">
        <x:v>250.0</x:v>
      </x:c>
      <x:c r="K1218" s="2" t="str">
        <x:v>1</x:v>
      </x:c>
      <x:c r="L1218" s="2" t="str">
        <x:v>3</x:v>
      </x:c>
      <x:c r="M1218" s="2" t="str">
        <x:v>1</x:v>
      </x:c>
      <x:c r="N1218" s="2" t="str">
        <x:v>2</x:v>
      </x:c>
      <x:c r="O1218" s="2" t="str">
        <x:v>0</x:v>
      </x:c>
      <x:c r="P1218" s="2" t="str">
        <x:v>true</x:v>
      </x:c>
      <x:c r="Q1218" s="2" t="str">
        <x:v>1.961951496</x:v>
      </x:c>
      <x:c r="R1218" s="2" t="str">
        <x:v>0.42595800186973065</x:v>
      </x:c>
      <x:c r="S1218" s="2" t="str">
        <x:v>46.340601768582715</x:v>
      </x:c>
    </x:row>
    <x:row r="1219">
      <x:c r="A1219" s="2" t="str">
        <x:v>DE-CMP-01</x:v>
      </x:c>
      <x:c r="B1219" s="2" t="str">
        <x:v>CFG-C01</x:v>
      </x:c>
      <x:c r="C1219" s="2" t="n">
        <x:v>46227.70238086805</x:v>
      </x:c>
      <x:c r="D1219" s="2" t="str">
        <x:v>os_cfar</x:v>
      </x:c>
      <x:c r="E1219" s="2" t="str">
        <x:v>variable_noise_floor</x:v>
      </x:c>
      <x:c r="F1219" s="2" t="str">
        <x:v>609</x:v>
      </x:c>
      <x:c r="G1219" s="2" t="str">
        <x:v>3164212</x:v>
      </x:c>
      <x:c r="H1219" s="2" t="str">
        <x:v>2048000.0</x:v>
      </x:c>
      <x:c r="I1219" s="2" t="str">
        <x:v>8192</x:v>
      </x:c>
      <x:c r="J1219" s="2" t="str">
        <x:v>250.0</x:v>
      </x:c>
      <x:c r="K1219" s="2" t="str">
        <x:v>1</x:v>
      </x:c>
      <x:c r="L1219" s="2" t="str">
        <x:v>3</x:v>
      </x:c>
      <x:c r="M1219" s="2" t="str">
        <x:v>1</x:v>
      </x:c>
      <x:c r="N1219" s="2" t="str">
        <x:v>2</x:v>
      </x:c>
      <x:c r="O1219" s="2" t="str">
        <x:v>0</x:v>
      </x:c>
      <x:c r="P1219" s="2" t="str">
        <x:v>true</x:v>
      </x:c>
      <x:c r="Q1219" s="2" t="str">
        <x:v>1.961951496</x:v>
      </x:c>
      <x:c r="R1219" s="2" t="str">
        <x:v>13.763124996330589</x:v>
      </x:c>
      <x:c r="S1219" s="2" t="str">
        <x:v>48.34296815293484</x:v>
      </x:c>
    </x:row>
    <x:row r="1220">
      <x:c r="A1220" s="2" t="str">
        <x:v>DE-CMP-01</x:v>
      </x:c>
      <x:c r="B1220" s="2" t="str">
        <x:v>CFG-C01</x:v>
      </x:c>
      <x:c r="C1220" s="2" t="n">
        <x:v>46227.70238086805</x:v>
      </x:c>
      <x:c r="D1220" s="2" t="str">
        <x:v>os_cfar</x:v>
      </x:c>
      <x:c r="E1220" s="2" t="str">
        <x:v>variable_noise_floor</x:v>
      </x:c>
      <x:c r="F1220" s="2" t="str">
        <x:v>610</x:v>
      </x:c>
      <x:c r="G1220" s="2" t="str">
        <x:v>3164213</x:v>
      </x:c>
      <x:c r="H1220" s="2" t="str">
        <x:v>2048000.0</x:v>
      </x:c>
      <x:c r="I1220" s="2" t="str">
        <x:v>8192</x:v>
      </x:c>
      <x:c r="J1220" s="2" t="str">
        <x:v>250.0</x:v>
      </x:c>
      <x:c r="K1220" s="2" t="str">
        <x:v>1</x:v>
      </x:c>
      <x:c r="L1220" s="2" t="str">
        <x:v>3</x:v>
      </x:c>
      <x:c r="M1220" s="2" t="str">
        <x:v>1</x:v>
      </x:c>
      <x:c r="N1220" s="2" t="str">
        <x:v>2</x:v>
      </x:c>
      <x:c r="O1220" s="2" t="str">
        <x:v>0</x:v>
      </x:c>
      <x:c r="P1220" s="2" t="str">
        <x:v>true</x:v>
      </x:c>
      <x:c r="Q1220" s="2" t="str">
        <x:v>89.216015205</x:v>
      </x:c>
      <x:c r="R1220" s="2" t="str">
        <x:v>13.679915995453484</x:v>
      </x:c>
      <x:c r="S1220" s="2" t="str">
        <x:v>47.994475251282104</x:v>
      </x:c>
    </x:row>
    <x:row r="1221">
      <x:c r="A1221" s="2" t="str">
        <x:v>DE-CMP-01</x:v>
      </x:c>
      <x:c r="B1221" s="2" t="str">
        <x:v>CFG-C01</x:v>
      </x:c>
      <x:c r="C1221" s="2" t="n">
        <x:v>46227.70238086805</x:v>
      </x:c>
      <x:c r="D1221" s="2" t="str">
        <x:v>adaptive</x:v>
      </x:c>
      <x:c r="E1221" s="2" t="str">
        <x:v>variable_noise_floor</x:v>
      </x:c>
      <x:c r="F1221" s="2" t="str">
        <x:v>610</x:v>
      </x:c>
      <x:c r="G1221" s="2" t="str">
        <x:v>3164213</x:v>
      </x:c>
      <x:c r="H1221" s="2" t="str">
        <x:v>2048000.0</x:v>
      </x:c>
      <x:c r="I1221" s="2" t="str">
        <x:v>8192</x:v>
      </x:c>
      <x:c r="J1221" s="2" t="str">
        <x:v>250.0</x:v>
      </x:c>
      <x:c r="K1221" s="2" t="str">
        <x:v>1</x:v>
      </x:c>
      <x:c r="L1221" s="2" t="str">
        <x:v>3</x:v>
      </x:c>
      <x:c r="M1221" s="2" t="str">
        <x:v>1</x:v>
      </x:c>
      <x:c r="N1221" s="2" t="str">
        <x:v>2</x:v>
      </x:c>
      <x:c r="O1221" s="2" t="str">
        <x:v>0</x:v>
      </x:c>
      <x:c r="P1221" s="2" t="str">
        <x:v>true</x:v>
      </x:c>
      <x:c r="Q1221" s="2" t="str">
        <x:v>89.216015205</x:v>
      </x:c>
      <x:c r="R1221" s="2" t="str">
        <x:v>0.4126670100959018</x:v>
      </x:c>
      <x:c r="S1221" s="2" t="str">
        <x:v>46.3364286635582</x:v>
      </x:c>
    </x:row>
    <x:row r="1222">
      <x:c r="A1222" s="2" t="str">
        <x:v>DE-CMP-01</x:v>
      </x:c>
      <x:c r="B1222" s="2" t="str">
        <x:v>CFG-C01</x:v>
      </x:c>
      <x:c r="C1222" s="2" t="n">
        <x:v>46227.70238086805</x:v>
      </x:c>
      <x:c r="D1222" s="2" t="str">
        <x:v>adaptive</x:v>
      </x:c>
      <x:c r="E1222" s="2" t="str">
        <x:v>variable_noise_floor</x:v>
      </x:c>
      <x:c r="F1222" s="2" t="str">
        <x:v>611</x:v>
      </x:c>
      <x:c r="G1222" s="2" t="str">
        <x:v>3164214</x:v>
      </x:c>
      <x:c r="H1222" s="2" t="str">
        <x:v>2048000.0</x:v>
      </x:c>
      <x:c r="I1222" s="2" t="str">
        <x:v>8192</x:v>
      </x:c>
      <x:c r="J1222" s="2" t="str">
        <x:v>250.0</x:v>
      </x:c>
      <x:c r="K1222" s="2" t="str">
        <x:v>1</x:v>
      </x:c>
      <x:c r="L1222" s="2" t="str">
        <x:v>3</x:v>
      </x:c>
      <x:c r="M1222" s="2" t="str">
        <x:v>1</x:v>
      </x:c>
      <x:c r="N1222" s="2" t="str">
        <x:v>2</x:v>
      </x:c>
      <x:c r="O1222" s="2" t="str">
        <x:v>0</x:v>
      </x:c>
      <x:c r="P1222" s="2" t="str">
        <x:v>true</x:v>
      </x:c>
      <x:c r="Q1222" s="2" t="str">
        <x:v>7.240701062</x:v>
      </x:c>
      <x:c r="R1222" s="2" t="str">
        <x:v>0.48400000378023833</x:v>
      </x:c>
      <x:c r="S1222" s="2" t="str">
        <x:v>45.78506045695554</x:v>
      </x:c>
    </x:row>
    <x:row r="1223">
      <x:c r="A1223" s="2" t="str">
        <x:v>DE-CMP-01</x:v>
      </x:c>
      <x:c r="B1223" s="2" t="str">
        <x:v>CFG-C01</x:v>
      </x:c>
      <x:c r="C1223" s="2" t="n">
        <x:v>46227.70238086805</x:v>
      </x:c>
      <x:c r="D1223" s="2" t="str">
        <x:v>os_cfar</x:v>
      </x:c>
      <x:c r="E1223" s="2" t="str">
        <x:v>variable_noise_floor</x:v>
      </x:c>
      <x:c r="F1223" s="2" t="str">
        <x:v>611</x:v>
      </x:c>
      <x:c r="G1223" s="2" t="str">
        <x:v>3164214</x:v>
      </x:c>
      <x:c r="H1223" s="2" t="str">
        <x:v>2048000.0</x:v>
      </x:c>
      <x:c r="I1223" s="2" t="str">
        <x:v>8192</x:v>
      </x:c>
      <x:c r="J1223" s="2" t="str">
        <x:v>250.0</x:v>
      </x:c>
      <x:c r="K1223" s="2" t="str">
        <x:v>1</x:v>
      </x:c>
      <x:c r="L1223" s="2" t="str">
        <x:v>3</x:v>
      </x:c>
      <x:c r="M1223" s="2" t="str">
        <x:v>1</x:v>
      </x:c>
      <x:c r="N1223" s="2" t="str">
        <x:v>2</x:v>
      </x:c>
      <x:c r="O1223" s="2" t="str">
        <x:v>0</x:v>
      </x:c>
      <x:c r="P1223" s="2" t="str">
        <x:v>true</x:v>
      </x:c>
      <x:c r="Q1223" s="2" t="str">
        <x:v>7.240701062</x:v>
      </x:c>
      <x:c r="R1223" s="2" t="str">
        <x:v>13.63899999705609</x:v>
      </x:c>
      <x:c r="S1223" s="2" t="str">
        <x:v>48.099287840684575</x:v>
      </x:c>
    </x:row>
    <x:row r="1224">
      <x:c r="A1224" s="2" t="str">
        <x:v>DE-CMP-01</x:v>
      </x:c>
      <x:c r="B1224" s="2" t="str">
        <x:v>CFG-C01</x:v>
      </x:c>
      <x:c r="C1224" s="2" t="n">
        <x:v>46227.70238086805</x:v>
      </x:c>
      <x:c r="D1224" s="2" t="str">
        <x:v>os_cfar</x:v>
      </x:c>
      <x:c r="E1224" s="2" t="str">
        <x:v>variable_noise_floor</x:v>
      </x:c>
      <x:c r="F1224" s="2" t="str">
        <x:v>612</x:v>
      </x:c>
      <x:c r="G1224" s="2" t="str">
        <x:v>3164215</x:v>
      </x:c>
      <x:c r="H1224" s="2" t="str">
        <x:v>2048000.0</x:v>
      </x:c>
      <x:c r="I1224" s="2" t="str">
        <x:v>8192</x:v>
      </x:c>
      <x:c r="J1224" s="2" t="str">
        <x:v>250.0</x:v>
      </x:c>
      <x:c r="K1224" s="2" t="str">
        <x:v>1</x:v>
      </x:c>
      <x:c r="L1224" s="2" t="str">
        <x:v>3</x:v>
      </x:c>
      <x:c r="M1224" s="2" t="str">
        <x:v>1</x:v>
      </x:c>
      <x:c r="N1224" s="2" t="str">
        <x:v>2</x:v>
      </x:c>
      <x:c r="O1224" s="2" t="str">
        <x:v>0</x:v>
      </x:c>
      <x:c r="P1224" s="2" t="str">
        <x:v>true</x:v>
      </x:c>
      <x:c r="Q1224" s="2" t="str">
        <x:v>16.424140110</x:v>
      </x:c>
      <x:c r="R1224" s="2" t="str">
        <x:v>13.739165995502844</x:v>
      </x:c>
      <x:c r="S1224" s="2" t="str">
        <x:v>48.09745543104338</x:v>
      </x:c>
    </x:row>
    <x:row r="1225">
      <x:c r="A1225" s="2" t="str">
        <x:v>DE-CMP-01</x:v>
      </x:c>
      <x:c r="B1225" s="2" t="str">
        <x:v>CFG-C01</x:v>
      </x:c>
      <x:c r="C1225" s="2" t="n">
        <x:v>46227.70238086805</x:v>
      </x:c>
      <x:c r="D1225" s="2" t="str">
        <x:v>adaptive</x:v>
      </x:c>
      <x:c r="E1225" s="2" t="str">
        <x:v>variable_noise_floor</x:v>
      </x:c>
      <x:c r="F1225" s="2" t="str">
        <x:v>612</x:v>
      </x:c>
      <x:c r="G1225" s="2" t="str">
        <x:v>3164215</x:v>
      </x:c>
      <x:c r="H1225" s="2" t="str">
        <x:v>2048000.0</x:v>
      </x:c>
      <x:c r="I1225" s="2" t="str">
        <x:v>8192</x:v>
      </x:c>
      <x:c r="J1225" s="2" t="str">
        <x:v>250.0</x:v>
      </x:c>
      <x:c r="K1225" s="2" t="str">
        <x:v>1</x:v>
      </x:c>
      <x:c r="L1225" s="2" t="str">
        <x:v>3</x:v>
      </x:c>
      <x:c r="M1225" s="2" t="str">
        <x:v>1</x:v>
      </x:c>
      <x:c r="N1225" s="2" t="str">
        <x:v>2</x:v>
      </x:c>
      <x:c r="O1225" s="2" t="str">
        <x:v>0</x:v>
      </x:c>
      <x:c r="P1225" s="2" t="str">
        <x:v>true</x:v>
      </x:c>
      <x:c r="Q1225" s="2" t="str">
        <x:v>16.424140110</x:v>
      </x:c>
      <x:c r="R1225" s="2" t="str">
        <x:v>0.4315830010455102</x:v>
      </x:c>
      <x:c r="S1225" s="2" t="str">
        <x:v>46.25976687436082</x:v>
      </x:c>
    </x:row>
    <x:row r="1226">
      <x:c r="A1226" s="2" t="str">
        <x:v>DE-CMP-01</x:v>
      </x:c>
      <x:c r="B1226" s="2" t="str">
        <x:v>CFG-C01</x:v>
      </x:c>
      <x:c r="C1226" s="2" t="n">
        <x:v>46227.70238086805</x:v>
      </x:c>
      <x:c r="D1226" s="2" t="str">
        <x:v>adaptive</x:v>
      </x:c>
      <x:c r="E1226" s="2" t="str">
        <x:v>variable_noise_floor</x:v>
      </x:c>
      <x:c r="F1226" s="2" t="str">
        <x:v>613</x:v>
      </x:c>
      <x:c r="G1226" s="2" t="str">
        <x:v>3164216</x:v>
      </x:c>
      <x:c r="H1226" s="2" t="str">
        <x:v>2048000.0</x:v>
      </x:c>
      <x:c r="I1226" s="2" t="str">
        <x:v>8192</x:v>
      </x:c>
      <x:c r="J1226" s="2" t="str">
        <x:v>250.0</x:v>
      </x:c>
      <x:c r="K1226" s="2" t="str">
        <x:v>1</x:v>
      </x:c>
      <x:c r="L1226" s="2" t="str">
        <x:v>3</x:v>
      </x:c>
      <x:c r="M1226" s="2" t="str">
        <x:v>1</x:v>
      </x:c>
      <x:c r="N1226" s="2" t="str">
        <x:v>2</x:v>
      </x:c>
      <x:c r="O1226" s="2" t="str">
        <x:v>0</x:v>
      </x:c>
      <x:c r="P1226" s="2" t="str">
        <x:v>true</x:v>
      </x:c>
      <x:c r="Q1226" s="2" t="str">
        <x:v>-72.725319419</x:v>
      </x:c>
      <x:c r="R1226" s="2" t="str">
        <x:v>0.42633300472516567</x:v>
      </x:c>
      <x:c r="S1226" s="2" t="str">
        <x:v>45.90043303873583</x:v>
      </x:c>
    </x:row>
    <x:row r="1227">
      <x:c r="A1227" s="2" t="str">
        <x:v>DE-CMP-01</x:v>
      </x:c>
      <x:c r="B1227" s="2" t="str">
        <x:v>CFG-C01</x:v>
      </x:c>
      <x:c r="C1227" s="2" t="n">
        <x:v>46227.70238086805</x:v>
      </x:c>
      <x:c r="D1227" s="2" t="str">
        <x:v>os_cfar</x:v>
      </x:c>
      <x:c r="E1227" s="2" t="str">
        <x:v>variable_noise_floor</x:v>
      </x:c>
      <x:c r="F1227" s="2" t="str">
        <x:v>613</x:v>
      </x:c>
      <x:c r="G1227" s="2" t="str">
        <x:v>3164216</x:v>
      </x:c>
      <x:c r="H1227" s="2" t="str">
        <x:v>2048000.0</x:v>
      </x:c>
      <x:c r="I1227" s="2" t="str">
        <x:v>8192</x:v>
      </x:c>
      <x:c r="J1227" s="2" t="str">
        <x:v>250.0</x:v>
      </x:c>
      <x:c r="K1227" s="2" t="str">
        <x:v>1</x:v>
      </x:c>
      <x:c r="L1227" s="2" t="str">
        <x:v>3</x:v>
      </x:c>
      <x:c r="M1227" s="2" t="str">
        <x:v>1</x:v>
      </x:c>
      <x:c r="N1227" s="2" t="str">
        <x:v>2</x:v>
      </x:c>
      <x:c r="O1227" s="2" t="str">
        <x:v>0</x:v>
      </x:c>
      <x:c r="P1227" s="2" t="str">
        <x:v>true</x:v>
      </x:c>
      <x:c r="Q1227" s="2" t="str">
        <x:v>-72.725319419</x:v>
      </x:c>
      <x:c r="R1227" s="2" t="str">
        <x:v>13.859749989933334</x:v>
      </x:c>
      <x:c r="S1227" s="2" t="str">
        <x:v>48.025478710198485</x:v>
      </x:c>
    </x:row>
    <x:row r="1228">
      <x:c r="A1228" s="2" t="str">
        <x:v>DE-CMP-01</x:v>
      </x:c>
      <x:c r="B1228" s="2" t="str">
        <x:v>CFG-C01</x:v>
      </x:c>
      <x:c r="C1228" s="2" t="n">
        <x:v>46227.70238086805</x:v>
      </x:c>
      <x:c r="D1228" s="2" t="str">
        <x:v>os_cfar</x:v>
      </x:c>
      <x:c r="E1228" s="2" t="str">
        <x:v>variable_noise_floor</x:v>
      </x:c>
      <x:c r="F1228" s="2" t="str">
        <x:v>614</x:v>
      </x:c>
      <x:c r="G1228" s="2" t="str">
        <x:v>3164217</x:v>
      </x:c>
      <x:c r="H1228" s="2" t="str">
        <x:v>2048000.0</x:v>
      </x:c>
      <x:c r="I1228" s="2" t="str">
        <x:v>8192</x:v>
      </x:c>
      <x:c r="J1228" s="2" t="str">
        <x:v>250.0</x:v>
      </x:c>
      <x:c r="K1228" s="2" t="str">
        <x:v>1</x:v>
      </x:c>
      <x:c r="L1228" s="2" t="str">
        <x:v>3</x:v>
      </x:c>
      <x:c r="M1228" s="2" t="str">
        <x:v>1</x:v>
      </x:c>
      <x:c r="N1228" s="2" t="str">
        <x:v>2</x:v>
      </x:c>
      <x:c r="O1228" s="2" t="str">
        <x:v>0</x:v>
      </x:c>
      <x:c r="P1228" s="2" t="str">
        <x:v>true</x:v>
      </x:c>
      <x:c r="Q1228" s="2" t="str">
        <x:v>124.578043537</x:v>
      </x:c>
      <x:c r="R1228" s="2" t="str">
        <x:v>13.80312500987202</x:v>
      </x:c>
      <x:c r="S1228" s="2" t="str">
        <x:v>48.31439285266644</x:v>
      </x:c>
    </x:row>
    <x:row r="1229">
      <x:c r="A1229" s="2" t="str">
        <x:v>DE-CMP-01</x:v>
      </x:c>
      <x:c r="B1229" s="2" t="str">
        <x:v>CFG-C01</x:v>
      </x:c>
      <x:c r="C1229" s="2" t="n">
        <x:v>46227.70238086805</x:v>
      </x:c>
      <x:c r="D1229" s="2" t="str">
        <x:v>adaptive</x:v>
      </x:c>
      <x:c r="E1229" s="2" t="str">
        <x:v>variable_noise_floor</x:v>
      </x:c>
      <x:c r="F1229" s="2" t="str">
        <x:v>614</x:v>
      </x:c>
      <x:c r="G1229" s="2" t="str">
        <x:v>3164217</x:v>
      </x:c>
      <x:c r="H1229" s="2" t="str">
        <x:v>2048000.0</x:v>
      </x:c>
      <x:c r="I1229" s="2" t="str">
        <x:v>8192</x:v>
      </x:c>
      <x:c r="J1229" s="2" t="str">
        <x:v>250.0</x:v>
      </x:c>
      <x:c r="K1229" s="2" t="str">
        <x:v>1</x:v>
      </x:c>
      <x:c r="L1229" s="2" t="str">
        <x:v>3</x:v>
      </x:c>
      <x:c r="M1229" s="2" t="str">
        <x:v>1</x:v>
      </x:c>
      <x:c r="N1229" s="2" t="str">
        <x:v>2</x:v>
      </x:c>
      <x:c r="O1229" s="2" t="str">
        <x:v>0</x:v>
      </x:c>
      <x:c r="P1229" s="2" t="str">
        <x:v>true</x:v>
      </x:c>
      <x:c r="Q1229" s="2" t="str">
        <x:v>124.578043537</x:v>
      </x:c>
      <x:c r="R1229" s="2" t="str">
        <x:v>0.407375002396293</x:v>
      </x:c>
      <x:c r="S1229" s="2" t="str">
        <x:v>46.22185206759128</x:v>
      </x:c>
    </x:row>
    <x:row r="1230">
      <x:c r="A1230" s="2" t="str">
        <x:v>DE-CMP-01</x:v>
      </x:c>
      <x:c r="B1230" s="2" t="str">
        <x:v>CFG-C01</x:v>
      </x:c>
      <x:c r="C1230" s="2" t="n">
        <x:v>46227.70238086805</x:v>
      </x:c>
      <x:c r="D1230" s="2" t="str">
        <x:v>adaptive</x:v>
      </x:c>
      <x:c r="E1230" s="2" t="str">
        <x:v>variable_noise_floor</x:v>
      </x:c>
      <x:c r="F1230" s="2" t="str">
        <x:v>615</x:v>
      </x:c>
      <x:c r="G1230" s="2" t="str">
        <x:v>3164218</x:v>
      </x:c>
      <x:c r="H1230" s="2" t="str">
        <x:v>2048000.0</x:v>
      </x:c>
      <x:c r="I1230" s="2" t="str">
        <x:v>8192</x:v>
      </x:c>
      <x:c r="J1230" s="2" t="str">
        <x:v>250.0</x:v>
      </x:c>
      <x:c r="K1230" s="2" t="str">
        <x:v>1</x:v>
      </x:c>
      <x:c r="L1230" s="2" t="str">
        <x:v>3</x:v>
      </x:c>
      <x:c r="M1230" s="2" t="str">
        <x:v>1</x:v>
      </x:c>
      <x:c r="N1230" s="2" t="str">
        <x:v>2</x:v>
      </x:c>
      <x:c r="O1230" s="2" t="str">
        <x:v>0</x:v>
      </x:c>
      <x:c r="P1230" s="2" t="str">
        <x:v>true</x:v>
      </x:c>
      <x:c r="Q1230" s="2" t="str">
        <x:v>-1.849935984</x:v>
      </x:c>
      <x:c r="R1230" s="2" t="str">
        <x:v>0.4172909975750372</x:v>
      </x:c>
      <x:c r="S1230" s="2" t="str">
        <x:v>46.752333035132764</x:v>
      </x:c>
    </x:row>
    <x:row r="1231">
      <x:c r="A1231" s="2" t="str">
        <x:v>DE-CMP-01</x:v>
      </x:c>
      <x:c r="B1231" s="2" t="str">
        <x:v>CFG-C01</x:v>
      </x:c>
      <x:c r="C1231" s="2" t="n">
        <x:v>46227.70238086805</x:v>
      </x:c>
      <x:c r="D1231" s="2" t="str">
        <x:v>os_cfar</x:v>
      </x:c>
      <x:c r="E1231" s="2" t="str">
        <x:v>variable_noise_floor</x:v>
      </x:c>
      <x:c r="F1231" s="2" t="str">
        <x:v>615</x:v>
      </x:c>
      <x:c r="G1231" s="2" t="str">
        <x:v>3164218</x:v>
      </x:c>
      <x:c r="H1231" s="2" t="str">
        <x:v>2048000.0</x:v>
      </x:c>
      <x:c r="I1231" s="2" t="str">
        <x:v>8192</x:v>
      </x:c>
      <x:c r="J1231" s="2" t="str">
        <x:v>250.0</x:v>
      </x:c>
      <x:c r="K1231" s="2" t="str">
        <x:v>1</x:v>
      </x:c>
      <x:c r="L1231" s="2" t="str">
        <x:v>3</x:v>
      </x:c>
      <x:c r="M1231" s="2" t="str">
        <x:v>1</x:v>
      </x:c>
      <x:c r="N1231" s="2" t="str">
        <x:v>2</x:v>
      </x:c>
      <x:c r="O1231" s="2" t="str">
        <x:v>0</x:v>
      </x:c>
      <x:c r="P1231" s="2" t="str">
        <x:v>true</x:v>
      </x:c>
      <x:c r="Q1231" s="2" t="str">
        <x:v>-1.849935984</x:v>
      </x:c>
      <x:c r="R1231" s="2" t="str">
        <x:v>13.762709000729956</x:v>
      </x:c>
      <x:c r="S1231" s="2" t="str">
        <x:v>48.431528411614835</x:v>
      </x:c>
    </x:row>
    <x:row r="1232">
      <x:c r="A1232" s="2" t="str">
        <x:v>DE-CMP-01</x:v>
      </x:c>
      <x:c r="B1232" s="2" t="str">
        <x:v>CFG-C01</x:v>
      </x:c>
      <x:c r="C1232" s="2" t="n">
        <x:v>46227.70238086805</x:v>
      </x:c>
      <x:c r="D1232" s="2" t="str">
        <x:v>os_cfar</x:v>
      </x:c>
      <x:c r="E1232" s="2" t="str">
        <x:v>variable_noise_floor</x:v>
      </x:c>
      <x:c r="F1232" s="2" t="str">
        <x:v>616</x:v>
      </x:c>
      <x:c r="G1232" s="2" t="str">
        <x:v>3164219</x:v>
      </x:c>
      <x:c r="H1232" s="2" t="str">
        <x:v>2048000.0</x:v>
      </x:c>
      <x:c r="I1232" s="2" t="str">
        <x:v>8192</x:v>
      </x:c>
      <x:c r="J1232" s="2" t="str">
        <x:v>250.0</x:v>
      </x:c>
      <x:c r="K1232" s="2" t="str">
        <x:v>1</x:v>
      </x:c>
      <x:c r="L1232" s="2" t="str">
        <x:v>3</x:v>
      </x:c>
      <x:c r="M1232" s="2" t="str">
        <x:v>1</x:v>
      </x:c>
      <x:c r="N1232" s="2" t="str">
        <x:v>2</x:v>
      </x:c>
      <x:c r="O1232" s="2" t="str">
        <x:v>0</x:v>
      </x:c>
      <x:c r="P1232" s="2" t="str">
        <x:v>true</x:v>
      </x:c>
      <x:c r="Q1232" s="2" t="str">
        <x:v>15.338550766</x:v>
      </x:c>
      <x:c r="R1232" s="2" t="str">
        <x:v>14.016333996551111</x:v>
      </x:c>
      <x:c r="S1232" s="2" t="str">
        <x:v>48.58445605687389</x:v>
      </x:c>
    </x:row>
    <x:row r="1233">
      <x:c r="A1233" s="2" t="str">
        <x:v>DE-CMP-01</x:v>
      </x:c>
      <x:c r="B1233" s="2" t="str">
        <x:v>CFG-C01</x:v>
      </x:c>
      <x:c r="C1233" s="2" t="n">
        <x:v>46227.70238086805</x:v>
      </x:c>
      <x:c r="D1233" s="2" t="str">
        <x:v>adaptive</x:v>
      </x:c>
      <x:c r="E1233" s="2" t="str">
        <x:v>variable_noise_floor</x:v>
      </x:c>
      <x:c r="F1233" s="2" t="str">
        <x:v>616</x:v>
      </x:c>
      <x:c r="G1233" s="2" t="str">
        <x:v>3164219</x:v>
      </x:c>
      <x:c r="H1233" s="2" t="str">
        <x:v>2048000.0</x:v>
      </x:c>
      <x:c r="I1233" s="2" t="str">
        <x:v>8192</x:v>
      </x:c>
      <x:c r="J1233" s="2" t="str">
        <x:v>250.0</x:v>
      </x:c>
      <x:c r="K1233" s="2" t="str">
        <x:v>1</x:v>
      </x:c>
      <x:c r="L1233" s="2" t="str">
        <x:v>3</x:v>
      </x:c>
      <x:c r="M1233" s="2" t="str">
        <x:v>1</x:v>
      </x:c>
      <x:c r="N1233" s="2" t="str">
        <x:v>2</x:v>
      </x:c>
      <x:c r="O1233" s="2" t="str">
        <x:v>0</x:v>
      </x:c>
      <x:c r="P1233" s="2" t="str">
        <x:v>true</x:v>
      </x:c>
      <x:c r="Q1233" s="2" t="str">
        <x:v>15.338550766</x:v>
      </x:c>
      <x:c r="R1233" s="2" t="str">
        <x:v>0.5185830086702481</x:v>
      </x:c>
      <x:c r="S1233" s="2" t="str">
        <x:v>46.62421137133052</x:v>
      </x:c>
    </x:row>
    <x:row r="1234">
      <x:c r="A1234" s="2" t="str">
        <x:v>DE-CMP-01</x:v>
      </x:c>
      <x:c r="B1234" s="2" t="str">
        <x:v>CFG-C01</x:v>
      </x:c>
      <x:c r="C1234" s="2" t="n">
        <x:v>46227.70238086805</x:v>
      </x:c>
      <x:c r="D1234" s="2" t="str">
        <x:v>adaptive</x:v>
      </x:c>
      <x:c r="E1234" s="2" t="str">
        <x:v>variable_noise_floor</x:v>
      </x:c>
      <x:c r="F1234" s="2" t="str">
        <x:v>617</x:v>
      </x:c>
      <x:c r="G1234" s="2" t="str">
        <x:v>3164220</x:v>
      </x:c>
      <x:c r="H1234" s="2" t="str">
        <x:v>2048000.0</x:v>
      </x:c>
      <x:c r="I1234" s="2" t="str">
        <x:v>8192</x:v>
      </x:c>
      <x:c r="J1234" s="2" t="str">
        <x:v>250.0</x:v>
      </x:c>
      <x:c r="K1234" s="2" t="str">
        <x:v>1</x:v>
      </x:c>
      <x:c r="L1234" s="2" t="str">
        <x:v>3</x:v>
      </x:c>
      <x:c r="M1234" s="2" t="str">
        <x:v>1</x:v>
      </x:c>
      <x:c r="N1234" s="2" t="str">
        <x:v>2</x:v>
      </x:c>
      <x:c r="O1234" s="2" t="str">
        <x:v>0</x:v>
      </x:c>
      <x:c r="P1234" s="2" t="str">
        <x:v>true</x:v>
      </x:c>
      <x:c r="Q1234" s="2" t="str">
        <x:v>-69.727002640</x:v>
      </x:c>
      <x:c r="R1234" s="2" t="str">
        <x:v>0.4335410048952326</x:v>
      </x:c>
      <x:c r="S1234" s="2" t="str">
        <x:v>46.40076222649507</x:v>
      </x:c>
    </x:row>
    <x:row r="1235">
      <x:c r="A1235" s="2" t="str">
        <x:v>DE-CMP-01</x:v>
      </x:c>
      <x:c r="B1235" s="2" t="str">
        <x:v>CFG-C01</x:v>
      </x:c>
      <x:c r="C1235" s="2" t="n">
        <x:v>46227.70238086805</x:v>
      </x:c>
      <x:c r="D1235" s="2" t="str">
        <x:v>os_cfar</x:v>
      </x:c>
      <x:c r="E1235" s="2" t="str">
        <x:v>variable_noise_floor</x:v>
      </x:c>
      <x:c r="F1235" s="2" t="str">
        <x:v>617</x:v>
      </x:c>
      <x:c r="G1235" s="2" t="str">
        <x:v>3164220</x:v>
      </x:c>
      <x:c r="H1235" s="2" t="str">
        <x:v>2048000.0</x:v>
      </x:c>
      <x:c r="I1235" s="2" t="str">
        <x:v>8192</x:v>
      </x:c>
      <x:c r="J1235" s="2" t="str">
        <x:v>250.0</x:v>
      </x:c>
      <x:c r="K1235" s="2" t="str">
        <x:v>1</x:v>
      </x:c>
      <x:c r="L1235" s="2" t="str">
        <x:v>3</x:v>
      </x:c>
      <x:c r="M1235" s="2" t="str">
        <x:v>1</x:v>
      </x:c>
      <x:c r="N1235" s="2" t="str">
        <x:v>2</x:v>
      </x:c>
      <x:c r="O1235" s="2" t="str">
        <x:v>0</x:v>
      </x:c>
      <x:c r="P1235" s="2" t="str">
        <x:v>true</x:v>
      </x:c>
      <x:c r="Q1235" s="2" t="str">
        <x:v>-69.727002640</x:v>
      </x:c>
      <x:c r="R1235" s="2" t="str">
        <x:v>14.034749998245388</x:v>
      </x:c>
      <x:c r="S1235" s="2" t="str">
        <x:v>48.38638407263119</x:v>
      </x:c>
    </x:row>
    <x:row r="1236">
      <x:c r="A1236" s="2" t="str">
        <x:v>DE-CMP-01</x:v>
      </x:c>
      <x:c r="B1236" s="2" t="str">
        <x:v>CFG-C01</x:v>
      </x:c>
      <x:c r="C1236" s="2" t="n">
        <x:v>46227.70238086805</x:v>
      </x:c>
      <x:c r="D1236" s="2" t="str">
        <x:v>os_cfar</x:v>
      </x:c>
      <x:c r="E1236" s="2" t="str">
        <x:v>variable_noise_floor</x:v>
      </x:c>
      <x:c r="F1236" s="2" t="str">
        <x:v>618</x:v>
      </x:c>
      <x:c r="G1236" s="2" t="str">
        <x:v>3164221</x:v>
      </x:c>
      <x:c r="H1236" s="2" t="str">
        <x:v>2048000.0</x:v>
      </x:c>
      <x:c r="I1236" s="2" t="str">
        <x:v>8192</x:v>
      </x:c>
      <x:c r="J1236" s="2" t="str">
        <x:v>250.0</x:v>
      </x:c>
      <x:c r="K1236" s="2" t="str">
        <x:v>1</x:v>
      </x:c>
      <x:c r="L1236" s="2" t="str">
        <x:v>3</x:v>
      </x:c>
      <x:c r="M1236" s="2" t="str">
        <x:v>1</x:v>
      </x:c>
      <x:c r="N1236" s="2" t="str">
        <x:v>2</x:v>
      </x:c>
      <x:c r="O1236" s="2" t="str">
        <x:v>0</x:v>
      </x:c>
      <x:c r="P1236" s="2" t="str">
        <x:v>true</x:v>
      </x:c>
      <x:c r="Q1236" s="2" t="str">
        <x:v>74.819953240</x:v>
      </x:c>
      <x:c r="R1236" s="2" t="str">
        <x:v>14.102957997238263</x:v>
      </x:c>
      <x:c r="S1236" s="2" t="str">
        <x:v>48.226521020757545</x:v>
      </x:c>
    </x:row>
    <x:row r="1237">
      <x:c r="A1237" s="2" t="str">
        <x:v>DE-CMP-01</x:v>
      </x:c>
      <x:c r="B1237" s="2" t="str">
        <x:v>CFG-C01</x:v>
      </x:c>
      <x:c r="C1237" s="2" t="n">
        <x:v>46227.70238086805</x:v>
      </x:c>
      <x:c r="D1237" s="2" t="str">
        <x:v>adaptive</x:v>
      </x:c>
      <x:c r="E1237" s="2" t="str">
        <x:v>variable_noise_floor</x:v>
      </x:c>
      <x:c r="F1237" s="2" t="str">
        <x:v>618</x:v>
      </x:c>
      <x:c r="G1237" s="2" t="str">
        <x:v>3164221</x:v>
      </x:c>
      <x:c r="H1237" s="2" t="str">
        <x:v>2048000.0</x:v>
      </x:c>
      <x:c r="I1237" s="2" t="str">
        <x:v>8192</x:v>
      </x:c>
      <x:c r="J1237" s="2" t="str">
        <x:v>250.0</x:v>
      </x:c>
      <x:c r="K1237" s="2" t="str">
        <x:v>1</x:v>
      </x:c>
      <x:c r="L1237" s="2" t="str">
        <x:v>3</x:v>
      </x:c>
      <x:c r="M1237" s="2" t="str">
        <x:v>1</x:v>
      </x:c>
      <x:c r="N1237" s="2" t="str">
        <x:v>2</x:v>
      </x:c>
      <x:c r="O1237" s="2" t="str">
        <x:v>0</x:v>
      </x:c>
      <x:c r="P1237" s="2" t="str">
        <x:v>true</x:v>
      </x:c>
      <x:c r="Q1237" s="2" t="str">
        <x:v>74.819953240</x:v>
      </x:c>
      <x:c r="R1237" s="2" t="str">
        <x:v>0.4530419973889366</x:v>
      </x:c>
      <x:c r="S1237" s="2" t="str">
        <x:v>46.14671109459298</x:v>
      </x:c>
    </x:row>
    <x:row r="1238">
      <x:c r="A1238" s="2" t="str">
        <x:v>DE-CMP-01</x:v>
      </x:c>
      <x:c r="B1238" s="2" t="str">
        <x:v>CFG-C01</x:v>
      </x:c>
      <x:c r="C1238" s="2" t="n">
        <x:v>46227.70238086805</x:v>
      </x:c>
      <x:c r="D1238" s="2" t="str">
        <x:v>adaptive</x:v>
      </x:c>
      <x:c r="E1238" s="2" t="str">
        <x:v>variable_noise_floor</x:v>
      </x:c>
      <x:c r="F1238" s="2" t="str">
        <x:v>619</x:v>
      </x:c>
      <x:c r="G1238" s="2" t="str">
        <x:v>3164222</x:v>
      </x:c>
      <x:c r="H1238" s="2" t="str">
        <x:v>2048000.0</x:v>
      </x:c>
      <x:c r="I1238" s="2" t="str">
        <x:v>8192</x:v>
      </x:c>
      <x:c r="J1238" s="2" t="str">
        <x:v>250.0</x:v>
      </x:c>
      <x:c r="K1238" s="2" t="str">
        <x:v>1</x:v>
      </x:c>
      <x:c r="L1238" s="2" t="str">
        <x:v>3</x:v>
      </x:c>
      <x:c r="M1238" s="2" t="str">
        <x:v>1</x:v>
      </x:c>
      <x:c r="N1238" s="2" t="str">
        <x:v>2</x:v>
      </x:c>
      <x:c r="O1238" s="2" t="str">
        <x:v>0</x:v>
      </x:c>
      <x:c r="P1238" s="2" t="str">
        <x:v>true</x:v>
      </x:c>
      <x:c r="Q1238" s="2" t="str">
        <x:v>-27.010662646</x:v>
      </x:c>
      <x:c r="R1238" s="2" t="str">
        <x:v>0.43058399751316756</x:v>
      </x:c>
      <x:c r="S1238" s="2" t="str">
        <x:v>46.30957181069708</x:v>
      </x:c>
    </x:row>
    <x:row r="1239">
      <x:c r="A1239" s="2" t="str">
        <x:v>DE-CMP-01</x:v>
      </x:c>
      <x:c r="B1239" s="2" t="str">
        <x:v>CFG-C01</x:v>
      </x:c>
      <x:c r="C1239" s="2" t="n">
        <x:v>46227.70238086805</x:v>
      </x:c>
      <x:c r="D1239" s="2" t="str">
        <x:v>os_cfar</x:v>
      </x:c>
      <x:c r="E1239" s="2" t="str">
        <x:v>variable_noise_floor</x:v>
      </x:c>
      <x:c r="F1239" s="2" t="str">
        <x:v>619</x:v>
      </x:c>
      <x:c r="G1239" s="2" t="str">
        <x:v>3164222</x:v>
      </x:c>
      <x:c r="H1239" s="2" t="str">
        <x:v>2048000.0</x:v>
      </x:c>
      <x:c r="I1239" s="2" t="str">
        <x:v>8192</x:v>
      </x:c>
      <x:c r="J1239" s="2" t="str">
        <x:v>250.0</x:v>
      </x:c>
      <x:c r="K1239" s="2" t="str">
        <x:v>1</x:v>
      </x:c>
      <x:c r="L1239" s="2" t="str">
        <x:v>3</x:v>
      </x:c>
      <x:c r="M1239" s="2" t="str">
        <x:v>1</x:v>
      </x:c>
      <x:c r="N1239" s="2" t="str">
        <x:v>2</x:v>
      </x:c>
      <x:c r="O1239" s="2" t="str">
        <x:v>0</x:v>
      </x:c>
      <x:c r="P1239" s="2" t="str">
        <x:v>true</x:v>
      </x:c>
      <x:c r="Q1239" s="2" t="str">
        <x:v>-27.010662646</x:v>
      </x:c>
      <x:c r="R1239" s="2" t="str">
        <x:v>13.994749999255873</x:v>
      </x:c>
      <x:c r="S1239" s="2" t="str">
        <x:v>48.30097860950752</x:v>
      </x:c>
    </x:row>
    <x:row r="1240">
      <x:c r="A1240" s="2" t="str">
        <x:v>DE-CMP-01</x:v>
      </x:c>
      <x:c r="B1240" s="2" t="str">
        <x:v>CFG-C01</x:v>
      </x:c>
      <x:c r="C1240" s="2" t="n">
        <x:v>46227.70238086805</x:v>
      </x:c>
      <x:c r="D1240" s="2" t="str">
        <x:v>os_cfar</x:v>
      </x:c>
      <x:c r="E1240" s="2" t="str">
        <x:v>variable_noise_floor</x:v>
      </x:c>
      <x:c r="F1240" s="2" t="str">
        <x:v>620</x:v>
      </x:c>
      <x:c r="G1240" s="2" t="str">
        <x:v>3164223</x:v>
      </x:c>
      <x:c r="H1240" s="2" t="str">
        <x:v>2048000.0</x:v>
      </x:c>
      <x:c r="I1240" s="2" t="str">
        <x:v>8192</x:v>
      </x:c>
      <x:c r="J1240" s="2" t="str">
        <x:v>250.0</x:v>
      </x:c>
      <x:c r="K1240" s="2" t="str">
        <x:v>1</x:v>
      </x:c>
      <x:c r="L1240" s="2" t="str">
        <x:v>3</x:v>
      </x:c>
      <x:c r="M1240" s="2" t="str">
        <x:v>1</x:v>
      </x:c>
      <x:c r="N1240" s="2" t="str">
        <x:v>2</x:v>
      </x:c>
      <x:c r="O1240" s="2" t="str">
        <x:v>0</x:v>
      </x:c>
      <x:c r="P1240" s="2" t="str">
        <x:v>true</x:v>
      </x:c>
      <x:c r="Q1240" s="2" t="str">
        <x:v>116.361073732</x:v>
      </x:c>
      <x:c r="R1240" s="2" t="str">
        <x:v>13.924250000854954</x:v>
      </x:c>
      <x:c r="S1240" s="2" t="str">
        <x:v>48.00773423260767</x:v>
      </x:c>
    </x:row>
    <x:row r="1241">
      <x:c r="A1241" s="2" t="str">
        <x:v>DE-CMP-01</x:v>
      </x:c>
      <x:c r="B1241" s="2" t="str">
        <x:v>CFG-C01</x:v>
      </x:c>
      <x:c r="C1241" s="2" t="n">
        <x:v>46227.70238086805</x:v>
      </x:c>
      <x:c r="D1241" s="2" t="str">
        <x:v>adaptive</x:v>
      </x:c>
      <x:c r="E1241" s="2" t="str">
        <x:v>variable_noise_floor</x:v>
      </x:c>
      <x:c r="F1241" s="2" t="str">
        <x:v>620</x:v>
      </x:c>
      <x:c r="G1241" s="2" t="str">
        <x:v>3164223</x:v>
      </x:c>
      <x:c r="H1241" s="2" t="str">
        <x:v>2048000.0</x:v>
      </x:c>
      <x:c r="I1241" s="2" t="str">
        <x:v>8192</x:v>
      </x:c>
      <x:c r="J1241" s="2" t="str">
        <x:v>250.0</x:v>
      </x:c>
      <x:c r="K1241" s="2" t="str">
        <x:v>1</x:v>
      </x:c>
      <x:c r="L1241" s="2" t="str">
        <x:v>3</x:v>
      </x:c>
      <x:c r="M1241" s="2" t="str">
        <x:v>1</x:v>
      </x:c>
      <x:c r="N1241" s="2" t="str">
        <x:v>2</x:v>
      </x:c>
      <x:c r="O1241" s="2" t="str">
        <x:v>0</x:v>
      </x:c>
      <x:c r="P1241" s="2" t="str">
        <x:v>true</x:v>
      </x:c>
      <x:c r="Q1241" s="2" t="str">
        <x:v>116.361073732</x:v>
      </x:c>
      <x:c r="R1241" s="2" t="str">
        <x:v>0.4391670081531629</x:v>
      </x:c>
      <x:c r="S1241" s="2" t="str">
        <x:v>46.58321523516986</x:v>
      </x:c>
    </x:row>
    <x:row r="1242">
      <x:c r="A1242" s="2" t="str">
        <x:v>DE-CMP-01</x:v>
      </x:c>
      <x:c r="B1242" s="2" t="str">
        <x:v>CFG-C01</x:v>
      </x:c>
      <x:c r="C1242" s="2" t="n">
        <x:v>46227.70238086805</x:v>
      </x:c>
      <x:c r="D1242" s="2" t="str">
        <x:v>adaptive</x:v>
      </x:c>
      <x:c r="E1242" s="2" t="str">
        <x:v>variable_noise_floor</x:v>
      </x:c>
      <x:c r="F1242" s="2" t="str">
        <x:v>621</x:v>
      </x:c>
      <x:c r="G1242" s="2" t="str">
        <x:v>3164224</x:v>
      </x:c>
      <x:c r="H1242" s="2" t="str">
        <x:v>2048000.0</x:v>
      </x:c>
      <x:c r="I1242" s="2" t="str">
        <x:v>8192</x:v>
      </x:c>
      <x:c r="J1242" s="2" t="str">
        <x:v>250.0</x:v>
      </x:c>
      <x:c r="K1242" s="2" t="str">
        <x:v>1</x:v>
      </x:c>
      <x:c r="L1242" s="2" t="str">
        <x:v>3</x:v>
      </x:c>
      <x:c r="M1242" s="2" t="str">
        <x:v>1</x:v>
      </x:c>
      <x:c r="N1242" s="2" t="str">
        <x:v>2</x:v>
      </x:c>
      <x:c r="O1242" s="2" t="str">
        <x:v>0</x:v>
      </x:c>
      <x:c r="P1242" s="2" t="str">
        <x:v>true</x:v>
      </x:c>
      <x:c r="Q1242" s="2" t="str">
        <x:v>82.054473011</x:v>
      </x:c>
      <x:c r="R1242" s="2" t="str">
        <x:v>0.41891699947882444</x:v>
      </x:c>
      <x:c r="S1242" s="2" t="str">
        <x:v>46.21434244475748</x:v>
      </x:c>
    </x:row>
    <x:row r="1243">
      <x:c r="A1243" s="2" t="str">
        <x:v>DE-CMP-01</x:v>
      </x:c>
      <x:c r="B1243" s="2" t="str">
        <x:v>CFG-C01</x:v>
      </x:c>
      <x:c r="C1243" s="2" t="n">
        <x:v>46227.70238086805</x:v>
      </x:c>
      <x:c r="D1243" s="2" t="str">
        <x:v>os_cfar</x:v>
      </x:c>
      <x:c r="E1243" s="2" t="str">
        <x:v>variable_noise_floor</x:v>
      </x:c>
      <x:c r="F1243" s="2" t="str">
        <x:v>621</x:v>
      </x:c>
      <x:c r="G1243" s="2" t="str">
        <x:v>3164224</x:v>
      </x:c>
      <x:c r="H1243" s="2" t="str">
        <x:v>2048000.0</x:v>
      </x:c>
      <x:c r="I1243" s="2" t="str">
        <x:v>8192</x:v>
      </x:c>
      <x:c r="J1243" s="2" t="str">
        <x:v>250.0</x:v>
      </x:c>
      <x:c r="K1243" s="2" t="str">
        <x:v>1</x:v>
      </x:c>
      <x:c r="L1243" s="2" t="str">
        <x:v>3</x:v>
      </x:c>
      <x:c r="M1243" s="2" t="str">
        <x:v>1</x:v>
      </x:c>
      <x:c r="N1243" s="2" t="str">
        <x:v>2</x:v>
      </x:c>
      <x:c r="O1243" s="2" t="str">
        <x:v>0</x:v>
      </x:c>
      <x:c r="P1243" s="2" t="str">
        <x:v>true</x:v>
      </x:c>
      <x:c r="Q1243" s="2" t="str">
        <x:v>82.054473011</x:v>
      </x:c>
      <x:c r="R1243" s="2" t="str">
        <x:v>13.94270799937658</x:v>
      </x:c>
      <x:c r="S1243" s="2" t="str">
        <x:v>48.01770762379883</x:v>
      </x:c>
    </x:row>
    <x:row r="1244">
      <x:c r="A1244" s="2" t="str">
        <x:v>DE-CMP-01</x:v>
      </x:c>
      <x:c r="B1244" s="2" t="str">
        <x:v>CFG-C01</x:v>
      </x:c>
      <x:c r="C1244" s="2" t="n">
        <x:v>46227.70238086805</x:v>
      </x:c>
      <x:c r="D1244" s="2" t="str">
        <x:v>os_cfar</x:v>
      </x:c>
      <x:c r="E1244" s="2" t="str">
        <x:v>variable_noise_floor</x:v>
      </x:c>
      <x:c r="F1244" s="2" t="str">
        <x:v>622</x:v>
      </x:c>
      <x:c r="G1244" s="2" t="str">
        <x:v>3164225</x:v>
      </x:c>
      <x:c r="H1244" s="2" t="str">
        <x:v>2048000.0</x:v>
      </x:c>
      <x:c r="I1244" s="2" t="str">
        <x:v>8192</x:v>
      </x:c>
      <x:c r="J1244" s="2" t="str">
        <x:v>250.0</x:v>
      </x:c>
      <x:c r="K1244" s="2" t="str">
        <x:v>1</x:v>
      </x:c>
      <x:c r="L1244" s="2" t="str">
        <x:v>3</x:v>
      </x:c>
      <x:c r="M1244" s="2" t="str">
        <x:v>1</x:v>
      </x:c>
      <x:c r="N1244" s="2" t="str">
        <x:v>2</x:v>
      </x:c>
      <x:c r="O1244" s="2" t="str">
        <x:v>0</x:v>
      </x:c>
      <x:c r="P1244" s="2" t="str">
        <x:v>true</x:v>
      </x:c>
      <x:c r="Q1244" s="2" t="str">
        <x:v>-88.149360689</x:v>
      </x:c>
      <x:c r="R1244" s="2" t="str">
        <x:v>14.007709003635682</x:v>
      </x:c>
      <x:c r="S1244" s="2" t="str">
        <x:v>48.10636336094757</x:v>
      </x:c>
    </x:row>
    <x:row r="1245">
      <x:c r="A1245" s="2" t="str">
        <x:v>DE-CMP-01</x:v>
      </x:c>
      <x:c r="B1245" s="2" t="str">
        <x:v>CFG-C01</x:v>
      </x:c>
      <x:c r="C1245" s="2" t="n">
        <x:v>46227.70238086805</x:v>
      </x:c>
      <x:c r="D1245" s="2" t="str">
        <x:v>adaptive</x:v>
      </x:c>
      <x:c r="E1245" s="2" t="str">
        <x:v>variable_noise_floor</x:v>
      </x:c>
      <x:c r="F1245" s="2" t="str">
        <x:v>622</x:v>
      </x:c>
      <x:c r="G1245" s="2" t="str">
        <x:v>3164225</x:v>
      </x:c>
      <x:c r="H1245" s="2" t="str">
        <x:v>2048000.0</x:v>
      </x:c>
      <x:c r="I1245" s="2" t="str">
        <x:v>8192</x:v>
      </x:c>
      <x:c r="J1245" s="2" t="str">
        <x:v>250.0</x:v>
      </x:c>
      <x:c r="K1245" s="2" t="str">
        <x:v>1</x:v>
      </x:c>
      <x:c r="L1245" s="2" t="str">
        <x:v>3</x:v>
      </x:c>
      <x:c r="M1245" s="2" t="str">
        <x:v>1</x:v>
      </x:c>
      <x:c r="N1245" s="2" t="str">
        <x:v>2</x:v>
      </x:c>
      <x:c r="O1245" s="2" t="str">
        <x:v>0</x:v>
      </x:c>
      <x:c r="P1245" s="2" t="str">
        <x:v>true</x:v>
      </x:c>
      <x:c r="Q1245" s="2" t="str">
        <x:v>-88.149360689</x:v>
      </x:c>
      <x:c r="R1245" s="2" t="str">
        <x:v>0.4453330038813874</x:v>
      </x:c>
      <x:c r="S1245" s="2" t="str">
        <x:v>46.29258913195729</x:v>
      </x:c>
    </x:row>
    <x:row r="1246">
      <x:c r="A1246" s="2" t="str">
        <x:v>DE-CMP-01</x:v>
      </x:c>
      <x:c r="B1246" s="2" t="str">
        <x:v>CFG-C01</x:v>
      </x:c>
      <x:c r="C1246" s="2" t="n">
        <x:v>46227.70238086805</x:v>
      </x:c>
      <x:c r="D1246" s="2" t="str">
        <x:v>adaptive</x:v>
      </x:c>
      <x:c r="E1246" s="2" t="str">
        <x:v>variable_noise_floor</x:v>
      </x:c>
      <x:c r="F1246" s="2" t="str">
        <x:v>623</x:v>
      </x:c>
      <x:c r="G1246" s="2" t="str">
        <x:v>3164226</x:v>
      </x:c>
      <x:c r="H1246" s="2" t="str">
        <x:v>2048000.0</x:v>
      </x:c>
      <x:c r="I1246" s="2" t="str">
        <x:v>8192</x:v>
      </x:c>
      <x:c r="J1246" s="2" t="str">
        <x:v>250.0</x:v>
      </x:c>
      <x:c r="K1246" s="2" t="str">
        <x:v>1</x:v>
      </x:c>
      <x:c r="L1246" s="2" t="str">
        <x:v>3</x:v>
      </x:c>
      <x:c r="M1246" s="2" t="str">
        <x:v>1</x:v>
      </x:c>
      <x:c r="N1246" s="2" t="str">
        <x:v>2</x:v>
      </x:c>
      <x:c r="O1246" s="2" t="str">
        <x:v>0</x:v>
      </x:c>
      <x:c r="P1246" s="2" t="str">
        <x:v>true</x:v>
      </x:c>
      <x:c r="Q1246" s="2" t="str">
        <x:v>-78.480153966</x:v>
      </x:c>
      <x:c r="R1246" s="2" t="str">
        <x:v>0.42350000876467675</x:v>
      </x:c>
      <x:c r="S1246" s="2" t="str">
        <x:v>45.97338853770758</x:v>
      </x:c>
    </x:row>
    <x:row r="1247">
      <x:c r="A1247" s="2" t="str">
        <x:v>DE-CMP-01</x:v>
      </x:c>
      <x:c r="B1247" s="2" t="str">
        <x:v>CFG-C01</x:v>
      </x:c>
      <x:c r="C1247" s="2" t="n">
        <x:v>46227.70238086805</x:v>
      </x:c>
      <x:c r="D1247" s="2" t="str">
        <x:v>os_cfar</x:v>
      </x:c>
      <x:c r="E1247" s="2" t="str">
        <x:v>variable_noise_floor</x:v>
      </x:c>
      <x:c r="F1247" s="2" t="str">
        <x:v>623</x:v>
      </x:c>
      <x:c r="G1247" s="2" t="str">
        <x:v>3164226</x:v>
      </x:c>
      <x:c r="H1247" s="2" t="str">
        <x:v>2048000.0</x:v>
      </x:c>
      <x:c r="I1247" s="2" t="str">
        <x:v>8192</x:v>
      </x:c>
      <x:c r="J1247" s="2" t="str">
        <x:v>250.0</x:v>
      </x:c>
      <x:c r="K1247" s="2" t="str">
        <x:v>1</x:v>
      </x:c>
      <x:c r="L1247" s="2" t="str">
        <x:v>3</x:v>
      </x:c>
      <x:c r="M1247" s="2" t="str">
        <x:v>1</x:v>
      </x:c>
      <x:c r="N1247" s="2" t="str">
        <x:v>2</x:v>
      </x:c>
      <x:c r="O1247" s="2" t="str">
        <x:v>0</x:v>
      </x:c>
      <x:c r="P1247" s="2" t="str">
        <x:v>true</x:v>
      </x:c>
      <x:c r="Q1247" s="2" t="str">
        <x:v>-78.480153966</x:v>
      </x:c>
      <x:c r="R1247" s="2" t="str">
        <x:v>14.043040995602496</x:v>
      </x:c>
      <x:c r="S1247" s="2" t="str">
        <x:v>48.23838900025807</x:v>
      </x:c>
    </x:row>
    <x:row r="1248">
      <x:c r="A1248" s="2" t="str">
        <x:v>DE-CMP-01</x:v>
      </x:c>
      <x:c r="B1248" s="2" t="str">
        <x:v>CFG-C01</x:v>
      </x:c>
      <x:c r="C1248" s="2" t="n">
        <x:v>46227.70238086805</x:v>
      </x:c>
      <x:c r="D1248" s="2" t="str">
        <x:v>os_cfar</x:v>
      </x:c>
      <x:c r="E1248" s="2" t="str">
        <x:v>variable_noise_floor</x:v>
      </x:c>
      <x:c r="F1248" s="2" t="str">
        <x:v>624</x:v>
      </x:c>
      <x:c r="G1248" s="2" t="str">
        <x:v>3164227</x:v>
      </x:c>
      <x:c r="H1248" s="2" t="str">
        <x:v>2048000.0</x:v>
      </x:c>
      <x:c r="I1248" s="2" t="str">
        <x:v>8192</x:v>
      </x:c>
      <x:c r="J1248" s="2" t="str">
        <x:v>250.0</x:v>
      </x:c>
      <x:c r="K1248" s="2" t="str">
        <x:v>1</x:v>
      </x:c>
      <x:c r="L1248" s="2" t="str">
        <x:v>3</x:v>
      </x:c>
      <x:c r="M1248" s="2" t="str">
        <x:v>1</x:v>
      </x:c>
      <x:c r="N1248" s="2" t="str">
        <x:v>2</x:v>
      </x:c>
      <x:c r="O1248" s="2" t="str">
        <x:v>0</x:v>
      </x:c>
      <x:c r="P1248" s="2" t="str">
        <x:v>true</x:v>
      </x:c>
      <x:c r="Q1248" s="2" t="str">
        <x:v>-79.337567669</x:v>
      </x:c>
      <x:c r="R1248" s="2" t="str">
        <x:v>14.0148750069784</x:v>
      </x:c>
      <x:c r="S1248" s="2" t="str">
        <x:v>48.36233574673912</x:v>
      </x:c>
    </x:row>
    <x:row r="1249">
      <x:c r="A1249" s="2" t="str">
        <x:v>DE-CMP-01</x:v>
      </x:c>
      <x:c r="B1249" s="2" t="str">
        <x:v>CFG-C01</x:v>
      </x:c>
      <x:c r="C1249" s="2" t="n">
        <x:v>46227.70238086805</x:v>
      </x:c>
      <x:c r="D1249" s="2" t="str">
        <x:v>adaptive</x:v>
      </x:c>
      <x:c r="E1249" s="2" t="str">
        <x:v>variable_noise_floor</x:v>
      </x:c>
      <x:c r="F1249" s="2" t="str">
        <x:v>624</x:v>
      </x:c>
      <x:c r="G1249" s="2" t="str">
        <x:v>3164227</x:v>
      </x:c>
      <x:c r="H1249" s="2" t="str">
        <x:v>2048000.0</x:v>
      </x:c>
      <x:c r="I1249" s="2" t="str">
        <x:v>8192</x:v>
      </x:c>
      <x:c r="J1249" s="2" t="str">
        <x:v>250.0</x:v>
      </x:c>
      <x:c r="K1249" s="2" t="str">
        <x:v>1</x:v>
      </x:c>
      <x:c r="L1249" s="2" t="str">
        <x:v>3</x:v>
      </x:c>
      <x:c r="M1249" s="2" t="str">
        <x:v>1</x:v>
      </x:c>
      <x:c r="N1249" s="2" t="str">
        <x:v>2</x:v>
      </x:c>
      <x:c r="O1249" s="2" t="str">
        <x:v>0</x:v>
      </x:c>
      <x:c r="P1249" s="2" t="str">
        <x:v>true</x:v>
      </x:c>
      <x:c r="Q1249" s="2" t="str">
        <x:v>-79.337567669</x:v>
      </x:c>
      <x:c r="R1249" s="2" t="str">
        <x:v>0.426583006628789</x:v>
      </x:c>
      <x:c r="S1249" s="2" t="str">
        <x:v>46.04185389439464</x:v>
      </x:c>
    </x:row>
    <x:row r="1250">
      <x:c r="A1250" s="2" t="str">
        <x:v>DE-CMP-01</x:v>
      </x:c>
      <x:c r="B1250" s="2" t="str">
        <x:v>CFG-C01</x:v>
      </x:c>
      <x:c r="C1250" s="2" t="n">
        <x:v>46227.70238086805</x:v>
      </x:c>
      <x:c r="D1250" s="2" t="str">
        <x:v>adaptive</x:v>
      </x:c>
      <x:c r="E1250" s="2" t="str">
        <x:v>variable_noise_floor</x:v>
      </x:c>
      <x:c r="F1250" s="2" t="str">
        <x:v>625</x:v>
      </x:c>
      <x:c r="G1250" s="2" t="str">
        <x:v>3164228</x:v>
      </x:c>
      <x:c r="H1250" s="2" t="str">
        <x:v>2048000.0</x:v>
      </x:c>
      <x:c r="I1250" s="2" t="str">
        <x:v>8192</x:v>
      </x:c>
      <x:c r="J1250" s="2" t="str">
        <x:v>250.0</x:v>
      </x:c>
      <x:c r="K1250" s="2" t="str">
        <x:v>1</x:v>
      </x:c>
      <x:c r="L1250" s="2" t="str">
        <x:v>3</x:v>
      </x:c>
      <x:c r="M1250" s="2" t="str">
        <x:v>1</x:v>
      </x:c>
      <x:c r="N1250" s="2" t="str">
        <x:v>2</x:v>
      </x:c>
      <x:c r="O1250" s="2" t="str">
        <x:v>0</x:v>
      </x:c>
      <x:c r="P1250" s="2" t="str">
        <x:v>true</x:v>
      </x:c>
      <x:c r="Q1250" s="2" t="str">
        <x:v>107.570493787</x:v>
      </x:c>
      <x:c r="R1250" s="2" t="str">
        <x:v>0.38129200402181596</x:v>
      </x:c>
      <x:c r="S1250" s="2" t="str">
        <x:v>46.28881791648678</x:v>
      </x:c>
    </x:row>
    <x:row r="1251">
      <x:c r="A1251" s="2" t="str">
        <x:v>DE-CMP-01</x:v>
      </x:c>
      <x:c r="B1251" s="2" t="str">
        <x:v>CFG-C01</x:v>
      </x:c>
      <x:c r="C1251" s="2" t="n">
        <x:v>46227.70238086805</x:v>
      </x:c>
      <x:c r="D1251" s="2" t="str">
        <x:v>os_cfar</x:v>
      </x:c>
      <x:c r="E1251" s="2" t="str">
        <x:v>variable_noise_floor</x:v>
      </x:c>
      <x:c r="F1251" s="2" t="str">
        <x:v>625</x:v>
      </x:c>
      <x:c r="G1251" s="2" t="str">
        <x:v>3164228</x:v>
      </x:c>
      <x:c r="H1251" s="2" t="str">
        <x:v>2048000.0</x:v>
      </x:c>
      <x:c r="I1251" s="2" t="str">
        <x:v>8192</x:v>
      </x:c>
      <x:c r="J1251" s="2" t="str">
        <x:v>250.0</x:v>
      </x:c>
      <x:c r="K1251" s="2" t="str">
        <x:v>1</x:v>
      </x:c>
      <x:c r="L1251" s="2" t="str">
        <x:v>3</x:v>
      </x:c>
      <x:c r="M1251" s="2" t="str">
        <x:v>1</x:v>
      </x:c>
      <x:c r="N1251" s="2" t="str">
        <x:v>2</x:v>
      </x:c>
      <x:c r="O1251" s="2" t="str">
        <x:v>0</x:v>
      </x:c>
      <x:c r="P1251" s="2" t="str">
        <x:v>true</x:v>
      </x:c>
      <x:c r="Q1251" s="2" t="str">
        <x:v>107.570493787</x:v>
      </x:c>
      <x:c r="R1251" s="2" t="str">
        <x:v>13.547958005801775</x:v>
      </x:c>
      <x:c r="S1251" s="2" t="str">
        <x:v>48.270280080398365</x:v>
      </x:c>
    </x:row>
    <x:row r="1252">
      <x:c r="A1252" s="2" t="str">
        <x:v>DE-CMP-01</x:v>
      </x:c>
      <x:c r="B1252" s="2" t="str">
        <x:v>CFG-C01</x:v>
      </x:c>
      <x:c r="C1252" s="2" t="n">
        <x:v>46227.70238086805</x:v>
      </x:c>
      <x:c r="D1252" s="2" t="str">
        <x:v>os_cfar</x:v>
      </x:c>
      <x:c r="E1252" s="2" t="str">
        <x:v>variable_noise_floor</x:v>
      </x:c>
      <x:c r="F1252" s="2" t="str">
        <x:v>626</x:v>
      </x:c>
      <x:c r="G1252" s="2" t="str">
        <x:v>3164229</x:v>
      </x:c>
      <x:c r="H1252" s="2" t="str">
        <x:v>2048000.0</x:v>
      </x:c>
      <x:c r="I1252" s="2" t="str">
        <x:v>8192</x:v>
      </x:c>
      <x:c r="J1252" s="2" t="str">
        <x:v>250.0</x:v>
      </x:c>
      <x:c r="K1252" s="2" t="str">
        <x:v>1</x:v>
      </x:c>
      <x:c r="L1252" s="2" t="str">
        <x:v>3</x:v>
      </x:c>
      <x:c r="M1252" s="2" t="str">
        <x:v>1</x:v>
      </x:c>
      <x:c r="N1252" s="2" t="str">
        <x:v>2</x:v>
      </x:c>
      <x:c r="O1252" s="2" t="str">
        <x:v>0</x:v>
      </x:c>
      <x:c r="P1252" s="2" t="str">
        <x:v>true</x:v>
      </x:c>
      <x:c r="Q1252" s="2" t="str">
        <x:v>98.998941221</x:v>
      </x:c>
      <x:c r="R1252" s="2" t="str">
        <x:v>13.894083007471636</x:v>
      </x:c>
      <x:c r="S1252" s="2" t="str">
        <x:v>48.32415568491349</x:v>
      </x:c>
    </x:row>
    <x:row r="1253">
      <x:c r="A1253" s="2" t="str">
        <x:v>DE-CMP-01</x:v>
      </x:c>
      <x:c r="B1253" s="2" t="str">
        <x:v>CFG-C01</x:v>
      </x:c>
      <x:c r="C1253" s="2" t="n">
        <x:v>46227.70238086805</x:v>
      </x:c>
      <x:c r="D1253" s="2" t="str">
        <x:v>adaptive</x:v>
      </x:c>
      <x:c r="E1253" s="2" t="str">
        <x:v>variable_noise_floor</x:v>
      </x:c>
      <x:c r="F1253" s="2" t="str">
        <x:v>626</x:v>
      </x:c>
      <x:c r="G1253" s="2" t="str">
        <x:v>3164229</x:v>
      </x:c>
      <x:c r="H1253" s="2" t="str">
        <x:v>2048000.0</x:v>
      </x:c>
      <x:c r="I1253" s="2" t="str">
        <x:v>8192</x:v>
      </x:c>
      <x:c r="J1253" s="2" t="str">
        <x:v>250.0</x:v>
      </x:c>
      <x:c r="K1253" s="2" t="str">
        <x:v>1</x:v>
      </x:c>
      <x:c r="L1253" s="2" t="str">
        <x:v>3</x:v>
      </x:c>
      <x:c r="M1253" s="2" t="str">
        <x:v>1</x:v>
      </x:c>
      <x:c r="N1253" s="2" t="str">
        <x:v>2</x:v>
      </x:c>
      <x:c r="O1253" s="2" t="str">
        <x:v>0</x:v>
      </x:c>
      <x:c r="P1253" s="2" t="str">
        <x:v>true</x:v>
      </x:c>
      <x:c r="Q1253" s="2" t="str">
        <x:v>98.998941221</x:v>
      </x:c>
      <x:c r="R1253" s="2" t="str">
        <x:v>0.43770900811068714</x:v>
      </x:c>
      <x:c r="S1253" s="2" t="str">
        <x:v>46.15927557249632</x:v>
      </x:c>
    </x:row>
    <x:row r="1254">
      <x:c r="A1254" s="2" t="str">
        <x:v>DE-CMP-01</x:v>
      </x:c>
      <x:c r="B1254" s="2" t="str">
        <x:v>CFG-C01</x:v>
      </x:c>
      <x:c r="C1254" s="2" t="n">
        <x:v>46227.70238086805</x:v>
      </x:c>
      <x:c r="D1254" s="2" t="str">
        <x:v>adaptive</x:v>
      </x:c>
      <x:c r="E1254" s="2" t="str">
        <x:v>variable_noise_floor</x:v>
      </x:c>
      <x:c r="F1254" s="2" t="str">
        <x:v>627</x:v>
      </x:c>
      <x:c r="G1254" s="2" t="str">
        <x:v>3164230</x:v>
      </x:c>
      <x:c r="H1254" s="2" t="str">
        <x:v>2048000.0</x:v>
      </x:c>
      <x:c r="I1254" s="2" t="str">
        <x:v>8192</x:v>
      </x:c>
      <x:c r="J1254" s="2" t="str">
        <x:v>250.0</x:v>
      </x:c>
      <x:c r="K1254" s="2" t="str">
        <x:v>1</x:v>
      </x:c>
      <x:c r="L1254" s="2" t="str">
        <x:v>3</x:v>
      </x:c>
      <x:c r="M1254" s="2" t="str">
        <x:v>1</x:v>
      </x:c>
      <x:c r="N1254" s="2" t="str">
        <x:v>2</x:v>
      </x:c>
      <x:c r="O1254" s="2" t="str">
        <x:v>0</x:v>
      </x:c>
      <x:c r="P1254" s="2" t="str">
        <x:v>true</x:v>
      </x:c>
      <x:c r="Q1254" s="2" t="str">
        <x:v>84.668554558</x:v>
      </x:c>
      <x:c r="R1254" s="2" t="str">
        <x:v>0.4217079986119643</x:v>
      </x:c>
      <x:c r="S1254" s="2" t="str">
        <x:v>45.877052761402915</x:v>
      </x:c>
    </x:row>
    <x:row r="1255">
      <x:c r="A1255" s="2" t="str">
        <x:v>DE-CMP-01</x:v>
      </x:c>
      <x:c r="B1255" s="2" t="str">
        <x:v>CFG-C01</x:v>
      </x:c>
      <x:c r="C1255" s="2" t="n">
        <x:v>46227.70238086805</x:v>
      </x:c>
      <x:c r="D1255" s="2" t="str">
        <x:v>os_cfar</x:v>
      </x:c>
      <x:c r="E1255" s="2" t="str">
        <x:v>variable_noise_floor</x:v>
      </x:c>
      <x:c r="F1255" s="2" t="str">
        <x:v>627</x:v>
      </x:c>
      <x:c r="G1255" s="2" t="str">
        <x:v>3164230</x:v>
      </x:c>
      <x:c r="H1255" s="2" t="str">
        <x:v>2048000.0</x:v>
      </x:c>
      <x:c r="I1255" s="2" t="str">
        <x:v>8192</x:v>
      </x:c>
      <x:c r="J1255" s="2" t="str">
        <x:v>250.0</x:v>
      </x:c>
      <x:c r="K1255" s="2" t="str">
        <x:v>1</x:v>
      </x:c>
      <x:c r="L1255" s="2" t="str">
        <x:v>3</x:v>
      </x:c>
      <x:c r="M1255" s="2" t="str">
        <x:v>1</x:v>
      </x:c>
      <x:c r="N1255" s="2" t="str">
        <x:v>2</x:v>
      </x:c>
      <x:c r="O1255" s="2" t="str">
        <x:v>0</x:v>
      </x:c>
      <x:c r="P1255" s="2" t="str">
        <x:v>true</x:v>
      </x:c>
      <x:c r="Q1255" s="2" t="str">
        <x:v>84.668554558</x:v>
      </x:c>
      <x:c r="R1255" s="2" t="str">
        <x:v>13.828791998093948</x:v>
      </x:c>
      <x:c r="S1255" s="2" t="str">
        <x:v>47.95041404380601</x:v>
      </x:c>
    </x:row>
    <x:row r="1256">
      <x:c r="A1256" s="2" t="str">
        <x:v>DE-CMP-01</x:v>
      </x:c>
      <x:c r="B1256" s="2" t="str">
        <x:v>CFG-C01</x:v>
      </x:c>
      <x:c r="C1256" s="2" t="n">
        <x:v>46227.70238086805</x:v>
      </x:c>
      <x:c r="D1256" s="2" t="str">
        <x:v>os_cfar</x:v>
      </x:c>
      <x:c r="E1256" s="2" t="str">
        <x:v>variable_noise_floor</x:v>
      </x:c>
      <x:c r="F1256" s="2" t="str">
        <x:v>628</x:v>
      </x:c>
      <x:c r="G1256" s="2" t="str">
        <x:v>3164231</x:v>
      </x:c>
      <x:c r="H1256" s="2" t="str">
        <x:v>2048000.0</x:v>
      </x:c>
      <x:c r="I1256" s="2" t="str">
        <x:v>8192</x:v>
      </x:c>
      <x:c r="J1256" s="2" t="str">
        <x:v>250.0</x:v>
      </x:c>
      <x:c r="K1256" s="2" t="str">
        <x:v>1</x:v>
      </x:c>
      <x:c r="L1256" s="2" t="str">
        <x:v>3</x:v>
      </x:c>
      <x:c r="M1256" s="2" t="str">
        <x:v>1</x:v>
      </x:c>
      <x:c r="N1256" s="2" t="str">
        <x:v>2</x:v>
      </x:c>
      <x:c r="O1256" s="2" t="str">
        <x:v>0</x:v>
      </x:c>
      <x:c r="P1256" s="2" t="str">
        <x:v>true</x:v>
      </x:c>
      <x:c r="Q1256" s="2" t="str">
        <x:v>-103.008995030</x:v>
      </x:c>
      <x:c r="R1256" s="2" t="str">
        <x:v>13.878541998565197</x:v>
      </x:c>
      <x:c r="S1256" s="2" t="str">
        <x:v>48.25220589277773</x:v>
      </x:c>
    </x:row>
    <x:row r="1257">
      <x:c r="A1257" s="2" t="str">
        <x:v>DE-CMP-01</x:v>
      </x:c>
      <x:c r="B1257" s="2" t="str">
        <x:v>CFG-C01</x:v>
      </x:c>
      <x:c r="C1257" s="2" t="n">
        <x:v>46227.70238086805</x:v>
      </x:c>
      <x:c r="D1257" s="2" t="str">
        <x:v>adaptive</x:v>
      </x:c>
      <x:c r="E1257" s="2" t="str">
        <x:v>variable_noise_floor</x:v>
      </x:c>
      <x:c r="F1257" s="2" t="str">
        <x:v>628</x:v>
      </x:c>
      <x:c r="G1257" s="2" t="str">
        <x:v>3164231</x:v>
      </x:c>
      <x:c r="H1257" s="2" t="str">
        <x:v>2048000.0</x:v>
      </x:c>
      <x:c r="I1257" s="2" t="str">
        <x:v>8192</x:v>
      </x:c>
      <x:c r="J1257" s="2" t="str">
        <x:v>250.0</x:v>
      </x:c>
      <x:c r="K1257" s="2" t="str">
        <x:v>1</x:v>
      </x:c>
      <x:c r="L1257" s="2" t="str">
        <x:v>3</x:v>
      </x:c>
      <x:c r="M1257" s="2" t="str">
        <x:v>1</x:v>
      </x:c>
      <x:c r="N1257" s="2" t="str">
        <x:v>2</x:v>
      </x:c>
      <x:c r="O1257" s="2" t="str">
        <x:v>0</x:v>
      </x:c>
      <x:c r="P1257" s="2" t="str">
        <x:v>true</x:v>
      </x:c>
      <x:c r="Q1257" s="2" t="str">
        <x:v>-103.008995030</x:v>
      </x:c>
      <x:c r="R1257" s="2" t="str">
        <x:v>0.4423339996719733</x:v>
      </x:c>
      <x:c r="S1257" s="2" t="str">
        <x:v>46.21669466567888</x:v>
      </x:c>
    </x:row>
    <x:row r="1258">
      <x:c r="A1258" s="2" t="str">
        <x:v>DE-CMP-01</x:v>
      </x:c>
      <x:c r="B1258" s="2" t="str">
        <x:v>CFG-C01</x:v>
      </x:c>
      <x:c r="C1258" s="2" t="n">
        <x:v>46227.70238086805</x:v>
      </x:c>
      <x:c r="D1258" s="2" t="str">
        <x:v>adaptive</x:v>
      </x:c>
      <x:c r="E1258" s="2" t="str">
        <x:v>variable_noise_floor</x:v>
      </x:c>
      <x:c r="F1258" s="2" t="str">
        <x:v>629</x:v>
      </x:c>
      <x:c r="G1258" s="2" t="str">
        <x:v>3164232</x:v>
      </x:c>
      <x:c r="H1258" s="2" t="str">
        <x:v>2048000.0</x:v>
      </x:c>
      <x:c r="I1258" s="2" t="str">
        <x:v>8192</x:v>
      </x:c>
      <x:c r="J1258" s="2" t="str">
        <x:v>250.0</x:v>
      </x:c>
      <x:c r="K1258" s="2" t="str">
        <x:v>1</x:v>
      </x:c>
      <x:c r="L1258" s="2" t="str">
        <x:v>3</x:v>
      </x:c>
      <x:c r="M1258" s="2" t="str">
        <x:v>1</x:v>
      </x:c>
      <x:c r="N1258" s="2" t="str">
        <x:v>2</x:v>
      </x:c>
      <x:c r="O1258" s="2" t="str">
        <x:v>0</x:v>
      </x:c>
      <x:c r="P1258" s="2" t="str">
        <x:v>true</x:v>
      </x:c>
      <x:c r="Q1258" s="2" t="str">
        <x:v>-79.260062509</x:v>
      </x:c>
      <x:c r="R1258" s="2" t="str">
        <x:v>0.4291660006856546</x:v>
      </x:c>
      <x:c r="S1258" s="2" t="str">
        <x:v>46.28591791211307</x:v>
      </x:c>
    </x:row>
    <x:row r="1259">
      <x:c r="A1259" s="2" t="str">
        <x:v>DE-CMP-01</x:v>
      </x:c>
      <x:c r="B1259" s="2" t="str">
        <x:v>CFG-C01</x:v>
      </x:c>
      <x:c r="C1259" s="2" t="n">
        <x:v>46227.70238086805</x:v>
      </x:c>
      <x:c r="D1259" s="2" t="str">
        <x:v>os_cfar</x:v>
      </x:c>
      <x:c r="E1259" s="2" t="str">
        <x:v>variable_noise_floor</x:v>
      </x:c>
      <x:c r="F1259" s="2" t="str">
        <x:v>629</x:v>
      </x:c>
      <x:c r="G1259" s="2" t="str">
        <x:v>3164232</x:v>
      </x:c>
      <x:c r="H1259" s="2" t="str">
        <x:v>2048000.0</x:v>
      </x:c>
      <x:c r="I1259" s="2" t="str">
        <x:v>8192</x:v>
      </x:c>
      <x:c r="J1259" s="2" t="str">
        <x:v>250.0</x:v>
      </x:c>
      <x:c r="K1259" s="2" t="str">
        <x:v>1</x:v>
      </x:c>
      <x:c r="L1259" s="2" t="str">
        <x:v>3</x:v>
      </x:c>
      <x:c r="M1259" s="2" t="str">
        <x:v>1</x:v>
      </x:c>
      <x:c r="N1259" s="2" t="str">
        <x:v>2</x:v>
      </x:c>
      <x:c r="O1259" s="2" t="str">
        <x:v>0</x:v>
      </x:c>
      <x:c r="P1259" s="2" t="str">
        <x:v>true</x:v>
      </x:c>
      <x:c r="Q1259" s="2" t="str">
        <x:v>-79.260062509</x:v>
      </x:c>
      <x:c r="R1259" s="2" t="str">
        <x:v>13.893499999539927</x:v>
      </x:c>
      <x:c r="S1259" s="2" t="str">
        <x:v>48.26941849770229</x:v>
      </x:c>
    </x:row>
    <x:row r="1260">
      <x:c r="A1260" s="2" t="str">
        <x:v>DE-CMP-01</x:v>
      </x:c>
      <x:c r="B1260" s="2" t="str">
        <x:v>CFG-C01</x:v>
      </x:c>
      <x:c r="C1260" s="2" t="n">
        <x:v>46227.70238086805</x:v>
      </x:c>
      <x:c r="D1260" s="2" t="str">
        <x:v>os_cfar</x:v>
      </x:c>
      <x:c r="E1260" s="2" t="str">
        <x:v>variable_noise_floor</x:v>
      </x:c>
      <x:c r="F1260" s="2" t="str">
        <x:v>630</x:v>
      </x:c>
      <x:c r="G1260" s="2" t="str">
        <x:v>3164233</x:v>
      </x:c>
      <x:c r="H1260" s="2" t="str">
        <x:v>2048000.0</x:v>
      </x:c>
      <x:c r="I1260" s="2" t="str">
        <x:v>8192</x:v>
      </x:c>
      <x:c r="J1260" s="2" t="str">
        <x:v>250.0</x:v>
      </x:c>
      <x:c r="K1260" s="2" t="str">
        <x:v>1</x:v>
      </x:c>
      <x:c r="L1260" s="2" t="str">
        <x:v>3</x:v>
      </x:c>
      <x:c r="M1260" s="2" t="str">
        <x:v>1</x:v>
      </x:c>
      <x:c r="N1260" s="2" t="str">
        <x:v>2</x:v>
      </x:c>
      <x:c r="O1260" s="2" t="str">
        <x:v>0</x:v>
      </x:c>
      <x:c r="P1260" s="2" t="str">
        <x:v>true</x:v>
      </x:c>
      <x:c r="Q1260" s="2" t="str">
        <x:v>-34.613304785</x:v>
      </x:c>
      <x:c r="R1260" s="2" t="str">
        <x:v>13.887499997508712</x:v>
      </x:c>
      <x:c r="S1260" s="2" t="str">
        <x:v>48.321327367642795</x:v>
      </x:c>
    </x:row>
    <x:row r="1261">
      <x:c r="A1261" s="2" t="str">
        <x:v>DE-CMP-01</x:v>
      </x:c>
      <x:c r="B1261" s="2" t="str">
        <x:v>CFG-C01</x:v>
      </x:c>
      <x:c r="C1261" s="2" t="n">
        <x:v>46227.70238086805</x:v>
      </x:c>
      <x:c r="D1261" s="2" t="str">
        <x:v>adaptive</x:v>
      </x:c>
      <x:c r="E1261" s="2" t="str">
        <x:v>variable_noise_floor</x:v>
      </x:c>
      <x:c r="F1261" s="2" t="str">
        <x:v>630</x:v>
      </x:c>
      <x:c r="G1261" s="2" t="str">
        <x:v>3164233</x:v>
      </x:c>
      <x:c r="H1261" s="2" t="str">
        <x:v>2048000.0</x:v>
      </x:c>
      <x:c r="I1261" s="2" t="str">
        <x:v>8192</x:v>
      </x:c>
      <x:c r="J1261" s="2" t="str">
        <x:v>250.0</x:v>
      </x:c>
      <x:c r="K1261" s="2" t="str">
        <x:v>1</x:v>
      </x:c>
      <x:c r="L1261" s="2" t="str">
        <x:v>3</x:v>
      </x:c>
      <x:c r="M1261" s="2" t="str">
        <x:v>1</x:v>
      </x:c>
      <x:c r="N1261" s="2" t="str">
        <x:v>2</x:v>
      </x:c>
      <x:c r="O1261" s="2" t="str">
        <x:v>0</x:v>
      </x:c>
      <x:c r="P1261" s="2" t="str">
        <x:v>true</x:v>
      </x:c>
      <x:c r="Q1261" s="2" t="str">
        <x:v>-34.613304785</x:v>
      </x:c>
      <x:c r="R1261" s="2" t="str">
        <x:v>0.4197079979348928</x:v>
      </x:c>
      <x:c r="S1261" s="2" t="str">
        <x:v>46.68794745760462</x:v>
      </x:c>
    </x:row>
    <x:row r="1262">
      <x:c r="A1262" s="2" t="str">
        <x:v>DE-CMP-01</x:v>
      </x:c>
      <x:c r="B1262" s="2" t="str">
        <x:v>CFG-C01</x:v>
      </x:c>
      <x:c r="C1262" s="2" t="n">
        <x:v>46227.70238086805</x:v>
      </x:c>
      <x:c r="D1262" s="2" t="str">
        <x:v>adaptive</x:v>
      </x:c>
      <x:c r="E1262" s="2" t="str">
        <x:v>variable_noise_floor</x:v>
      </x:c>
      <x:c r="F1262" s="2" t="str">
        <x:v>631</x:v>
      </x:c>
      <x:c r="G1262" s="2" t="str">
        <x:v>3164234</x:v>
      </x:c>
      <x:c r="H1262" s="2" t="str">
        <x:v>2048000.0</x:v>
      </x:c>
      <x:c r="I1262" s="2" t="str">
        <x:v>8192</x:v>
      </x:c>
      <x:c r="J1262" s="2" t="str">
        <x:v>250.0</x:v>
      </x:c>
      <x:c r="K1262" s="2" t="str">
        <x:v>1</x:v>
      </x:c>
      <x:c r="L1262" s="2" t="str">
        <x:v>3</x:v>
      </x:c>
      <x:c r="M1262" s="2" t="str">
        <x:v>1</x:v>
      </x:c>
      <x:c r="N1262" s="2" t="str">
        <x:v>2</x:v>
      </x:c>
      <x:c r="O1262" s="2" t="str">
        <x:v>0</x:v>
      </x:c>
      <x:c r="P1262" s="2" t="str">
        <x:v>true</x:v>
      </x:c>
      <x:c r="Q1262" s="2" t="str">
        <x:v>-13.468936719</x:v>
      </x:c>
      <x:c r="R1262" s="2" t="str">
        <x:v>0.42012499761767685</x:v>
      </x:c>
      <x:c r="S1262" s="2" t="str">
        <x:v>45.71154990725614</x:v>
      </x:c>
    </x:row>
    <x:row r="1263">
      <x:c r="A1263" s="2" t="str">
        <x:v>DE-CMP-01</x:v>
      </x:c>
      <x:c r="B1263" s="2" t="str">
        <x:v>CFG-C01</x:v>
      </x:c>
      <x:c r="C1263" s="2" t="n">
        <x:v>46227.70238086805</x:v>
      </x:c>
      <x:c r="D1263" s="2" t="str">
        <x:v>os_cfar</x:v>
      </x:c>
      <x:c r="E1263" s="2" t="str">
        <x:v>variable_noise_floor</x:v>
      </x:c>
      <x:c r="F1263" s="2" t="str">
        <x:v>631</x:v>
      </x:c>
      <x:c r="G1263" s="2" t="str">
        <x:v>3164234</x:v>
      </x:c>
      <x:c r="H1263" s="2" t="str">
        <x:v>2048000.0</x:v>
      </x:c>
      <x:c r="I1263" s="2" t="str">
        <x:v>8192</x:v>
      </x:c>
      <x:c r="J1263" s="2" t="str">
        <x:v>250.0</x:v>
      </x:c>
      <x:c r="K1263" s="2" t="str">
        <x:v>1</x:v>
      </x:c>
      <x:c r="L1263" s="2" t="str">
        <x:v>3</x:v>
      </x:c>
      <x:c r="M1263" s="2" t="str">
        <x:v>1</x:v>
      </x:c>
      <x:c r="N1263" s="2" t="str">
        <x:v>2</x:v>
      </x:c>
      <x:c r="O1263" s="2" t="str">
        <x:v>0</x:v>
      </x:c>
      <x:c r="P1263" s="2" t="str">
        <x:v>true</x:v>
      </x:c>
      <x:c r="Q1263" s="2" t="str">
        <x:v>-13.468936719</x:v>
      </x:c>
      <x:c r="R1263" s="2" t="str">
        <x:v>13.915375006035902</x:v>
      </x:c>
      <x:c r="S1263" s="2" t="str">
        <x:v>48.02481212271723</x:v>
      </x:c>
    </x:row>
    <x:row r="1264">
      <x:c r="A1264" s="2" t="str">
        <x:v>DE-CMP-01</x:v>
      </x:c>
      <x:c r="B1264" s="2" t="str">
        <x:v>CFG-C01</x:v>
      </x:c>
      <x:c r="C1264" s="2" t="n">
        <x:v>46227.70238086805</x:v>
      </x:c>
      <x:c r="D1264" s="2" t="str">
        <x:v>os_cfar</x:v>
      </x:c>
      <x:c r="E1264" s="2" t="str">
        <x:v>variable_noise_floor</x:v>
      </x:c>
      <x:c r="F1264" s="2" t="str">
        <x:v>632</x:v>
      </x:c>
      <x:c r="G1264" s="2" t="str">
        <x:v>3164235</x:v>
      </x:c>
      <x:c r="H1264" s="2" t="str">
        <x:v>2048000.0</x:v>
      </x:c>
      <x:c r="I1264" s="2" t="str">
        <x:v>8192</x:v>
      </x:c>
      <x:c r="J1264" s="2" t="str">
        <x:v>250.0</x:v>
      </x:c>
      <x:c r="K1264" s="2" t="str">
        <x:v>1</x:v>
      </x:c>
      <x:c r="L1264" s="2" t="str">
        <x:v>3</x:v>
      </x:c>
      <x:c r="M1264" s="2" t="str">
        <x:v>1</x:v>
      </x:c>
      <x:c r="N1264" s="2" t="str">
        <x:v>2</x:v>
      </x:c>
      <x:c r="O1264" s="2" t="str">
        <x:v>0</x:v>
      </x:c>
      <x:c r="P1264" s="2" t="str">
        <x:v>true</x:v>
      </x:c>
      <x:c r="Q1264" s="2" t="str">
        <x:v>-40.021727346</x:v>
      </x:c>
      <x:c r="R1264" s="2" t="str">
        <x:v>13.977958005852997</x:v>
      </x:c>
      <x:c r="S1264" s="2" t="str">
        <x:v>48.09368146538742</x:v>
      </x:c>
    </x:row>
    <x:row r="1265">
      <x:c r="A1265" s="2" t="str">
        <x:v>DE-CMP-01</x:v>
      </x:c>
      <x:c r="B1265" s="2" t="str">
        <x:v>CFG-C01</x:v>
      </x:c>
      <x:c r="C1265" s="2" t="n">
        <x:v>46227.70238086805</x:v>
      </x:c>
      <x:c r="D1265" s="2" t="str">
        <x:v>adaptive</x:v>
      </x:c>
      <x:c r="E1265" s="2" t="str">
        <x:v>variable_noise_floor</x:v>
      </x:c>
      <x:c r="F1265" s="2" t="str">
        <x:v>632</x:v>
      </x:c>
      <x:c r="G1265" s="2" t="str">
        <x:v>3164235</x:v>
      </x:c>
      <x:c r="H1265" s="2" t="str">
        <x:v>2048000.0</x:v>
      </x:c>
      <x:c r="I1265" s="2" t="str">
        <x:v>8192</x:v>
      </x:c>
      <x:c r="J1265" s="2" t="str">
        <x:v>250.0</x:v>
      </x:c>
      <x:c r="K1265" s="2" t="str">
        <x:v>1</x:v>
      </x:c>
      <x:c r="L1265" s="2" t="str">
        <x:v>3</x:v>
      </x:c>
      <x:c r="M1265" s="2" t="str">
        <x:v>1</x:v>
      </x:c>
      <x:c r="N1265" s="2" t="str">
        <x:v>2</x:v>
      </x:c>
      <x:c r="O1265" s="2" t="str">
        <x:v>0</x:v>
      </x:c>
      <x:c r="P1265" s="2" t="str">
        <x:v>true</x:v>
      </x:c>
      <x:c r="Q1265" s="2" t="str">
        <x:v>-40.021727346</x:v>
      </x:c>
      <x:c r="R1265" s="2" t="str">
        <x:v>0.4625000001396984</x:v>
      </x:c>
      <x:c r="S1265" s="2" t="str">
        <x:v>46.132217607742675</x:v>
      </x:c>
    </x:row>
    <x:row r="1266">
      <x:c r="A1266" s="2" t="str">
        <x:v>DE-CMP-01</x:v>
      </x:c>
      <x:c r="B1266" s="2" t="str">
        <x:v>CFG-C01</x:v>
      </x:c>
      <x:c r="C1266" s="2" t="n">
        <x:v>46227.70238086805</x:v>
      </x:c>
      <x:c r="D1266" s="2" t="str">
        <x:v>adaptive</x:v>
      </x:c>
      <x:c r="E1266" s="2" t="str">
        <x:v>variable_noise_floor</x:v>
      </x:c>
      <x:c r="F1266" s="2" t="str">
        <x:v>633</x:v>
      </x:c>
      <x:c r="G1266" s="2" t="str">
        <x:v>3164236</x:v>
      </x:c>
      <x:c r="H1266" s="2" t="str">
        <x:v>2048000.0</x:v>
      </x:c>
      <x:c r="I1266" s="2" t="str">
        <x:v>8192</x:v>
      </x:c>
      <x:c r="J1266" s="2" t="str">
        <x:v>250.0</x:v>
      </x:c>
      <x:c r="K1266" s="2" t="str">
        <x:v>1</x:v>
      </x:c>
      <x:c r="L1266" s="2" t="str">
        <x:v>3</x:v>
      </x:c>
      <x:c r="M1266" s="2" t="str">
        <x:v>1</x:v>
      </x:c>
      <x:c r="N1266" s="2" t="str">
        <x:v>2</x:v>
      </x:c>
      <x:c r="O1266" s="2" t="str">
        <x:v>0</x:v>
      </x:c>
      <x:c r="P1266" s="2" t="str">
        <x:v>true</x:v>
      </x:c>
      <x:c r="Q1266" s="2" t="str">
        <x:v>85.243970901</x:v>
      </x:c>
      <x:c r="R1266" s="2" t="str">
        <x:v>0.4368330119177699</x:v>
      </x:c>
      <x:c r="S1266" s="2" t="str">
        <x:v>45.679205816476404</x:v>
      </x:c>
    </x:row>
    <x:row r="1267">
      <x:c r="A1267" s="2" t="str">
        <x:v>DE-CMP-01</x:v>
      </x:c>
      <x:c r="B1267" s="2" t="str">
        <x:v>CFG-C01</x:v>
      </x:c>
      <x:c r="C1267" s="2" t="n">
        <x:v>46227.70238086805</x:v>
      </x:c>
      <x:c r="D1267" s="2" t="str">
        <x:v>os_cfar</x:v>
      </x:c>
      <x:c r="E1267" s="2" t="str">
        <x:v>variable_noise_floor</x:v>
      </x:c>
      <x:c r="F1267" s="2" t="str">
        <x:v>633</x:v>
      </x:c>
      <x:c r="G1267" s="2" t="str">
        <x:v>3164236</x:v>
      </x:c>
      <x:c r="H1267" s="2" t="str">
        <x:v>2048000.0</x:v>
      </x:c>
      <x:c r="I1267" s="2" t="str">
        <x:v>8192</x:v>
      </x:c>
      <x:c r="J1267" s="2" t="str">
        <x:v>250.0</x:v>
      </x:c>
      <x:c r="K1267" s="2" t="str">
        <x:v>1</x:v>
      </x:c>
      <x:c r="L1267" s="2" t="str">
        <x:v>3</x:v>
      </x:c>
      <x:c r="M1267" s="2" t="str">
        <x:v>1</x:v>
      </x:c>
      <x:c r="N1267" s="2" t="str">
        <x:v>2</x:v>
      </x:c>
      <x:c r="O1267" s="2" t="str">
        <x:v>0</x:v>
      </x:c>
      <x:c r="P1267" s="2" t="str">
        <x:v>true</x:v>
      </x:c>
      <x:c r="Q1267" s="2" t="str">
        <x:v>85.243970901</x:v>
      </x:c>
      <x:c r="R1267" s="2" t="str">
        <x:v>13.504125003237277</x:v>
      </x:c>
      <x:c r="S1267" s="2" t="str">
        <x:v>47.97855704252293</x:v>
      </x:c>
    </x:row>
    <x:row r="1268">
      <x:c r="A1268" s="2" t="str">
        <x:v>DE-CMP-01</x:v>
      </x:c>
      <x:c r="B1268" s="2" t="str">
        <x:v>CFG-C01</x:v>
      </x:c>
      <x:c r="C1268" s="2" t="n">
        <x:v>46227.70238086805</x:v>
      </x:c>
      <x:c r="D1268" s="2" t="str">
        <x:v>os_cfar</x:v>
      </x:c>
      <x:c r="E1268" s="2" t="str">
        <x:v>variable_noise_floor</x:v>
      </x:c>
      <x:c r="F1268" s="2" t="str">
        <x:v>634</x:v>
      </x:c>
      <x:c r="G1268" s="2" t="str">
        <x:v>3164237</x:v>
      </x:c>
      <x:c r="H1268" s="2" t="str">
        <x:v>2048000.0</x:v>
      </x:c>
      <x:c r="I1268" s="2" t="str">
        <x:v>8192</x:v>
      </x:c>
      <x:c r="J1268" s="2" t="str">
        <x:v>250.0</x:v>
      </x:c>
      <x:c r="K1268" s="2" t="str">
        <x:v>1</x:v>
      </x:c>
      <x:c r="L1268" s="2" t="str">
        <x:v>3</x:v>
      </x:c>
      <x:c r="M1268" s="2" t="str">
        <x:v>1</x:v>
      </x:c>
      <x:c r="N1268" s="2" t="str">
        <x:v>2</x:v>
      </x:c>
      <x:c r="O1268" s="2" t="str">
        <x:v>0</x:v>
      </x:c>
      <x:c r="P1268" s="2" t="str">
        <x:v>true</x:v>
      </x:c>
      <x:c r="Q1268" s="2" t="str">
        <x:v>-80.266393004</x:v>
      </x:c>
      <x:c r="R1268" s="2" t="str">
        <x:v>13.734834006754681</x:v>
      </x:c>
      <x:c r="S1268" s="2" t="str">
        <x:v>48.23988046717769</x:v>
      </x:c>
    </x:row>
    <x:row r="1269">
      <x:c r="A1269" s="2" t="str">
        <x:v>DE-CMP-01</x:v>
      </x:c>
      <x:c r="B1269" s="2" t="str">
        <x:v>CFG-C01</x:v>
      </x:c>
      <x:c r="C1269" s="2" t="n">
        <x:v>46227.70238086805</x:v>
      </x:c>
      <x:c r="D1269" s="2" t="str">
        <x:v>adaptive</x:v>
      </x:c>
      <x:c r="E1269" s="2" t="str">
        <x:v>variable_noise_floor</x:v>
      </x:c>
      <x:c r="F1269" s="2" t="str">
        <x:v>634</x:v>
      </x:c>
      <x:c r="G1269" s="2" t="str">
        <x:v>3164237</x:v>
      </x:c>
      <x:c r="H1269" s="2" t="str">
        <x:v>2048000.0</x:v>
      </x:c>
      <x:c r="I1269" s="2" t="str">
        <x:v>8192</x:v>
      </x:c>
      <x:c r="J1269" s="2" t="str">
        <x:v>250.0</x:v>
      </x:c>
      <x:c r="K1269" s="2" t="str">
        <x:v>1</x:v>
      </x:c>
      <x:c r="L1269" s="2" t="str">
        <x:v>3</x:v>
      </x:c>
      <x:c r="M1269" s="2" t="str">
        <x:v>1</x:v>
      </x:c>
      <x:c r="N1269" s="2" t="str">
        <x:v>2</x:v>
      </x:c>
      <x:c r="O1269" s="2" t="str">
        <x:v>0</x:v>
      </x:c>
      <x:c r="P1269" s="2" t="str">
        <x:v>true</x:v>
      </x:c>
      <x:c r="Q1269" s="2" t="str">
        <x:v>-80.266393004</x:v>
      </x:c>
      <x:c r="R1269" s="2" t="str">
        <x:v>0.41241700819227844</x:v>
      </x:c>
      <x:c r="S1269" s="2" t="str">
        <x:v>46.590253363672204</x:v>
      </x:c>
    </x:row>
    <x:row r="1270">
      <x:c r="A1270" s="2" t="str">
        <x:v>DE-CMP-01</x:v>
      </x:c>
      <x:c r="B1270" s="2" t="str">
        <x:v>CFG-C01</x:v>
      </x:c>
      <x:c r="C1270" s="2" t="n">
        <x:v>46227.70238086805</x:v>
      </x:c>
      <x:c r="D1270" s="2" t="str">
        <x:v>adaptive</x:v>
      </x:c>
      <x:c r="E1270" s="2" t="str">
        <x:v>variable_noise_floor</x:v>
      </x:c>
      <x:c r="F1270" s="2" t="str">
        <x:v>635</x:v>
      </x:c>
      <x:c r="G1270" s="2" t="str">
        <x:v>3164238</x:v>
      </x:c>
      <x:c r="H1270" s="2" t="str">
        <x:v>2048000.0</x:v>
      </x:c>
      <x:c r="I1270" s="2" t="str">
        <x:v>8192</x:v>
      </x:c>
      <x:c r="J1270" s="2" t="str">
        <x:v>250.0</x:v>
      </x:c>
      <x:c r="K1270" s="2" t="str">
        <x:v>1</x:v>
      </x:c>
      <x:c r="L1270" s="2" t="str">
        <x:v>3</x:v>
      </x:c>
      <x:c r="M1270" s="2" t="str">
        <x:v>1</x:v>
      </x:c>
      <x:c r="N1270" s="2" t="str">
        <x:v>2</x:v>
      </x:c>
      <x:c r="O1270" s="2" t="str">
        <x:v>0</x:v>
      </x:c>
      <x:c r="P1270" s="2" t="str">
        <x:v>true</x:v>
      </x:c>
      <x:c r="Q1270" s="2" t="str">
        <x:v>63.340728337</x:v>
      </x:c>
      <x:c r="R1270" s="2" t="str">
        <x:v>0.4131250025238842</x:v>
      </x:c>
      <x:c r="S1270" s="2" t="str">
        <x:v>46.46839064453276</x:v>
      </x:c>
    </x:row>
    <x:row r="1271">
      <x:c r="A1271" s="2" t="str">
        <x:v>DE-CMP-01</x:v>
      </x:c>
      <x:c r="B1271" s="2" t="str">
        <x:v>CFG-C01</x:v>
      </x:c>
      <x:c r="C1271" s="2" t="n">
        <x:v>46227.70238086805</x:v>
      </x:c>
      <x:c r="D1271" s="2" t="str">
        <x:v>os_cfar</x:v>
      </x:c>
      <x:c r="E1271" s="2" t="str">
        <x:v>variable_noise_floor</x:v>
      </x:c>
      <x:c r="F1271" s="2" t="str">
        <x:v>635</x:v>
      </x:c>
      <x:c r="G1271" s="2" t="str">
        <x:v>3164238</x:v>
      </x:c>
      <x:c r="H1271" s="2" t="str">
        <x:v>2048000.0</x:v>
      </x:c>
      <x:c r="I1271" s="2" t="str">
        <x:v>8192</x:v>
      </x:c>
      <x:c r="J1271" s="2" t="str">
        <x:v>250.0</x:v>
      </x:c>
      <x:c r="K1271" s="2" t="str">
        <x:v>1</x:v>
      </x:c>
      <x:c r="L1271" s="2" t="str">
        <x:v>3</x:v>
      </x:c>
      <x:c r="M1271" s="2" t="str">
        <x:v>1</x:v>
      </x:c>
      <x:c r="N1271" s="2" t="str">
        <x:v>2</x:v>
      </x:c>
      <x:c r="O1271" s="2" t="str">
        <x:v>0</x:v>
      </x:c>
      <x:c r="P1271" s="2" t="str">
        <x:v>true</x:v>
      </x:c>
      <x:c r="Q1271" s="2" t="str">
        <x:v>63.340728337</x:v>
      </x:c>
      <x:c r="R1271" s="2" t="str">
        <x:v>13.777542000752874</x:v>
      </x:c>
      <x:c r="S1271" s="2" t="str">
        <x:v>48.2978116183521</x:v>
      </x:c>
    </x:row>
    <x:row r="1272">
      <x:c r="A1272" s="2" t="str">
        <x:v>DE-CMP-01</x:v>
      </x:c>
      <x:c r="B1272" s="2" t="str">
        <x:v>CFG-C01</x:v>
      </x:c>
      <x:c r="C1272" s="2" t="n">
        <x:v>46227.70238086805</x:v>
      </x:c>
      <x:c r="D1272" s="2" t="str">
        <x:v>os_cfar</x:v>
      </x:c>
      <x:c r="E1272" s="2" t="str">
        <x:v>variable_noise_floor</x:v>
      </x:c>
      <x:c r="F1272" s="2" t="str">
        <x:v>636</x:v>
      </x:c>
      <x:c r="G1272" s="2" t="str">
        <x:v>3164239</x:v>
      </x:c>
      <x:c r="H1272" s="2" t="str">
        <x:v>2048000.0</x:v>
      </x:c>
      <x:c r="I1272" s="2" t="str">
        <x:v>8192</x:v>
      </x:c>
      <x:c r="J1272" s="2" t="str">
        <x:v>250.0</x:v>
      </x:c>
      <x:c r="K1272" s="2" t="str">
        <x:v>1</x:v>
      </x:c>
      <x:c r="L1272" s="2" t="str">
        <x:v>3</x:v>
      </x:c>
      <x:c r="M1272" s="2" t="str">
        <x:v>1</x:v>
      </x:c>
      <x:c r="N1272" s="2" t="str">
        <x:v>2</x:v>
      </x:c>
      <x:c r="O1272" s="2" t="str">
        <x:v>0</x:v>
      </x:c>
      <x:c r="P1272" s="2" t="str">
        <x:v>true</x:v>
      </x:c>
      <x:c r="Q1272" s="2" t="str">
        <x:v>-97.093547556</x:v>
      </x:c>
      <x:c r="R1272" s="2" t="str">
        <x:v>13.820249994751066</x:v>
      </x:c>
      <x:c r="S1272" s="2" t="str">
        <x:v>48.020188767486914</x:v>
      </x:c>
    </x:row>
    <x:row r="1273">
      <x:c r="A1273" s="2" t="str">
        <x:v>DE-CMP-01</x:v>
      </x:c>
      <x:c r="B1273" s="2" t="str">
        <x:v>CFG-C01</x:v>
      </x:c>
      <x:c r="C1273" s="2" t="n">
        <x:v>46227.70238086805</x:v>
      </x:c>
      <x:c r="D1273" s="2" t="str">
        <x:v>adaptive</x:v>
      </x:c>
      <x:c r="E1273" s="2" t="str">
        <x:v>variable_noise_floor</x:v>
      </x:c>
      <x:c r="F1273" s="2" t="str">
        <x:v>636</x:v>
      </x:c>
      <x:c r="G1273" s="2" t="str">
        <x:v>3164239</x:v>
      </x:c>
      <x:c r="H1273" s="2" t="str">
        <x:v>2048000.0</x:v>
      </x:c>
      <x:c r="I1273" s="2" t="str">
        <x:v>8192</x:v>
      </x:c>
      <x:c r="J1273" s="2" t="str">
        <x:v>250.0</x:v>
      </x:c>
      <x:c r="K1273" s="2" t="str">
        <x:v>1</x:v>
      </x:c>
      <x:c r="L1273" s="2" t="str">
        <x:v>3</x:v>
      </x:c>
      <x:c r="M1273" s="2" t="str">
        <x:v>1</x:v>
      </x:c>
      <x:c r="N1273" s="2" t="str">
        <x:v>2</x:v>
      </x:c>
      <x:c r="O1273" s="2" t="str">
        <x:v>0</x:v>
      </x:c>
      <x:c r="P1273" s="2" t="str">
        <x:v>true</x:v>
      </x:c>
      <x:c r="Q1273" s="2" t="str">
        <x:v>-97.093547556</x:v>
      </x:c>
      <x:c r="R1273" s="2" t="str">
        <x:v>0.4301670123822987</x:v>
      </x:c>
      <x:c r="S1273" s="2" t="str">
        <x:v>45.89903246552038</x:v>
      </x:c>
    </x:row>
    <x:row r="1274">
      <x:c r="A1274" s="2" t="str">
        <x:v>DE-CMP-01</x:v>
      </x:c>
      <x:c r="B1274" s="2" t="str">
        <x:v>CFG-C01</x:v>
      </x:c>
      <x:c r="C1274" s="2" t="n">
        <x:v>46227.70238086805</x:v>
      </x:c>
      <x:c r="D1274" s="2" t="str">
        <x:v>adaptive</x:v>
      </x:c>
      <x:c r="E1274" s="2" t="str">
        <x:v>variable_noise_floor</x:v>
      </x:c>
      <x:c r="F1274" s="2" t="str">
        <x:v>637</x:v>
      </x:c>
      <x:c r="G1274" s="2" t="str">
        <x:v>3164240</x:v>
      </x:c>
      <x:c r="H1274" s="2" t="str">
        <x:v>2048000.0</x:v>
      </x:c>
      <x:c r="I1274" s="2" t="str">
        <x:v>8192</x:v>
      </x:c>
      <x:c r="J1274" s="2" t="str">
        <x:v>250.0</x:v>
      </x:c>
      <x:c r="K1274" s="2" t="str">
        <x:v>1</x:v>
      </x:c>
      <x:c r="L1274" s="2" t="str">
        <x:v>3</x:v>
      </x:c>
      <x:c r="M1274" s="2" t="str">
        <x:v>1</x:v>
      </x:c>
      <x:c r="N1274" s="2" t="str">
        <x:v>2</x:v>
      </x:c>
      <x:c r="O1274" s="2" t="str">
        <x:v>0</x:v>
      </x:c>
      <x:c r="P1274" s="2" t="str">
        <x:v>true</x:v>
      </x:c>
      <x:c r="Q1274" s="2" t="str">
        <x:v>-66.124339500</x:v>
      </x:c>
      <x:c r="R1274" s="2" t="str">
        <x:v>0.41454200982116163</x:v>
      </x:c>
      <x:c r="S1274" s="2" t="str">
        <x:v>46.236842967042804</x:v>
      </x:c>
    </x:row>
    <x:row r="1275">
      <x:c r="A1275" s="2" t="str">
        <x:v>DE-CMP-01</x:v>
      </x:c>
      <x:c r="B1275" s="2" t="str">
        <x:v>CFG-C01</x:v>
      </x:c>
      <x:c r="C1275" s="2" t="n">
        <x:v>46227.70238086805</x:v>
      </x:c>
      <x:c r="D1275" s="2" t="str">
        <x:v>os_cfar</x:v>
      </x:c>
      <x:c r="E1275" s="2" t="str">
        <x:v>variable_noise_floor</x:v>
      </x:c>
      <x:c r="F1275" s="2" t="str">
        <x:v>637</x:v>
      </x:c>
      <x:c r="G1275" s="2" t="str">
        <x:v>3164240</x:v>
      </x:c>
      <x:c r="H1275" s="2" t="str">
        <x:v>2048000.0</x:v>
      </x:c>
      <x:c r="I1275" s="2" t="str">
        <x:v>8192</x:v>
      </x:c>
      <x:c r="J1275" s="2" t="str">
        <x:v>250.0</x:v>
      </x:c>
      <x:c r="K1275" s="2" t="str">
        <x:v>1</x:v>
      </x:c>
      <x:c r="L1275" s="2" t="str">
        <x:v>3</x:v>
      </x:c>
      <x:c r="M1275" s="2" t="str">
        <x:v>1</x:v>
      </x:c>
      <x:c r="N1275" s="2" t="str">
        <x:v>2</x:v>
      </x:c>
      <x:c r="O1275" s="2" t="str">
        <x:v>0</x:v>
      </x:c>
      <x:c r="P1275" s="2" t="str">
        <x:v>true</x:v>
      </x:c>
      <x:c r="Q1275" s="2" t="str">
        <x:v>-66.124339500</x:v>
      </x:c>
      <x:c r="R1275" s="2" t="str">
        <x:v>13.788124997518025</x:v>
      </x:c>
      <x:c r="S1275" s="2" t="str">
        <x:v>48.060915917997924</x:v>
      </x:c>
    </x:row>
    <x:row r="1276">
      <x:c r="A1276" s="2" t="str">
        <x:v>DE-CMP-01</x:v>
      </x:c>
      <x:c r="B1276" s="2" t="str">
        <x:v>CFG-C01</x:v>
      </x:c>
      <x:c r="C1276" s="2" t="n">
        <x:v>46227.70238086805</x:v>
      </x:c>
      <x:c r="D1276" s="2" t="str">
        <x:v>os_cfar</x:v>
      </x:c>
      <x:c r="E1276" s="2" t="str">
        <x:v>variable_noise_floor</x:v>
      </x:c>
      <x:c r="F1276" s="2" t="str">
        <x:v>638</x:v>
      </x:c>
      <x:c r="G1276" s="2" t="str">
        <x:v>3164241</x:v>
      </x:c>
      <x:c r="H1276" s="2" t="str">
        <x:v>2048000.0</x:v>
      </x:c>
      <x:c r="I1276" s="2" t="str">
        <x:v>8192</x:v>
      </x:c>
      <x:c r="J1276" s="2" t="str">
        <x:v>250.0</x:v>
      </x:c>
      <x:c r="K1276" s="2" t="str">
        <x:v>1</x:v>
      </x:c>
      <x:c r="L1276" s="2" t="str">
        <x:v>3</x:v>
      </x:c>
      <x:c r="M1276" s="2" t="str">
        <x:v>1</x:v>
      </x:c>
      <x:c r="N1276" s="2" t="str">
        <x:v>2</x:v>
      </x:c>
      <x:c r="O1276" s="2" t="str">
        <x:v>0</x:v>
      </x:c>
      <x:c r="P1276" s="2" t="str">
        <x:v>true</x:v>
      </x:c>
      <x:c r="Q1276" s="2" t="str">
        <x:v>111.667703512</x:v>
      </x:c>
      <x:c r="R1276" s="2" t="str">
        <x:v>13.939124997705221</x:v>
      </x:c>
      <x:c r="S1276" s="2" t="str">
        <x:v>48.31471496277761</x:v>
      </x:c>
    </x:row>
    <x:row r="1277">
      <x:c r="A1277" s="2" t="str">
        <x:v>DE-CMP-01</x:v>
      </x:c>
      <x:c r="B1277" s="2" t="str">
        <x:v>CFG-C01</x:v>
      </x:c>
      <x:c r="C1277" s="2" t="n">
        <x:v>46227.70238086805</x:v>
      </x:c>
      <x:c r="D1277" s="2" t="str">
        <x:v>adaptive</x:v>
      </x:c>
      <x:c r="E1277" s="2" t="str">
        <x:v>variable_noise_floor</x:v>
      </x:c>
      <x:c r="F1277" s="2" t="str">
        <x:v>638</x:v>
      </x:c>
      <x:c r="G1277" s="2" t="str">
        <x:v>3164241</x:v>
      </x:c>
      <x:c r="H1277" s="2" t="str">
        <x:v>2048000.0</x:v>
      </x:c>
      <x:c r="I1277" s="2" t="str">
        <x:v>8192</x:v>
      </x:c>
      <x:c r="J1277" s="2" t="str">
        <x:v>250.0</x:v>
      </x:c>
      <x:c r="K1277" s="2" t="str">
        <x:v>1</x:v>
      </x:c>
      <x:c r="L1277" s="2" t="str">
        <x:v>3</x:v>
      </x:c>
      <x:c r="M1277" s="2" t="str">
        <x:v>1</x:v>
      </x:c>
      <x:c r="N1277" s="2" t="str">
        <x:v>2</x:v>
      </x:c>
      <x:c r="O1277" s="2" t="str">
        <x:v>0</x:v>
      </x:c>
      <x:c r="P1277" s="2" t="str">
        <x:v>true</x:v>
      </x:c>
      <x:c r="Q1277" s="2" t="str">
        <x:v>111.667703512</x:v>
      </x:c>
      <x:c r="R1277" s="2" t="str">
        <x:v>0.42475000373087823</x:v>
      </x:c>
      <x:c r="S1277" s="2" t="str">
        <x:v>46.39303389789771</x:v>
      </x:c>
    </x:row>
    <x:row r="1278">
      <x:c r="A1278" s="2" t="str">
        <x:v>DE-CMP-01</x:v>
      </x:c>
      <x:c r="B1278" s="2" t="str">
        <x:v>CFG-C01</x:v>
      </x:c>
      <x:c r="C1278" s="2" t="n">
        <x:v>46227.70238086805</x:v>
      </x:c>
      <x:c r="D1278" s="2" t="str">
        <x:v>adaptive</x:v>
      </x:c>
      <x:c r="E1278" s="2" t="str">
        <x:v>variable_noise_floor</x:v>
      </x:c>
      <x:c r="F1278" s="2" t="str">
        <x:v>639</x:v>
      </x:c>
      <x:c r="G1278" s="2" t="str">
        <x:v>3164242</x:v>
      </x:c>
      <x:c r="H1278" s="2" t="str">
        <x:v>2048000.0</x:v>
      </x:c>
      <x:c r="I1278" s="2" t="str">
        <x:v>8192</x:v>
      </x:c>
      <x:c r="J1278" s="2" t="str">
        <x:v>250.0</x:v>
      </x:c>
      <x:c r="K1278" s="2" t="str">
        <x:v>1</x:v>
      </x:c>
      <x:c r="L1278" s="2" t="str">
        <x:v>3</x:v>
      </x:c>
      <x:c r="M1278" s="2" t="str">
        <x:v>1</x:v>
      </x:c>
      <x:c r="N1278" s="2" t="str">
        <x:v>2</x:v>
      </x:c>
      <x:c r="O1278" s="2" t="str">
        <x:v>0</x:v>
      </x:c>
      <x:c r="P1278" s="2" t="str">
        <x:v>true</x:v>
      </x:c>
      <x:c r="Q1278" s="2" t="str">
        <x:v>-79.799089710</x:v>
      </x:c>
      <x:c r="R1278" s="2" t="str">
        <x:v>0.4208330065011978</x:v>
      </x:c>
      <x:c r="S1278" s="2" t="str">
        <x:v>46.58946828663515</x:v>
      </x:c>
    </x:row>
    <x:row r="1279">
      <x:c r="A1279" s="2" t="str">
        <x:v>DE-CMP-01</x:v>
      </x:c>
      <x:c r="B1279" s="2" t="str">
        <x:v>CFG-C01</x:v>
      </x:c>
      <x:c r="C1279" s="2" t="n">
        <x:v>46227.70238086805</x:v>
      </x:c>
      <x:c r="D1279" s="2" t="str">
        <x:v>os_cfar</x:v>
      </x:c>
      <x:c r="E1279" s="2" t="str">
        <x:v>variable_noise_floor</x:v>
      </x:c>
      <x:c r="F1279" s="2" t="str">
        <x:v>639</x:v>
      </x:c>
      <x:c r="G1279" s="2" t="str">
        <x:v>3164242</x:v>
      </x:c>
      <x:c r="H1279" s="2" t="str">
        <x:v>2048000.0</x:v>
      </x:c>
      <x:c r="I1279" s="2" t="str">
        <x:v>8192</x:v>
      </x:c>
      <x:c r="J1279" s="2" t="str">
        <x:v>250.0</x:v>
      </x:c>
      <x:c r="K1279" s="2" t="str">
        <x:v>1</x:v>
      </x:c>
      <x:c r="L1279" s="2" t="str">
        <x:v>3</x:v>
      </x:c>
      <x:c r="M1279" s="2" t="str">
        <x:v>1</x:v>
      </x:c>
      <x:c r="N1279" s="2" t="str">
        <x:v>2</x:v>
      </x:c>
      <x:c r="O1279" s="2" t="str">
        <x:v>0</x:v>
      </x:c>
      <x:c r="P1279" s="2" t="str">
        <x:v>true</x:v>
      </x:c>
      <x:c r="Q1279" s="2" t="str">
        <x:v>-79.799089710</x:v>
      </x:c>
      <x:c r="R1279" s="2" t="str">
        <x:v>13.82812499650754</x:v>
      </x:c>
      <x:c r="S1279" s="2" t="str">
        <x:v>48.256007659791315</x:v>
      </x:c>
    </x:row>
    <x:row r="1280">
      <x:c r="A1280" s="2" t="str">
        <x:v>DE-CMP-01</x:v>
      </x:c>
      <x:c r="B1280" s="2" t="str">
        <x:v>CFG-C01</x:v>
      </x:c>
      <x:c r="C1280" s="2" t="n">
        <x:v>46227.70238086805</x:v>
      </x:c>
      <x:c r="D1280" s="2" t="str">
        <x:v>os_cfar</x:v>
      </x:c>
      <x:c r="E1280" s="2" t="str">
        <x:v>variable_noise_floor</x:v>
      </x:c>
      <x:c r="F1280" s="2" t="str">
        <x:v>640</x:v>
      </x:c>
      <x:c r="G1280" s="2" t="str">
        <x:v>3164243</x:v>
      </x:c>
      <x:c r="H1280" s="2" t="str">
        <x:v>2048000.0</x:v>
      </x:c>
      <x:c r="I1280" s="2" t="str">
        <x:v>8192</x:v>
      </x:c>
      <x:c r="J1280" s="2" t="str">
        <x:v>250.0</x:v>
      </x:c>
      <x:c r="K1280" s="2" t="str">
        <x:v>1</x:v>
      </x:c>
      <x:c r="L1280" s="2" t="str">
        <x:v>3</x:v>
      </x:c>
      <x:c r="M1280" s="2" t="str">
        <x:v>1</x:v>
      </x:c>
      <x:c r="N1280" s="2" t="str">
        <x:v>2</x:v>
      </x:c>
      <x:c r="O1280" s="2" t="str">
        <x:v>0</x:v>
      </x:c>
      <x:c r="P1280" s="2" t="str">
        <x:v>true</x:v>
      </x:c>
      <x:c r="Q1280" s="2" t="str">
        <x:v>-31.341565351</x:v>
      </x:c>
      <x:c r="R1280" s="2" t="str">
        <x:v>14.000625000335276</x:v>
      </x:c>
      <x:c r="S1280" s="2" t="str">
        <x:v>48.346693975619154</x:v>
      </x:c>
    </x:row>
    <x:row r="1281">
      <x:c r="A1281" s="2" t="str">
        <x:v>DE-CMP-01</x:v>
      </x:c>
      <x:c r="B1281" s="2" t="str">
        <x:v>CFG-C01</x:v>
      </x:c>
      <x:c r="C1281" s="2" t="n">
        <x:v>46227.70238086805</x:v>
      </x:c>
      <x:c r="D1281" s="2" t="str">
        <x:v>adaptive</x:v>
      </x:c>
      <x:c r="E1281" s="2" t="str">
        <x:v>variable_noise_floor</x:v>
      </x:c>
      <x:c r="F1281" s="2" t="str">
        <x:v>640</x:v>
      </x:c>
      <x:c r="G1281" s="2" t="str">
        <x:v>3164243</x:v>
      </x:c>
      <x:c r="H1281" s="2" t="str">
        <x:v>2048000.0</x:v>
      </x:c>
      <x:c r="I1281" s="2" t="str">
        <x:v>8192</x:v>
      </x:c>
      <x:c r="J1281" s="2" t="str">
        <x:v>250.0</x:v>
      </x:c>
      <x:c r="K1281" s="2" t="str">
        <x:v>1</x:v>
      </x:c>
      <x:c r="L1281" s="2" t="str">
        <x:v>3</x:v>
      </x:c>
      <x:c r="M1281" s="2" t="str">
        <x:v>1</x:v>
      </x:c>
      <x:c r="N1281" s="2" t="str">
        <x:v>2</x:v>
      </x:c>
      <x:c r="O1281" s="2" t="str">
        <x:v>0</x:v>
      </x:c>
      <x:c r="P1281" s="2" t="str">
        <x:v>true</x:v>
      </x:c>
      <x:c r="Q1281" s="2" t="str">
        <x:v>-31.341565351</x:v>
      </x:c>
      <x:c r="R1281" s="2" t="str">
        <x:v>0.42108299385290593</x:v>
      </x:c>
      <x:c r="S1281" s="2" t="str">
        <x:v>46.15923563571684</x:v>
      </x:c>
    </x:row>
    <x:row r="1282">
      <x:c r="A1282" s="2" t="str">
        <x:v>DE-CMP-01</x:v>
      </x:c>
      <x:c r="B1282" s="2" t="str">
        <x:v>CFG-C01</x:v>
      </x:c>
      <x:c r="C1282" s="2" t="n">
        <x:v>46227.70238086805</x:v>
      </x:c>
      <x:c r="D1282" s="2" t="str">
        <x:v>adaptive</x:v>
      </x:c>
      <x:c r="E1282" s="2" t="str">
        <x:v>variable_noise_floor</x:v>
      </x:c>
      <x:c r="F1282" s="2" t="str">
        <x:v>641</x:v>
      </x:c>
      <x:c r="G1282" s="2" t="str">
        <x:v>3164244</x:v>
      </x:c>
      <x:c r="H1282" s="2" t="str">
        <x:v>2048000.0</x:v>
      </x:c>
      <x:c r="I1282" s="2" t="str">
        <x:v>8192</x:v>
      </x:c>
      <x:c r="J1282" s="2" t="str">
        <x:v>250.0</x:v>
      </x:c>
      <x:c r="K1282" s="2" t="str">
        <x:v>1</x:v>
      </x:c>
      <x:c r="L1282" s="2" t="str">
        <x:v>3</x:v>
      </x:c>
      <x:c r="M1282" s="2" t="str">
        <x:v>1</x:v>
      </x:c>
      <x:c r="N1282" s="2" t="str">
        <x:v>2</x:v>
      </x:c>
      <x:c r="O1282" s="2" t="str">
        <x:v>0</x:v>
      </x:c>
      <x:c r="P1282" s="2" t="str">
        <x:v>true</x:v>
      </x:c>
      <x:c r="Q1282" s="2" t="str">
        <x:v>-96.945459838</x:v>
      </x:c>
      <x:c r="R1282" s="2" t="str">
        <x:v>0.4187090089544654</x:v>
      </x:c>
      <x:c r="S1282" s="2" t="str">
        <x:v>45.97782464254236</x:v>
      </x:c>
    </x:row>
    <x:row r="1283">
      <x:c r="A1283" s="2" t="str">
        <x:v>DE-CMP-01</x:v>
      </x:c>
      <x:c r="B1283" s="2" t="str">
        <x:v>CFG-C01</x:v>
      </x:c>
      <x:c r="C1283" s="2" t="n">
        <x:v>46227.70238086805</x:v>
      </x:c>
      <x:c r="D1283" s="2" t="str">
        <x:v>os_cfar</x:v>
      </x:c>
      <x:c r="E1283" s="2" t="str">
        <x:v>variable_noise_floor</x:v>
      </x:c>
      <x:c r="F1283" s="2" t="str">
        <x:v>641</x:v>
      </x:c>
      <x:c r="G1283" s="2" t="str">
        <x:v>3164244</x:v>
      </x:c>
      <x:c r="H1283" s="2" t="str">
        <x:v>2048000.0</x:v>
      </x:c>
      <x:c r="I1283" s="2" t="str">
        <x:v>8192</x:v>
      </x:c>
      <x:c r="J1283" s="2" t="str">
        <x:v>250.0</x:v>
      </x:c>
      <x:c r="K1283" s="2" t="str">
        <x:v>1</x:v>
      </x:c>
      <x:c r="L1283" s="2" t="str">
        <x:v>3</x:v>
      </x:c>
      <x:c r="M1283" s="2" t="str">
        <x:v>1</x:v>
      </x:c>
      <x:c r="N1283" s="2" t="str">
        <x:v>2</x:v>
      </x:c>
      <x:c r="O1283" s="2" t="str">
        <x:v>0</x:v>
      </x:c>
      <x:c r="P1283" s="2" t="str">
        <x:v>true</x:v>
      </x:c>
      <x:c r="Q1283" s="2" t="str">
        <x:v>-96.945459838</x:v>
      </x:c>
      <x:c r="R1283" s="2" t="str">
        <x:v>13.621875012177043</x:v>
      </x:c>
      <x:c r="S1283" s="2" t="str">
        <x:v>48.27723618511622</x:v>
      </x:c>
    </x:row>
    <x:row r="1284">
      <x:c r="A1284" s="2" t="str">
        <x:v>DE-CMP-01</x:v>
      </x:c>
      <x:c r="B1284" s="2" t="str">
        <x:v>CFG-C01</x:v>
      </x:c>
      <x:c r="C1284" s="2" t="n">
        <x:v>46227.70238086805</x:v>
      </x:c>
      <x:c r="D1284" s="2" t="str">
        <x:v>os_cfar</x:v>
      </x:c>
      <x:c r="E1284" s="2" t="str">
        <x:v>variable_noise_floor</x:v>
      </x:c>
      <x:c r="F1284" s="2" t="str">
        <x:v>642</x:v>
      </x:c>
      <x:c r="G1284" s="2" t="str">
        <x:v>3164245</x:v>
      </x:c>
      <x:c r="H1284" s="2" t="str">
        <x:v>2048000.0</x:v>
      </x:c>
      <x:c r="I1284" s="2" t="str">
        <x:v>8192</x:v>
      </x:c>
      <x:c r="J1284" s="2" t="str">
        <x:v>250.0</x:v>
      </x:c>
      <x:c r="K1284" s="2" t="str">
        <x:v>1</x:v>
      </x:c>
      <x:c r="L1284" s="2" t="str">
        <x:v>3</x:v>
      </x:c>
      <x:c r="M1284" s="2" t="str">
        <x:v>1</x:v>
      </x:c>
      <x:c r="N1284" s="2" t="str">
        <x:v>2</x:v>
      </x:c>
      <x:c r="O1284" s="2" t="str">
        <x:v>0</x:v>
      </x:c>
      <x:c r="P1284" s="2" t="str">
        <x:v>true</x:v>
      </x:c>
      <x:c r="Q1284" s="2" t="str">
        <x:v>-3.877390256</x:v>
      </x:c>
      <x:c r="R1284" s="2" t="str">
        <x:v>13.794790997053497</x:v>
      </x:c>
      <x:c r="S1284" s="2" t="str">
        <x:v>47.966466065138896</x:v>
      </x:c>
    </x:row>
    <x:row r="1285">
      <x:c r="A1285" s="2" t="str">
        <x:v>DE-CMP-01</x:v>
      </x:c>
      <x:c r="B1285" s="2" t="str">
        <x:v>CFG-C01</x:v>
      </x:c>
      <x:c r="C1285" s="2" t="n">
        <x:v>46227.70238086805</x:v>
      </x:c>
      <x:c r="D1285" s="2" t="str">
        <x:v>adaptive</x:v>
      </x:c>
      <x:c r="E1285" s="2" t="str">
        <x:v>variable_noise_floor</x:v>
      </x:c>
      <x:c r="F1285" s="2" t="str">
        <x:v>642</x:v>
      </x:c>
      <x:c r="G1285" s="2" t="str">
        <x:v>3164245</x:v>
      </x:c>
      <x:c r="H1285" s="2" t="str">
        <x:v>2048000.0</x:v>
      </x:c>
      <x:c r="I1285" s="2" t="str">
        <x:v>8192</x:v>
      </x:c>
      <x:c r="J1285" s="2" t="str">
        <x:v>250.0</x:v>
      </x:c>
      <x:c r="K1285" s="2" t="str">
        <x:v>1</x:v>
      </x:c>
      <x:c r="L1285" s="2" t="str">
        <x:v>3</x:v>
      </x:c>
      <x:c r="M1285" s="2" t="str">
        <x:v>1</x:v>
      </x:c>
      <x:c r="N1285" s="2" t="str">
        <x:v>2</x:v>
      </x:c>
      <x:c r="O1285" s="2" t="str">
        <x:v>0</x:v>
      </x:c>
      <x:c r="P1285" s="2" t="str">
        <x:v>true</x:v>
      </x:c>
      <x:c r="Q1285" s="2" t="str">
        <x:v>-3.877390256</x:v>
      </x:c>
      <x:c r="R1285" s="2" t="str">
        <x:v>0.436875008745119</x:v>
      </x:c>
      <x:c r="S1285" s="2" t="str">
        <x:v>46.08472276152377</x:v>
      </x:c>
    </x:row>
    <x:row r="1286">
      <x:c r="A1286" s="2" t="str">
        <x:v>DE-CMP-01</x:v>
      </x:c>
      <x:c r="B1286" s="2" t="str">
        <x:v>CFG-C01</x:v>
      </x:c>
      <x:c r="C1286" s="2" t="n">
        <x:v>46227.70238086805</x:v>
      </x:c>
      <x:c r="D1286" s="2" t="str">
        <x:v>adaptive</x:v>
      </x:c>
      <x:c r="E1286" s="2" t="str">
        <x:v>variable_noise_floor</x:v>
      </x:c>
      <x:c r="F1286" s="2" t="str">
        <x:v>643</x:v>
      </x:c>
      <x:c r="G1286" s="2" t="str">
        <x:v>3164246</x:v>
      </x:c>
      <x:c r="H1286" s="2" t="str">
        <x:v>2048000.0</x:v>
      </x:c>
      <x:c r="I1286" s="2" t="str">
        <x:v>8192</x:v>
      </x:c>
      <x:c r="J1286" s="2" t="str">
        <x:v>250.0</x:v>
      </x:c>
      <x:c r="K1286" s="2" t="str">
        <x:v>1</x:v>
      </x:c>
      <x:c r="L1286" s="2" t="str">
        <x:v>3</x:v>
      </x:c>
      <x:c r="M1286" s="2" t="str">
        <x:v>1</x:v>
      </x:c>
      <x:c r="N1286" s="2" t="str">
        <x:v>2</x:v>
      </x:c>
      <x:c r="O1286" s="2" t="str">
        <x:v>0</x:v>
      </x:c>
      <x:c r="P1286" s="2" t="str">
        <x:v>true</x:v>
      </x:c>
      <x:c r="Q1286" s="2" t="str">
        <x:v>-130.050745588</x:v>
      </x:c>
      <x:c r="R1286" s="2" t="str">
        <x:v>0.42720799683593214</x:v>
      </x:c>
      <x:c r="S1286" s="2" t="str">
        <x:v>46.23579686672552</x:v>
      </x:c>
    </x:row>
    <x:row r="1287">
      <x:c r="A1287" s="2" t="str">
        <x:v>DE-CMP-01</x:v>
      </x:c>
      <x:c r="B1287" s="2" t="str">
        <x:v>CFG-C01</x:v>
      </x:c>
      <x:c r="C1287" s="2" t="n">
        <x:v>46227.70238086805</x:v>
      </x:c>
      <x:c r="D1287" s="2" t="str">
        <x:v>os_cfar</x:v>
      </x:c>
      <x:c r="E1287" s="2" t="str">
        <x:v>variable_noise_floor</x:v>
      </x:c>
      <x:c r="F1287" s="2" t="str">
        <x:v>643</x:v>
      </x:c>
      <x:c r="G1287" s="2" t="str">
        <x:v>3164246</x:v>
      </x:c>
      <x:c r="H1287" s="2" t="str">
        <x:v>2048000.0</x:v>
      </x:c>
      <x:c r="I1287" s="2" t="str">
        <x:v>8192</x:v>
      </x:c>
      <x:c r="J1287" s="2" t="str">
        <x:v>250.0</x:v>
      </x:c>
      <x:c r="K1287" s="2" t="str">
        <x:v>1</x:v>
      </x:c>
      <x:c r="L1287" s="2" t="str">
        <x:v>3</x:v>
      </x:c>
      <x:c r="M1287" s="2" t="str">
        <x:v>1</x:v>
      </x:c>
      <x:c r="N1287" s="2" t="str">
        <x:v>2</x:v>
      </x:c>
      <x:c r="O1287" s="2" t="str">
        <x:v>0</x:v>
      </x:c>
      <x:c r="P1287" s="2" t="str">
        <x:v>true</x:v>
      </x:c>
      <x:c r="Q1287" s="2" t="str">
        <x:v>-130.050745588</x:v>
      </x:c>
      <x:c r="R1287" s="2" t="str">
        <x:v>13.719208000111394</x:v>
      </x:c>
      <x:c r="S1287" s="2" t="str">
        <x:v>48.42996682238145</x:v>
      </x:c>
    </x:row>
    <x:row r="1288">
      <x:c r="A1288" s="2" t="str">
        <x:v>DE-CMP-01</x:v>
      </x:c>
      <x:c r="B1288" s="2" t="str">
        <x:v>CFG-C01</x:v>
      </x:c>
      <x:c r="C1288" s="2" t="n">
        <x:v>46227.70238086805</x:v>
      </x:c>
      <x:c r="D1288" s="2" t="str">
        <x:v>os_cfar</x:v>
      </x:c>
      <x:c r="E1288" s="2" t="str">
        <x:v>variable_noise_floor</x:v>
      </x:c>
      <x:c r="F1288" s="2" t="str">
        <x:v>644</x:v>
      </x:c>
      <x:c r="G1288" s="2" t="str">
        <x:v>3164247</x:v>
      </x:c>
      <x:c r="H1288" s="2" t="str">
        <x:v>2048000.0</x:v>
      </x:c>
      <x:c r="I1288" s="2" t="str">
        <x:v>8192</x:v>
      </x:c>
      <x:c r="J1288" s="2" t="str">
        <x:v>250.0</x:v>
      </x:c>
      <x:c r="K1288" s="2" t="str">
        <x:v>1</x:v>
      </x:c>
      <x:c r="L1288" s="2" t="str">
        <x:v>3</x:v>
      </x:c>
      <x:c r="M1288" s="2" t="str">
        <x:v>1</x:v>
      </x:c>
      <x:c r="N1288" s="2" t="str">
        <x:v>2</x:v>
      </x:c>
      <x:c r="O1288" s="2" t="str">
        <x:v>0</x:v>
      </x:c>
      <x:c r="P1288" s="2" t="str">
        <x:v>true</x:v>
      </x:c>
      <x:c r="Q1288" s="2" t="str">
        <x:v>14.443155152</x:v>
      </x:c>
      <x:c r="R1288" s="2" t="str">
        <x:v>13.818124993122183</x:v>
      </x:c>
      <x:c r="S1288" s="2" t="str">
        <x:v>48.20738456304213</x:v>
      </x:c>
    </x:row>
    <x:row r="1289">
      <x:c r="A1289" s="2" t="str">
        <x:v>DE-CMP-01</x:v>
      </x:c>
      <x:c r="B1289" s="2" t="str">
        <x:v>CFG-C01</x:v>
      </x:c>
      <x:c r="C1289" s="2" t="n">
        <x:v>46227.70238086805</x:v>
      </x:c>
      <x:c r="D1289" s="2" t="str">
        <x:v>adaptive</x:v>
      </x:c>
      <x:c r="E1289" s="2" t="str">
        <x:v>variable_noise_floor</x:v>
      </x:c>
      <x:c r="F1289" s="2" t="str">
        <x:v>644</x:v>
      </x:c>
      <x:c r="G1289" s="2" t="str">
        <x:v>3164247</x:v>
      </x:c>
      <x:c r="H1289" s="2" t="str">
        <x:v>2048000.0</x:v>
      </x:c>
      <x:c r="I1289" s="2" t="str">
        <x:v>8192</x:v>
      </x:c>
      <x:c r="J1289" s="2" t="str">
        <x:v>250.0</x:v>
      </x:c>
      <x:c r="K1289" s="2" t="str">
        <x:v>1</x:v>
      </x:c>
      <x:c r="L1289" s="2" t="str">
        <x:v>3</x:v>
      </x:c>
      <x:c r="M1289" s="2" t="str">
        <x:v>1</x:v>
      </x:c>
      <x:c r="N1289" s="2" t="str">
        <x:v>2</x:v>
      </x:c>
      <x:c r="O1289" s="2" t="str">
        <x:v>0</x:v>
      </x:c>
      <x:c r="P1289" s="2" t="str">
        <x:v>true</x:v>
      </x:c>
      <x:c r="Q1289" s="2" t="str">
        <x:v>14.443155152</x:v>
      </x:c>
      <x:c r="R1289" s="2" t="str">
        <x:v>0.4318340070312843</x:v>
      </x:c>
      <x:c r="S1289" s="2" t="str">
        <x:v>46.38349666100062</x:v>
      </x:c>
    </x:row>
    <x:row r="1290">
      <x:c r="A1290" s="2" t="str">
        <x:v>DE-CMP-01</x:v>
      </x:c>
      <x:c r="B1290" s="2" t="str">
        <x:v>CFG-C01</x:v>
      </x:c>
      <x:c r="C1290" s="2" t="n">
        <x:v>46227.70238086805</x:v>
      </x:c>
      <x:c r="D1290" s="2" t="str">
        <x:v>adaptive</x:v>
      </x:c>
      <x:c r="E1290" s="2" t="str">
        <x:v>variable_noise_floor</x:v>
      </x:c>
      <x:c r="F1290" s="2" t="str">
        <x:v>645</x:v>
      </x:c>
      <x:c r="G1290" s="2" t="str">
        <x:v>3164248</x:v>
      </x:c>
      <x:c r="H1290" s="2" t="str">
        <x:v>2048000.0</x:v>
      </x:c>
      <x:c r="I1290" s="2" t="str">
        <x:v>8192</x:v>
      </x:c>
      <x:c r="J1290" s="2" t="str">
        <x:v>250.0</x:v>
      </x:c>
      <x:c r="K1290" s="2" t="str">
        <x:v>1</x:v>
      </x:c>
      <x:c r="L1290" s="2" t="str">
        <x:v>3</x:v>
      </x:c>
      <x:c r="M1290" s="2" t="str">
        <x:v>1</x:v>
      </x:c>
      <x:c r="N1290" s="2" t="str">
        <x:v>2</x:v>
      </x:c>
      <x:c r="O1290" s="2" t="str">
        <x:v>0</x:v>
      </x:c>
      <x:c r="P1290" s="2" t="str">
        <x:v>true</x:v>
      </x:c>
      <x:c r="Q1290" s="2" t="str">
        <x:v>-66.896903901</x:v>
      </x:c>
      <x:c r="R1290" s="2" t="str">
        <x:v>0.43000000005122274</x:v>
      </x:c>
      <x:c r="S1290" s="2" t="str">
        <x:v>46.352247162681344</x:v>
      </x:c>
    </x:row>
    <x:row r="1291">
      <x:c r="A1291" s="2" t="str">
        <x:v>DE-CMP-01</x:v>
      </x:c>
      <x:c r="B1291" s="2" t="str">
        <x:v>CFG-C01</x:v>
      </x:c>
      <x:c r="C1291" s="2" t="n">
        <x:v>46227.70238086805</x:v>
      </x:c>
      <x:c r="D1291" s="2" t="str">
        <x:v>os_cfar</x:v>
      </x:c>
      <x:c r="E1291" s="2" t="str">
        <x:v>variable_noise_floor</x:v>
      </x:c>
      <x:c r="F1291" s="2" t="str">
        <x:v>645</x:v>
      </x:c>
      <x:c r="G1291" s="2" t="str">
        <x:v>3164248</x:v>
      </x:c>
      <x:c r="H1291" s="2" t="str">
        <x:v>2048000.0</x:v>
      </x:c>
      <x:c r="I1291" s="2" t="str">
        <x:v>8192</x:v>
      </x:c>
      <x:c r="J1291" s="2" t="str">
        <x:v>250.0</x:v>
      </x:c>
      <x:c r="K1291" s="2" t="str">
        <x:v>1</x:v>
      </x:c>
      <x:c r="L1291" s="2" t="str">
        <x:v>3</x:v>
      </x:c>
      <x:c r="M1291" s="2" t="str">
        <x:v>1</x:v>
      </x:c>
      <x:c r="N1291" s="2" t="str">
        <x:v>2</x:v>
      </x:c>
      <x:c r="O1291" s="2" t="str">
        <x:v>0</x:v>
      </x:c>
      <x:c r="P1291" s="2" t="str">
        <x:v>true</x:v>
      </x:c>
      <x:c r="Q1291" s="2" t="str">
        <x:v>-66.896903901</x:v>
      </x:c>
      <x:c r="R1291" s="2" t="str">
        <x:v>13.854999997420236</x:v>
      </x:c>
      <x:c r="S1291" s="2" t="str">
        <x:v>48.179187664090726</x:v>
      </x:c>
    </x:row>
    <x:row r="1292">
      <x:c r="A1292" s="2" t="str">
        <x:v>DE-CMP-01</x:v>
      </x:c>
      <x:c r="B1292" s="2" t="str">
        <x:v>CFG-C01</x:v>
      </x:c>
      <x:c r="C1292" s="2" t="n">
        <x:v>46227.70238086805</x:v>
      </x:c>
      <x:c r="D1292" s="2" t="str">
        <x:v>os_cfar</x:v>
      </x:c>
      <x:c r="E1292" s="2" t="str">
        <x:v>variable_noise_floor</x:v>
      </x:c>
      <x:c r="F1292" s="2" t="str">
        <x:v>646</x:v>
      </x:c>
      <x:c r="G1292" s="2" t="str">
        <x:v>3164249</x:v>
      </x:c>
      <x:c r="H1292" s="2" t="str">
        <x:v>2048000.0</x:v>
      </x:c>
      <x:c r="I1292" s="2" t="str">
        <x:v>8192</x:v>
      </x:c>
      <x:c r="J1292" s="2" t="str">
        <x:v>250.0</x:v>
      </x:c>
      <x:c r="K1292" s="2" t="str">
        <x:v>1</x:v>
      </x:c>
      <x:c r="L1292" s="2" t="str">
        <x:v>3</x:v>
      </x:c>
      <x:c r="M1292" s="2" t="str">
        <x:v>1</x:v>
      </x:c>
      <x:c r="N1292" s="2" t="str">
        <x:v>2</x:v>
      </x:c>
      <x:c r="O1292" s="2" t="str">
        <x:v>0</x:v>
      </x:c>
      <x:c r="P1292" s="2" t="str">
        <x:v>true</x:v>
      </x:c>
      <x:c r="Q1292" s="2" t="str">
        <x:v>-68.864696409</x:v>
      </x:c>
      <x:c r="R1292" s="2" t="str">
        <x:v>13.863333995686844</x:v>
      </x:c>
      <x:c r="S1292" s="2" t="str">
        <x:v>48.257018905313515</x:v>
      </x:c>
    </x:row>
    <x:row r="1293">
      <x:c r="A1293" s="2" t="str">
        <x:v>DE-CMP-01</x:v>
      </x:c>
      <x:c r="B1293" s="2" t="str">
        <x:v>CFG-C01</x:v>
      </x:c>
      <x:c r="C1293" s="2" t="n">
        <x:v>46227.70238086805</x:v>
      </x:c>
      <x:c r="D1293" s="2" t="str">
        <x:v>adaptive</x:v>
      </x:c>
      <x:c r="E1293" s="2" t="str">
        <x:v>variable_noise_floor</x:v>
      </x:c>
      <x:c r="F1293" s="2" t="str">
        <x:v>646</x:v>
      </x:c>
      <x:c r="G1293" s="2" t="str">
        <x:v>3164249</x:v>
      </x:c>
      <x:c r="H1293" s="2" t="str">
        <x:v>2048000.0</x:v>
      </x:c>
      <x:c r="I1293" s="2" t="str">
        <x:v>8192</x:v>
      </x:c>
      <x:c r="J1293" s="2" t="str">
        <x:v>250.0</x:v>
      </x:c>
      <x:c r="K1293" s="2" t="str">
        <x:v>1</x:v>
      </x:c>
      <x:c r="L1293" s="2" t="str">
        <x:v>3</x:v>
      </x:c>
      <x:c r="M1293" s="2" t="str">
        <x:v>1</x:v>
      </x:c>
      <x:c r="N1293" s="2" t="str">
        <x:v>2</x:v>
      </x:c>
      <x:c r="O1293" s="2" t="str">
        <x:v>0</x:v>
      </x:c>
      <x:c r="P1293" s="2" t="str">
        <x:v>true</x:v>
      </x:c>
      <x:c r="Q1293" s="2" t="str">
        <x:v>-68.864696409</x:v>
      </x:c>
      <x:c r="R1293" s="2" t="str">
        <x:v>0.43575000017881393</x:v>
      </x:c>
      <x:c r="S1293" s="2" t="str">
        <x:v>46.44573485529693</x:v>
      </x:c>
    </x:row>
    <x:row r="1294">
      <x:c r="A1294" s="2" t="str">
        <x:v>DE-CMP-01</x:v>
      </x:c>
      <x:c r="B1294" s="2" t="str">
        <x:v>CFG-C01</x:v>
      </x:c>
      <x:c r="C1294" s="2" t="n">
        <x:v>46227.70238086805</x:v>
      </x:c>
      <x:c r="D1294" s="2" t="str">
        <x:v>adaptive</x:v>
      </x:c>
      <x:c r="E1294" s="2" t="str">
        <x:v>variable_noise_floor</x:v>
      </x:c>
      <x:c r="F1294" s="2" t="str">
        <x:v>647</x:v>
      </x:c>
      <x:c r="G1294" s="2" t="str">
        <x:v>3164250</x:v>
      </x:c>
      <x:c r="H1294" s="2" t="str">
        <x:v>2048000.0</x:v>
      </x:c>
      <x:c r="I1294" s="2" t="str">
        <x:v>8192</x:v>
      </x:c>
      <x:c r="J1294" s="2" t="str">
        <x:v>250.0</x:v>
      </x:c>
      <x:c r="K1294" s="2" t="str">
        <x:v>1</x:v>
      </x:c>
      <x:c r="L1294" s="2" t="str">
        <x:v>3</x:v>
      </x:c>
      <x:c r="M1294" s="2" t="str">
        <x:v>1</x:v>
      </x:c>
      <x:c r="N1294" s="2" t="str">
        <x:v>2</x:v>
      </x:c>
      <x:c r="O1294" s="2" t="str">
        <x:v>0</x:v>
      </x:c>
      <x:c r="P1294" s="2" t="str">
        <x:v>true</x:v>
      </x:c>
      <x:c r="Q1294" s="2" t="str">
        <x:v>-111.813170659</x:v>
      </x:c>
      <x:c r="R1294" s="2" t="str">
        <x:v>0.42712499271146953</x:v>
      </x:c>
      <x:c r="S1294" s="2" t="str">
        <x:v>46.877655110588364</x:v>
      </x:c>
    </x:row>
    <x:row r="1295">
      <x:c r="A1295" s="2" t="str">
        <x:v>DE-CMP-01</x:v>
      </x:c>
      <x:c r="B1295" s="2" t="str">
        <x:v>CFG-C01</x:v>
      </x:c>
      <x:c r="C1295" s="2" t="n">
        <x:v>46227.70238086805</x:v>
      </x:c>
      <x:c r="D1295" s="2" t="str">
        <x:v>os_cfar</x:v>
      </x:c>
      <x:c r="E1295" s="2" t="str">
        <x:v>variable_noise_floor</x:v>
      </x:c>
      <x:c r="F1295" s="2" t="str">
        <x:v>647</x:v>
      </x:c>
      <x:c r="G1295" s="2" t="str">
        <x:v>3164250</x:v>
      </x:c>
      <x:c r="H1295" s="2" t="str">
        <x:v>2048000.0</x:v>
      </x:c>
      <x:c r="I1295" s="2" t="str">
        <x:v>8192</x:v>
      </x:c>
      <x:c r="J1295" s="2" t="str">
        <x:v>250.0</x:v>
      </x:c>
      <x:c r="K1295" s="2" t="str">
        <x:v>1</x:v>
      </x:c>
      <x:c r="L1295" s="2" t="str">
        <x:v>3</x:v>
      </x:c>
      <x:c r="M1295" s="2" t="str">
        <x:v>1</x:v>
      </x:c>
      <x:c r="N1295" s="2" t="str">
        <x:v>2</x:v>
      </x:c>
      <x:c r="O1295" s="2" t="str">
        <x:v>0</x:v>
      </x:c>
      <x:c r="P1295" s="2" t="str">
        <x:v>true</x:v>
      </x:c>
      <x:c r="Q1295" s="2" t="str">
        <x:v>-111.813170659</x:v>
      </x:c>
      <x:c r="R1295" s="2" t="str">
        <x:v>13.62925001012627</x:v>
      </x:c>
      <x:c r="S1295" s="2" t="str">
        <x:v>48.42473205740905</x:v>
      </x:c>
    </x:row>
    <x:row r="1296">
      <x:c r="A1296" s="2" t="str">
        <x:v>DE-CMP-01</x:v>
      </x:c>
      <x:c r="B1296" s="2" t="str">
        <x:v>CFG-C01</x:v>
      </x:c>
      <x:c r="C1296" s="2" t="n">
        <x:v>46227.70238086805</x:v>
      </x:c>
      <x:c r="D1296" s="2" t="str">
        <x:v>os_cfar</x:v>
      </x:c>
      <x:c r="E1296" s="2" t="str">
        <x:v>variable_noise_floor</x:v>
      </x:c>
      <x:c r="F1296" s="2" t="str">
        <x:v>648</x:v>
      </x:c>
      <x:c r="G1296" s="2" t="str">
        <x:v>3164251</x:v>
      </x:c>
      <x:c r="H1296" s="2" t="str">
        <x:v>2048000.0</x:v>
      </x:c>
      <x:c r="I1296" s="2" t="str">
        <x:v>8192</x:v>
      </x:c>
      <x:c r="J1296" s="2" t="str">
        <x:v>250.0</x:v>
      </x:c>
      <x:c r="K1296" s="2" t="str">
        <x:v>1</x:v>
      </x:c>
      <x:c r="L1296" s="2" t="str">
        <x:v>3</x:v>
      </x:c>
      <x:c r="M1296" s="2" t="str">
        <x:v>1</x:v>
      </x:c>
      <x:c r="N1296" s="2" t="str">
        <x:v>2</x:v>
      </x:c>
      <x:c r="O1296" s="2" t="str">
        <x:v>0</x:v>
      </x:c>
      <x:c r="P1296" s="2" t="str">
        <x:v>true</x:v>
      </x:c>
      <x:c r="Q1296" s="2" t="str">
        <x:v>0.958176236</x:v>
      </x:c>
      <x:c r="R1296" s="2" t="str">
        <x:v>13.867374989786185</x:v>
      </x:c>
      <x:c r="S1296" s="2" t="str">
        <x:v>48.39752126338783</x:v>
      </x:c>
    </x:row>
    <x:row r="1297">
      <x:c r="A1297" s="2" t="str">
        <x:v>DE-CMP-01</x:v>
      </x:c>
      <x:c r="B1297" s="2" t="str">
        <x:v>CFG-C01</x:v>
      </x:c>
      <x:c r="C1297" s="2" t="n">
        <x:v>46227.70238086805</x:v>
      </x:c>
      <x:c r="D1297" s="2" t="str">
        <x:v>adaptive</x:v>
      </x:c>
      <x:c r="E1297" s="2" t="str">
        <x:v>variable_noise_floor</x:v>
      </x:c>
      <x:c r="F1297" s="2" t="str">
        <x:v>648</x:v>
      </x:c>
      <x:c r="G1297" s="2" t="str">
        <x:v>3164251</x:v>
      </x:c>
      <x:c r="H1297" s="2" t="str">
        <x:v>2048000.0</x:v>
      </x:c>
      <x:c r="I1297" s="2" t="str">
        <x:v>8192</x:v>
      </x:c>
      <x:c r="J1297" s="2" t="str">
        <x:v>250.0</x:v>
      </x:c>
      <x:c r="K1297" s="2" t="str">
        <x:v>1</x:v>
      </x:c>
      <x:c r="L1297" s="2" t="str">
        <x:v>3</x:v>
      </x:c>
      <x:c r="M1297" s="2" t="str">
        <x:v>1</x:v>
      </x:c>
      <x:c r="N1297" s="2" t="str">
        <x:v>2</x:v>
      </x:c>
      <x:c r="O1297" s="2" t="str">
        <x:v>0</x:v>
      </x:c>
      <x:c r="P1297" s="2" t="str">
        <x:v>true</x:v>
      </x:c>
      <x:c r="Q1297" s="2" t="str">
        <x:v>0.958176236</x:v>
      </x:c>
      <x:c r="R1297" s="2" t="str">
        <x:v>0.42079100967384875</x:v>
      </x:c>
      <x:c r="S1297" s="2" t="str">
        <x:v>46.167229200579165</x:v>
      </x:c>
    </x:row>
    <x:row r="1298">
      <x:c r="A1298" s="2" t="str">
        <x:v>DE-CMP-01</x:v>
      </x:c>
      <x:c r="B1298" s="2" t="str">
        <x:v>CFG-C01</x:v>
      </x:c>
      <x:c r="C1298" s="2" t="n">
        <x:v>46227.70238086805</x:v>
      </x:c>
      <x:c r="D1298" s="2" t="str">
        <x:v>adaptive</x:v>
      </x:c>
      <x:c r="E1298" s="2" t="str">
        <x:v>variable_noise_floor</x:v>
      </x:c>
      <x:c r="F1298" s="2" t="str">
        <x:v>649</x:v>
      </x:c>
      <x:c r="G1298" s="2" t="str">
        <x:v>3164252</x:v>
      </x:c>
      <x:c r="H1298" s="2" t="str">
        <x:v>2048000.0</x:v>
      </x:c>
      <x:c r="I1298" s="2" t="str">
        <x:v>8192</x:v>
      </x:c>
      <x:c r="J1298" s="2" t="str">
        <x:v>250.0</x:v>
      </x:c>
      <x:c r="K1298" s="2" t="str">
        <x:v>1</x:v>
      </x:c>
      <x:c r="L1298" s="2" t="str">
        <x:v>3</x:v>
      </x:c>
      <x:c r="M1298" s="2" t="str">
        <x:v>1</x:v>
      </x:c>
      <x:c r="N1298" s="2" t="str">
        <x:v>2</x:v>
      </x:c>
      <x:c r="O1298" s="2" t="str">
        <x:v>0</x:v>
      </x:c>
      <x:c r="P1298" s="2" t="str">
        <x:v>true</x:v>
      </x:c>
      <x:c r="Q1298" s="2" t="str">
        <x:v>98.380547787</x:v>
      </x:c>
      <x:c r="R1298" s="2" t="str">
        <x:v>0.41891699947882444</x:v>
      </x:c>
      <x:c r="S1298" s="2" t="str">
        <x:v>46.24999448396118</x:v>
      </x:c>
    </x:row>
    <x:row r="1299">
      <x:c r="A1299" s="2" t="str">
        <x:v>DE-CMP-01</x:v>
      </x:c>
      <x:c r="B1299" s="2" t="str">
        <x:v>CFG-C01</x:v>
      </x:c>
      <x:c r="C1299" s="2" t="n">
        <x:v>46227.70238086805</x:v>
      </x:c>
      <x:c r="D1299" s="2" t="str">
        <x:v>os_cfar</x:v>
      </x:c>
      <x:c r="E1299" s="2" t="str">
        <x:v>variable_noise_floor</x:v>
      </x:c>
      <x:c r="F1299" s="2" t="str">
        <x:v>649</x:v>
      </x:c>
      <x:c r="G1299" s="2" t="str">
        <x:v>3164252</x:v>
      </x:c>
      <x:c r="H1299" s="2" t="str">
        <x:v>2048000.0</x:v>
      </x:c>
      <x:c r="I1299" s="2" t="str">
        <x:v>8192</x:v>
      </x:c>
      <x:c r="J1299" s="2" t="str">
        <x:v>250.0</x:v>
      </x:c>
      <x:c r="K1299" s="2" t="str">
        <x:v>1</x:v>
      </x:c>
      <x:c r="L1299" s="2" t="str">
        <x:v>3</x:v>
      </x:c>
      <x:c r="M1299" s="2" t="str">
        <x:v>1</x:v>
      </x:c>
      <x:c r="N1299" s="2" t="str">
        <x:v>2</x:v>
      </x:c>
      <x:c r="O1299" s="2" t="str">
        <x:v>0</x:v>
      </x:c>
      <x:c r="P1299" s="2" t="str">
        <x:v>true</x:v>
      </x:c>
      <x:c r="Q1299" s="2" t="str">
        <x:v>98.380547787</x:v>
      </x:c>
      <x:c r="R1299" s="2" t="str">
        <x:v>13.999499991768971</x:v>
      </x:c>
      <x:c r="S1299" s="2" t="str">
        <x:v>48.340660483146635</x:v>
      </x:c>
    </x:row>
    <x:row r="1300">
      <x:c r="A1300" s="2" t="str">
        <x:v>DE-CMP-01</x:v>
      </x:c>
      <x:c r="B1300" s="2" t="str">
        <x:v>CFG-C01</x:v>
      </x:c>
      <x:c r="C1300" s="2" t="n">
        <x:v>46227.70238086805</x:v>
      </x:c>
      <x:c r="D1300" s="2" t="str">
        <x:v>os_cfar</x:v>
      </x:c>
      <x:c r="E1300" s="2" t="str">
        <x:v>variable_noise_floor</x:v>
      </x:c>
      <x:c r="F1300" s="2" t="str">
        <x:v>650</x:v>
      </x:c>
      <x:c r="G1300" s="2" t="str">
        <x:v>3164253</x:v>
      </x:c>
      <x:c r="H1300" s="2" t="str">
        <x:v>2048000.0</x:v>
      </x:c>
      <x:c r="I1300" s="2" t="str">
        <x:v>8192</x:v>
      </x:c>
      <x:c r="J1300" s="2" t="str">
        <x:v>250.0</x:v>
      </x:c>
      <x:c r="K1300" s="2" t="str">
        <x:v>1</x:v>
      </x:c>
      <x:c r="L1300" s="2" t="str">
        <x:v>3</x:v>
      </x:c>
      <x:c r="M1300" s="2" t="str">
        <x:v>1</x:v>
      </x:c>
      <x:c r="N1300" s="2" t="str">
        <x:v>2</x:v>
      </x:c>
      <x:c r="O1300" s="2" t="str">
        <x:v>0</x:v>
      </x:c>
      <x:c r="P1300" s="2" t="str">
        <x:v>true</x:v>
      </x:c>
      <x:c r="Q1300" s="2" t="str">
        <x:v>97.276165627</x:v>
      </x:c>
      <x:c r="R1300" s="2" t="str">
        <x:v>13.95450001291465</x:v>
      </x:c>
      <x:c r="S1300" s="2" t="str">
        <x:v>48.258931695607714</x:v>
      </x:c>
    </x:row>
    <x:row r="1301">
      <x:c r="A1301" s="2" t="str">
        <x:v>DE-CMP-01</x:v>
      </x:c>
      <x:c r="B1301" s="2" t="str">
        <x:v>CFG-C01</x:v>
      </x:c>
      <x:c r="C1301" s="2" t="n">
        <x:v>46227.70238086805</x:v>
      </x:c>
      <x:c r="D1301" s="2" t="str">
        <x:v>adaptive</x:v>
      </x:c>
      <x:c r="E1301" s="2" t="str">
        <x:v>variable_noise_floor</x:v>
      </x:c>
      <x:c r="F1301" s="2" t="str">
        <x:v>650</x:v>
      </x:c>
      <x:c r="G1301" s="2" t="str">
        <x:v>3164253</x:v>
      </x:c>
      <x:c r="H1301" s="2" t="str">
        <x:v>2048000.0</x:v>
      </x:c>
      <x:c r="I1301" s="2" t="str">
        <x:v>8192</x:v>
      </x:c>
      <x:c r="J1301" s="2" t="str">
        <x:v>250.0</x:v>
      </x:c>
      <x:c r="K1301" s="2" t="str">
        <x:v>1</x:v>
      </x:c>
      <x:c r="L1301" s="2" t="str">
        <x:v>3</x:v>
      </x:c>
      <x:c r="M1301" s="2" t="str">
        <x:v>1</x:v>
      </x:c>
      <x:c r="N1301" s="2" t="str">
        <x:v>2</x:v>
      </x:c>
      <x:c r="O1301" s="2" t="str">
        <x:v>0</x:v>
      </x:c>
      <x:c r="P1301" s="2" t="str">
        <x:v>true</x:v>
      </x:c>
      <x:c r="Q1301" s="2" t="str">
        <x:v>97.276165627</x:v>
      </x:c>
      <x:c r="R1301" s="2" t="str">
        <x:v>0.4549169971141964</x:v>
      </x:c>
      <x:c r="S1301" s="2" t="str">
        <x:v>46.27741878440531</x:v>
      </x:c>
    </x:row>
    <x:row r="1302">
      <x:c r="A1302" s="2" t="str">
        <x:v>DE-CMP-01</x:v>
      </x:c>
      <x:c r="B1302" s="2" t="str">
        <x:v>CFG-C01</x:v>
      </x:c>
      <x:c r="C1302" s="2" t="n">
        <x:v>46227.70238086805</x:v>
      </x:c>
      <x:c r="D1302" s="2" t="str">
        <x:v>adaptive</x:v>
      </x:c>
      <x:c r="E1302" s="2" t="str">
        <x:v>variable_noise_floor</x:v>
      </x:c>
      <x:c r="F1302" s="2" t="str">
        <x:v>651</x:v>
      </x:c>
      <x:c r="G1302" s="2" t="str">
        <x:v>3164254</x:v>
      </x:c>
      <x:c r="H1302" s="2" t="str">
        <x:v>2048000.0</x:v>
      </x:c>
      <x:c r="I1302" s="2" t="str">
        <x:v>8192</x:v>
      </x:c>
      <x:c r="J1302" s="2" t="str">
        <x:v>250.0</x:v>
      </x:c>
      <x:c r="K1302" s="2" t="str">
        <x:v>1</x:v>
      </x:c>
      <x:c r="L1302" s="2" t="str">
        <x:v>3</x:v>
      </x:c>
      <x:c r="M1302" s="2" t="str">
        <x:v>1</x:v>
      </x:c>
      <x:c r="N1302" s="2" t="str">
        <x:v>2</x:v>
      </x:c>
      <x:c r="O1302" s="2" t="str">
        <x:v>0</x:v>
      </x:c>
      <x:c r="P1302" s="2" t="str">
        <x:v>true</x:v>
      </x:c>
      <x:c r="Q1302" s="2" t="str">
        <x:v>-93.680075244</x:v>
      </x:c>
      <x:c r="R1302" s="2" t="str">
        <x:v>0.4440829943632707</x:v>
      </x:c>
      <x:c r="S1302" s="2" t="str">
        <x:v>46.21561627750233</x:v>
      </x:c>
    </x:row>
    <x:row r="1303">
      <x:c r="A1303" s="2" t="str">
        <x:v>DE-CMP-01</x:v>
      </x:c>
      <x:c r="B1303" s="2" t="str">
        <x:v>CFG-C01</x:v>
      </x:c>
      <x:c r="C1303" s="2" t="n">
        <x:v>46227.70238086805</x:v>
      </x:c>
      <x:c r="D1303" s="2" t="str">
        <x:v>os_cfar</x:v>
      </x:c>
      <x:c r="E1303" s="2" t="str">
        <x:v>variable_noise_floor</x:v>
      </x:c>
      <x:c r="F1303" s="2" t="str">
        <x:v>651</x:v>
      </x:c>
      <x:c r="G1303" s="2" t="str">
        <x:v>3164254</x:v>
      </x:c>
      <x:c r="H1303" s="2" t="str">
        <x:v>2048000.0</x:v>
      </x:c>
      <x:c r="I1303" s="2" t="str">
        <x:v>8192</x:v>
      </x:c>
      <x:c r="J1303" s="2" t="str">
        <x:v>250.0</x:v>
      </x:c>
      <x:c r="K1303" s="2" t="str">
        <x:v>1</x:v>
      </x:c>
      <x:c r="L1303" s="2" t="str">
        <x:v>3</x:v>
      </x:c>
      <x:c r="M1303" s="2" t="str">
        <x:v>1</x:v>
      </x:c>
      <x:c r="N1303" s="2" t="str">
        <x:v>2</x:v>
      </x:c>
      <x:c r="O1303" s="2" t="str">
        <x:v>0</x:v>
      </x:c>
      <x:c r="P1303" s="2" t="str">
        <x:v>true</x:v>
      </x:c>
      <x:c r="Q1303" s="2" t="str">
        <x:v>-93.680075244</x:v>
      </x:c>
      <x:c r="R1303" s="2" t="str">
        <x:v>13.891374997911043</x:v>
      </x:c>
      <x:c r="S1303" s="2" t="str">
        <x:v>48.44647995455965</x:v>
      </x:c>
    </x:row>
    <x:row r="1304">
      <x:c r="A1304" s="2" t="str">
        <x:v>DE-CMP-01</x:v>
      </x:c>
      <x:c r="B1304" s="2" t="str">
        <x:v>CFG-C01</x:v>
      </x:c>
      <x:c r="C1304" s="2" t="n">
        <x:v>46227.70238086805</x:v>
      </x:c>
      <x:c r="D1304" s="2" t="str">
        <x:v>os_cfar</x:v>
      </x:c>
      <x:c r="E1304" s="2" t="str">
        <x:v>variable_noise_floor</x:v>
      </x:c>
      <x:c r="F1304" s="2" t="str">
        <x:v>652</x:v>
      </x:c>
      <x:c r="G1304" s="2" t="str">
        <x:v>3164255</x:v>
      </x:c>
      <x:c r="H1304" s="2" t="str">
        <x:v>2048000.0</x:v>
      </x:c>
      <x:c r="I1304" s="2" t="str">
        <x:v>8192</x:v>
      </x:c>
      <x:c r="J1304" s="2" t="str">
        <x:v>250.0</x:v>
      </x:c>
      <x:c r="K1304" s="2" t="str">
        <x:v>1</x:v>
      </x:c>
      <x:c r="L1304" s="2" t="str">
        <x:v>3</x:v>
      </x:c>
      <x:c r="M1304" s="2" t="str">
        <x:v>1</x:v>
      </x:c>
      <x:c r="N1304" s="2" t="str">
        <x:v>2</x:v>
      </x:c>
      <x:c r="O1304" s="2" t="str">
        <x:v>0</x:v>
      </x:c>
      <x:c r="P1304" s="2" t="str">
        <x:v>true</x:v>
      </x:c>
      <x:c r="Q1304" s="2" t="str">
        <x:v>44.441886663</x:v>
      </x:c>
      <x:c r="R1304" s="2" t="str">
        <x:v>13.847291003912687</x:v>
      </x:c>
      <x:c r="S1304" s="2" t="str">
        <x:v>48.0865526983724</x:v>
      </x:c>
    </x:row>
    <x:row r="1305">
      <x:c r="A1305" s="2" t="str">
        <x:v>DE-CMP-01</x:v>
      </x:c>
      <x:c r="B1305" s="2" t="str">
        <x:v>CFG-C01</x:v>
      </x:c>
      <x:c r="C1305" s="2" t="n">
        <x:v>46227.70238086805</x:v>
      </x:c>
      <x:c r="D1305" s="2" t="str">
        <x:v>adaptive</x:v>
      </x:c>
      <x:c r="E1305" s="2" t="str">
        <x:v>variable_noise_floor</x:v>
      </x:c>
      <x:c r="F1305" s="2" t="str">
        <x:v>652</x:v>
      </x:c>
      <x:c r="G1305" s="2" t="str">
        <x:v>3164255</x:v>
      </x:c>
      <x:c r="H1305" s="2" t="str">
        <x:v>2048000.0</x:v>
      </x:c>
      <x:c r="I1305" s="2" t="str">
        <x:v>8192</x:v>
      </x:c>
      <x:c r="J1305" s="2" t="str">
        <x:v>250.0</x:v>
      </x:c>
      <x:c r="K1305" s="2" t="str">
        <x:v>1</x:v>
      </x:c>
      <x:c r="L1305" s="2" t="str">
        <x:v>3</x:v>
      </x:c>
      <x:c r="M1305" s="2" t="str">
        <x:v>1</x:v>
      </x:c>
      <x:c r="N1305" s="2" t="str">
        <x:v>2</x:v>
      </x:c>
      <x:c r="O1305" s="2" t="str">
        <x:v>0</x:v>
      </x:c>
      <x:c r="P1305" s="2" t="str">
        <x:v>true</x:v>
      </x:c>
      <x:c r="Q1305" s="2" t="str">
        <x:v>44.441886663</x:v>
      </x:c>
      <x:c r="R1305" s="2" t="str">
        <x:v>0.3985419898526743</x:v>
      </x:c>
      <x:c r="S1305" s="2" t="str">
        <x:v>45.66923627100867</x:v>
      </x:c>
    </x:row>
    <x:row r="1306">
      <x:c r="A1306" s="2" t="str">
        <x:v>DE-CMP-01</x:v>
      </x:c>
      <x:c r="B1306" s="2" t="str">
        <x:v>CFG-C01</x:v>
      </x:c>
      <x:c r="C1306" s="2" t="n">
        <x:v>46227.70238086805</x:v>
      </x:c>
      <x:c r="D1306" s="2" t="str">
        <x:v>adaptive</x:v>
      </x:c>
      <x:c r="E1306" s="2" t="str">
        <x:v>variable_noise_floor</x:v>
      </x:c>
      <x:c r="F1306" s="2" t="str">
        <x:v>653</x:v>
      </x:c>
      <x:c r="G1306" s="2" t="str">
        <x:v>3164256</x:v>
      </x:c>
      <x:c r="H1306" s="2" t="str">
        <x:v>2048000.0</x:v>
      </x:c>
      <x:c r="I1306" s="2" t="str">
        <x:v>8192</x:v>
      </x:c>
      <x:c r="J1306" s="2" t="str">
        <x:v>250.0</x:v>
      </x:c>
      <x:c r="K1306" s="2" t="str">
        <x:v>1</x:v>
      </x:c>
      <x:c r="L1306" s="2" t="str">
        <x:v>3</x:v>
      </x:c>
      <x:c r="M1306" s="2" t="str">
        <x:v>1</x:v>
      </x:c>
      <x:c r="N1306" s="2" t="str">
        <x:v>2</x:v>
      </x:c>
      <x:c r="O1306" s="2" t="str">
        <x:v>0</x:v>
      </x:c>
      <x:c r="P1306" s="2" t="str">
        <x:v>true</x:v>
      </x:c>
      <x:c r="Q1306" s="2" t="str">
        <x:v>-24.142848009</x:v>
      </x:c>
      <x:c r="R1306" s="2" t="str">
        <x:v>0.4116249911021441</x:v>
      </x:c>
      <x:c r="S1306" s="2" t="str">
        <x:v>45.571590174120516</x:v>
      </x:c>
    </x:row>
    <x:row r="1307">
      <x:c r="A1307" s="2" t="str">
        <x:v>DE-CMP-01</x:v>
      </x:c>
      <x:c r="B1307" s="2" t="str">
        <x:v>CFG-C01</x:v>
      </x:c>
      <x:c r="C1307" s="2" t="n">
        <x:v>46227.70238086805</x:v>
      </x:c>
      <x:c r="D1307" s="2" t="str">
        <x:v>os_cfar</x:v>
      </x:c>
      <x:c r="E1307" s="2" t="str">
        <x:v>variable_noise_floor</x:v>
      </x:c>
      <x:c r="F1307" s="2" t="str">
        <x:v>653</x:v>
      </x:c>
      <x:c r="G1307" s="2" t="str">
        <x:v>3164256</x:v>
      </x:c>
      <x:c r="H1307" s="2" t="str">
        <x:v>2048000.0</x:v>
      </x:c>
      <x:c r="I1307" s="2" t="str">
        <x:v>8192</x:v>
      </x:c>
      <x:c r="J1307" s="2" t="str">
        <x:v>250.0</x:v>
      </x:c>
      <x:c r="K1307" s="2" t="str">
        <x:v>1</x:v>
      </x:c>
      <x:c r="L1307" s="2" t="str">
        <x:v>3</x:v>
      </x:c>
      <x:c r="M1307" s="2" t="str">
        <x:v>1</x:v>
      </x:c>
      <x:c r="N1307" s="2" t="str">
        <x:v>2</x:v>
      </x:c>
      <x:c r="O1307" s="2" t="str">
        <x:v>0</x:v>
      </x:c>
      <x:c r="P1307" s="2" t="str">
        <x:v>true</x:v>
      </x:c>
      <x:c r="Q1307" s="2" t="str">
        <x:v>-24.142848009</x:v>
      </x:c>
      <x:c r="R1307" s="2" t="str">
        <x:v>14.039916000911035</x:v>
      </x:c>
      <x:c r="S1307" s="2" t="str">
        <x:v>47.847401468797386</x:v>
      </x:c>
    </x:row>
    <x:row r="1308">
      <x:c r="A1308" s="2" t="str">
        <x:v>DE-CMP-01</x:v>
      </x:c>
      <x:c r="B1308" s="2" t="str">
        <x:v>CFG-C01</x:v>
      </x:c>
      <x:c r="C1308" s="2" t="n">
        <x:v>46227.70238086805</x:v>
      </x:c>
      <x:c r="D1308" s="2" t="str">
        <x:v>os_cfar</x:v>
      </x:c>
      <x:c r="E1308" s="2" t="str">
        <x:v>variable_noise_floor</x:v>
      </x:c>
      <x:c r="F1308" s="2" t="str">
        <x:v>654</x:v>
      </x:c>
      <x:c r="G1308" s="2" t="str">
        <x:v>3164257</x:v>
      </x:c>
      <x:c r="H1308" s="2" t="str">
        <x:v>2048000.0</x:v>
      </x:c>
      <x:c r="I1308" s="2" t="str">
        <x:v>8192</x:v>
      </x:c>
      <x:c r="J1308" s="2" t="str">
        <x:v>250.0</x:v>
      </x:c>
      <x:c r="K1308" s="2" t="str">
        <x:v>1</x:v>
      </x:c>
      <x:c r="L1308" s="2" t="str">
        <x:v>3</x:v>
      </x:c>
      <x:c r="M1308" s="2" t="str">
        <x:v>1</x:v>
      </x:c>
      <x:c r="N1308" s="2" t="str">
        <x:v>2</x:v>
      </x:c>
      <x:c r="O1308" s="2" t="str">
        <x:v>0</x:v>
      </x:c>
      <x:c r="P1308" s="2" t="str">
        <x:v>true</x:v>
      </x:c>
      <x:c r="Q1308" s="2" t="str">
        <x:v>44.083189593</x:v>
      </x:c>
      <x:c r="R1308" s="2" t="str">
        <x:v>13.840958999935538</x:v>
      </x:c>
      <x:c r="S1308" s="2" t="str">
        <x:v>48.07232300108944</x:v>
      </x:c>
    </x:row>
    <x:row r="1309">
      <x:c r="A1309" s="2" t="str">
        <x:v>DE-CMP-01</x:v>
      </x:c>
      <x:c r="B1309" s="2" t="str">
        <x:v>CFG-C01</x:v>
      </x:c>
      <x:c r="C1309" s="2" t="n">
        <x:v>46227.70238086805</x:v>
      </x:c>
      <x:c r="D1309" s="2" t="str">
        <x:v>adaptive</x:v>
      </x:c>
      <x:c r="E1309" s="2" t="str">
        <x:v>variable_noise_floor</x:v>
      </x:c>
      <x:c r="F1309" s="2" t="str">
        <x:v>654</x:v>
      </x:c>
      <x:c r="G1309" s="2" t="str">
        <x:v>3164257</x:v>
      </x:c>
      <x:c r="H1309" s="2" t="str">
        <x:v>2048000.0</x:v>
      </x:c>
      <x:c r="I1309" s="2" t="str">
        <x:v>8192</x:v>
      </x:c>
      <x:c r="J1309" s="2" t="str">
        <x:v>250.0</x:v>
      </x:c>
      <x:c r="K1309" s="2" t="str">
        <x:v>1</x:v>
      </x:c>
      <x:c r="L1309" s="2" t="str">
        <x:v>3</x:v>
      </x:c>
      <x:c r="M1309" s="2" t="str">
        <x:v>1</x:v>
      </x:c>
      <x:c r="N1309" s="2" t="str">
        <x:v>2</x:v>
      </x:c>
      <x:c r="O1309" s="2" t="str">
        <x:v>0</x:v>
      </x:c>
      <x:c r="P1309" s="2" t="str">
        <x:v>true</x:v>
      </x:c>
      <x:c r="Q1309" s="2" t="str">
        <x:v>44.083189593</x:v>
      </x:c>
      <x:c r="R1309" s="2" t="str">
        <x:v>0.436332993558608</x:v>
      </x:c>
      <x:c r="S1309" s="2" t="str">
        <x:v>46.5847825649936</x:v>
      </x:c>
    </x:row>
    <x:row r="1310">
      <x:c r="A1310" s="2" t="str">
        <x:v>DE-CMP-01</x:v>
      </x:c>
      <x:c r="B1310" s="2" t="str">
        <x:v>CFG-C01</x:v>
      </x:c>
      <x:c r="C1310" s="2" t="n">
        <x:v>46227.70238086805</x:v>
      </x:c>
      <x:c r="D1310" s="2" t="str">
        <x:v>adaptive</x:v>
      </x:c>
      <x:c r="E1310" s="2" t="str">
        <x:v>variable_noise_floor</x:v>
      </x:c>
      <x:c r="F1310" s="2" t="str">
        <x:v>655</x:v>
      </x:c>
      <x:c r="G1310" s="2" t="str">
        <x:v>3164258</x:v>
      </x:c>
      <x:c r="H1310" s="2" t="str">
        <x:v>2048000.0</x:v>
      </x:c>
      <x:c r="I1310" s="2" t="str">
        <x:v>8192</x:v>
      </x:c>
      <x:c r="J1310" s="2" t="str">
        <x:v>250.0</x:v>
      </x:c>
      <x:c r="K1310" s="2" t="str">
        <x:v>1</x:v>
      </x:c>
      <x:c r="L1310" s="2" t="str">
        <x:v>3</x:v>
      </x:c>
      <x:c r="M1310" s="2" t="str">
        <x:v>1</x:v>
      </x:c>
      <x:c r="N1310" s="2" t="str">
        <x:v>2</x:v>
      </x:c>
      <x:c r="O1310" s="2" t="str">
        <x:v>0</x:v>
      </x:c>
      <x:c r="P1310" s="2" t="str">
        <x:v>true</x:v>
      </x:c>
      <x:c r="Q1310" s="2" t="str">
        <x:v>-24.548040521</x:v>
      </x:c>
      <x:c r="R1310" s="2" t="str">
        <x:v>0.42100000428035855</x:v>
      </x:c>
      <x:c r="S1310" s="2" t="str">
        <x:v>46.580701395162265</x:v>
      </x:c>
    </x:row>
    <x:row r="1311">
      <x:c r="A1311" s="2" t="str">
        <x:v>DE-CMP-01</x:v>
      </x:c>
      <x:c r="B1311" s="2" t="str">
        <x:v>CFG-C01</x:v>
      </x:c>
      <x:c r="C1311" s="2" t="n">
        <x:v>46227.70238086805</x:v>
      </x:c>
      <x:c r="D1311" s="2" t="str">
        <x:v>os_cfar</x:v>
      </x:c>
      <x:c r="E1311" s="2" t="str">
        <x:v>variable_noise_floor</x:v>
      </x:c>
      <x:c r="F1311" s="2" t="str">
        <x:v>655</x:v>
      </x:c>
      <x:c r="G1311" s="2" t="str">
        <x:v>3164258</x:v>
      </x:c>
      <x:c r="H1311" s="2" t="str">
        <x:v>2048000.0</x:v>
      </x:c>
      <x:c r="I1311" s="2" t="str">
        <x:v>8192</x:v>
      </x:c>
      <x:c r="J1311" s="2" t="str">
        <x:v>250.0</x:v>
      </x:c>
      <x:c r="K1311" s="2" t="str">
        <x:v>1</x:v>
      </x:c>
      <x:c r="L1311" s="2" t="str">
        <x:v>3</x:v>
      </x:c>
      <x:c r="M1311" s="2" t="str">
        <x:v>1</x:v>
      </x:c>
      <x:c r="N1311" s="2" t="str">
        <x:v>2</x:v>
      </x:c>
      <x:c r="O1311" s="2" t="str">
        <x:v>0</x:v>
      </x:c>
      <x:c r="P1311" s="2" t="str">
        <x:v>true</x:v>
      </x:c>
      <x:c r="Q1311" s="2" t="str">
        <x:v>-24.548040521</x:v>
      </x:c>
      <x:c r="R1311" s="2" t="str">
        <x:v>13.665666992892511</x:v>
      </x:c>
      <x:c r="S1311" s="2" t="str">
        <x:v>48.47193169996938</x:v>
      </x:c>
    </x:row>
    <x:row r="1312">
      <x:c r="A1312" s="2" t="str">
        <x:v>DE-CMP-01</x:v>
      </x:c>
      <x:c r="B1312" s="2" t="str">
        <x:v>CFG-C01</x:v>
      </x:c>
      <x:c r="C1312" s="2" t="n">
        <x:v>46227.70238086805</x:v>
      </x:c>
      <x:c r="D1312" s="2" t="str">
        <x:v>os_cfar</x:v>
      </x:c>
      <x:c r="E1312" s="2" t="str">
        <x:v>variable_noise_floor</x:v>
      </x:c>
      <x:c r="F1312" s="2" t="str">
        <x:v>656</x:v>
      </x:c>
      <x:c r="G1312" s="2" t="str">
        <x:v>3164259</x:v>
      </x:c>
      <x:c r="H1312" s="2" t="str">
        <x:v>2048000.0</x:v>
      </x:c>
      <x:c r="I1312" s="2" t="str">
        <x:v>8192</x:v>
      </x:c>
      <x:c r="J1312" s="2" t="str">
        <x:v>250.0</x:v>
      </x:c>
      <x:c r="K1312" s="2" t="str">
        <x:v>1</x:v>
      </x:c>
      <x:c r="L1312" s="2" t="str">
        <x:v>3</x:v>
      </x:c>
      <x:c r="M1312" s="2" t="str">
        <x:v>1</x:v>
      </x:c>
      <x:c r="N1312" s="2" t="str">
        <x:v>2</x:v>
      </x:c>
      <x:c r="O1312" s="2" t="str">
        <x:v>0</x:v>
      </x:c>
      <x:c r="P1312" s="2" t="str">
        <x:v>true</x:v>
      </x:c>
      <x:c r="Q1312" s="2" t="str">
        <x:v>103.253773295</x:v>
      </x:c>
      <x:c r="R1312" s="2" t="str">
        <x:v>13.929124994319864</x:v>
      </x:c>
      <x:c r="S1312" s="2" t="str">
        <x:v>48.13628098839688</x:v>
      </x:c>
    </x:row>
    <x:row r="1313">
      <x:c r="A1313" s="2" t="str">
        <x:v>DE-CMP-01</x:v>
      </x:c>
      <x:c r="B1313" s="2" t="str">
        <x:v>CFG-C01</x:v>
      </x:c>
      <x:c r="C1313" s="2" t="n">
        <x:v>46227.70238086805</x:v>
      </x:c>
      <x:c r="D1313" s="2" t="str">
        <x:v>adaptive</x:v>
      </x:c>
      <x:c r="E1313" s="2" t="str">
        <x:v>variable_noise_floor</x:v>
      </x:c>
      <x:c r="F1313" s="2" t="str">
        <x:v>656</x:v>
      </x:c>
      <x:c r="G1313" s="2" t="str">
        <x:v>3164259</x:v>
      </x:c>
      <x:c r="H1313" s="2" t="str">
        <x:v>2048000.0</x:v>
      </x:c>
      <x:c r="I1313" s="2" t="str">
        <x:v>8192</x:v>
      </x:c>
      <x:c r="J1313" s="2" t="str">
        <x:v>250.0</x:v>
      </x:c>
      <x:c r="K1313" s="2" t="str">
        <x:v>1</x:v>
      </x:c>
      <x:c r="L1313" s="2" t="str">
        <x:v>3</x:v>
      </x:c>
      <x:c r="M1313" s="2" t="str">
        <x:v>1</x:v>
      </x:c>
      <x:c r="N1313" s="2" t="str">
        <x:v>2</x:v>
      </x:c>
      <x:c r="O1313" s="2" t="str">
        <x:v>0</x:v>
      </x:c>
      <x:c r="P1313" s="2" t="str">
        <x:v>true</x:v>
      </x:c>
      <x:c r="Q1313" s="2" t="str">
        <x:v>103.253773295</x:v>
      </x:c>
      <x:c r="R1313" s="2" t="str">
        <x:v>0.436166999861598</x:v>
      </x:c>
      <x:c r="S1313" s="2" t="str">
        <x:v>46.357165762751556</x:v>
      </x:c>
    </x:row>
    <x:row r="1314">
      <x:c r="A1314" s="2" t="str">
        <x:v>DE-CMP-01</x:v>
      </x:c>
      <x:c r="B1314" s="2" t="str">
        <x:v>CFG-C01</x:v>
      </x:c>
      <x:c r="C1314" s="2" t="n">
        <x:v>46227.70238086805</x:v>
      </x:c>
      <x:c r="D1314" s="2" t="str">
        <x:v>adaptive</x:v>
      </x:c>
      <x:c r="E1314" s="2" t="str">
        <x:v>variable_noise_floor</x:v>
      </x:c>
      <x:c r="F1314" s="2" t="str">
        <x:v>657</x:v>
      </x:c>
      <x:c r="G1314" s="2" t="str">
        <x:v>3164260</x:v>
      </x:c>
      <x:c r="H1314" s="2" t="str">
        <x:v>2048000.0</x:v>
      </x:c>
      <x:c r="I1314" s="2" t="str">
        <x:v>8192</x:v>
      </x:c>
      <x:c r="J1314" s="2" t="str">
        <x:v>250.0</x:v>
      </x:c>
      <x:c r="K1314" s="2" t="str">
        <x:v>1</x:v>
      </x:c>
      <x:c r="L1314" s="2" t="str">
        <x:v>3</x:v>
      </x:c>
      <x:c r="M1314" s="2" t="str">
        <x:v>1</x:v>
      </x:c>
      <x:c r="N1314" s="2" t="str">
        <x:v>2</x:v>
      </x:c>
      <x:c r="O1314" s="2" t="str">
        <x:v>0</x:v>
      </x:c>
      <x:c r="P1314" s="2" t="str">
        <x:v>true</x:v>
      </x:c>
      <x:c r="Q1314" s="2" t="str">
        <x:v>83.994080069</x:v>
      </x:c>
      <x:c r="R1314" s="2" t="str">
        <x:v>0.421667005866766</x:v>
      </x:c>
      <x:c r="S1314" s="2" t="str">
        <x:v>46.70261664026745</x:v>
      </x:c>
    </x:row>
    <x:row r="1315">
      <x:c r="A1315" s="2" t="str">
        <x:v>DE-CMP-01</x:v>
      </x:c>
      <x:c r="B1315" s="2" t="str">
        <x:v>CFG-C01</x:v>
      </x:c>
      <x:c r="C1315" s="2" t="n">
        <x:v>46227.70238086805</x:v>
      </x:c>
      <x:c r="D1315" s="2" t="str">
        <x:v>os_cfar</x:v>
      </x:c>
      <x:c r="E1315" s="2" t="str">
        <x:v>variable_noise_floor</x:v>
      </x:c>
      <x:c r="F1315" s="2" t="str">
        <x:v>657</x:v>
      </x:c>
      <x:c r="G1315" s="2" t="str">
        <x:v>3164260</x:v>
      </x:c>
      <x:c r="H1315" s="2" t="str">
        <x:v>2048000.0</x:v>
      </x:c>
      <x:c r="I1315" s="2" t="str">
        <x:v>8192</x:v>
      </x:c>
      <x:c r="J1315" s="2" t="str">
        <x:v>250.0</x:v>
      </x:c>
      <x:c r="K1315" s="2" t="str">
        <x:v>1</x:v>
      </x:c>
      <x:c r="L1315" s="2" t="str">
        <x:v>3</x:v>
      </x:c>
      <x:c r="M1315" s="2" t="str">
        <x:v>1</x:v>
      </x:c>
      <x:c r="N1315" s="2" t="str">
        <x:v>2</x:v>
      </x:c>
      <x:c r="O1315" s="2" t="str">
        <x:v>0</x:v>
      </x:c>
      <x:c r="P1315" s="2" t="str">
        <x:v>true</x:v>
      </x:c>
      <x:c r="Q1315" s="2" t="str">
        <x:v>83.994080069</x:v>
      </x:c>
      <x:c r="R1315" s="2" t="str">
        <x:v>14.524917001836002</x:v>
      </x:c>
      <x:c r="S1315" s="2" t="str">
        <x:v>48.28014544756459</x:v>
      </x:c>
    </x:row>
    <x:row r="1316">
      <x:c r="A1316" s="2" t="str">
        <x:v>DE-CMP-01</x:v>
      </x:c>
      <x:c r="B1316" s="2" t="str">
        <x:v>CFG-C01</x:v>
      </x:c>
      <x:c r="C1316" s="2" t="n">
        <x:v>46227.70238086805</x:v>
      </x:c>
      <x:c r="D1316" s="2" t="str">
        <x:v>os_cfar</x:v>
      </x:c>
      <x:c r="E1316" s="2" t="str">
        <x:v>variable_noise_floor</x:v>
      </x:c>
      <x:c r="F1316" s="2" t="str">
        <x:v>658</x:v>
      </x:c>
      <x:c r="G1316" s="2" t="str">
        <x:v>3164261</x:v>
      </x:c>
      <x:c r="H1316" s="2" t="str">
        <x:v>2048000.0</x:v>
      </x:c>
      <x:c r="I1316" s="2" t="str">
        <x:v>8192</x:v>
      </x:c>
      <x:c r="J1316" s="2" t="str">
        <x:v>250.0</x:v>
      </x:c>
      <x:c r="K1316" s="2" t="str">
        <x:v>1</x:v>
      </x:c>
      <x:c r="L1316" s="2" t="str">
        <x:v>3</x:v>
      </x:c>
      <x:c r="M1316" s="2" t="str">
        <x:v>1</x:v>
      </x:c>
      <x:c r="N1316" s="2" t="str">
        <x:v>2</x:v>
      </x:c>
      <x:c r="O1316" s="2" t="str">
        <x:v>0</x:v>
      </x:c>
      <x:c r="P1316" s="2" t="str">
        <x:v>true</x:v>
      </x:c>
      <x:c r="Q1316" s="2" t="str">
        <x:v>-33.333877033</x:v>
      </x:c>
      <x:c r="R1316" s="2" t="str">
        <x:v>14.599041998735629</x:v>
      </x:c>
      <x:c r="S1316" s="2" t="str">
        <x:v>48.233519363587824</x:v>
      </x:c>
    </x:row>
    <x:row r="1317">
      <x:c r="A1317" s="2" t="str">
        <x:v>DE-CMP-01</x:v>
      </x:c>
      <x:c r="B1317" s="2" t="str">
        <x:v>CFG-C01</x:v>
      </x:c>
      <x:c r="C1317" s="2" t="n">
        <x:v>46227.70238086805</x:v>
      </x:c>
      <x:c r="D1317" s="2" t="str">
        <x:v>adaptive</x:v>
      </x:c>
      <x:c r="E1317" s="2" t="str">
        <x:v>variable_noise_floor</x:v>
      </x:c>
      <x:c r="F1317" s="2" t="str">
        <x:v>658</x:v>
      </x:c>
      <x:c r="G1317" s="2" t="str">
        <x:v>3164261</x:v>
      </x:c>
      <x:c r="H1317" s="2" t="str">
        <x:v>2048000.0</x:v>
      </x:c>
      <x:c r="I1317" s="2" t="str">
        <x:v>8192</x:v>
      </x:c>
      <x:c r="J1317" s="2" t="str">
        <x:v>250.0</x:v>
      </x:c>
      <x:c r="K1317" s="2" t="str">
        <x:v>1</x:v>
      </x:c>
      <x:c r="L1317" s="2" t="str">
        <x:v>3</x:v>
      </x:c>
      <x:c r="M1317" s="2" t="str">
        <x:v>1</x:v>
      </x:c>
      <x:c r="N1317" s="2" t="str">
        <x:v>2</x:v>
      </x:c>
      <x:c r="O1317" s="2" t="str">
        <x:v>0</x:v>
      </x:c>
      <x:c r="P1317" s="2" t="str">
        <x:v>true</x:v>
      </x:c>
      <x:c r="Q1317" s="2" t="str">
        <x:v>-33.333877033</x:v>
      </x:c>
      <x:c r="R1317" s="2" t="str">
        <x:v>0.4634169890778139</x:v>
      </x:c>
      <x:c r="S1317" s="2" t="str">
        <x:v>46.17315705259955</x:v>
      </x:c>
    </x:row>
    <x:row r="1318">
      <x:c r="A1318" s="2" t="str">
        <x:v>DE-CMP-01</x:v>
      </x:c>
      <x:c r="B1318" s="2" t="str">
        <x:v>CFG-C01</x:v>
      </x:c>
      <x:c r="C1318" s="2" t="n">
        <x:v>46227.70238086805</x:v>
      </x:c>
      <x:c r="D1318" s="2" t="str">
        <x:v>adaptive</x:v>
      </x:c>
      <x:c r="E1318" s="2" t="str">
        <x:v>variable_noise_floor</x:v>
      </x:c>
      <x:c r="F1318" s="2" t="str">
        <x:v>659</x:v>
      </x:c>
      <x:c r="G1318" s="2" t="str">
        <x:v>3164262</x:v>
      </x:c>
      <x:c r="H1318" s="2" t="str">
        <x:v>2048000.0</x:v>
      </x:c>
      <x:c r="I1318" s="2" t="str">
        <x:v>8192</x:v>
      </x:c>
      <x:c r="J1318" s="2" t="str">
        <x:v>250.0</x:v>
      </x:c>
      <x:c r="K1318" s="2" t="str">
        <x:v>1</x:v>
      </x:c>
      <x:c r="L1318" s="2" t="str">
        <x:v>3</x:v>
      </x:c>
      <x:c r="M1318" s="2" t="str">
        <x:v>1</x:v>
      </x:c>
      <x:c r="N1318" s="2" t="str">
        <x:v>2</x:v>
      </x:c>
      <x:c r="O1318" s="2" t="str">
        <x:v>0</x:v>
      </x:c>
      <x:c r="P1318" s="2" t="str">
        <x:v>true</x:v>
      </x:c>
      <x:c r="Q1318" s="2" t="str">
        <x:v>-25.275524195</x:v>
      </x:c>
      <x:c r="R1318" s="2" t="str">
        <x:v>0.4576659994199872</x:v>
      </x:c>
      <x:c r="S1318" s="2" t="str">
        <x:v>46.395836208747504</x:v>
      </x:c>
    </x:row>
    <x:row r="1319">
      <x:c r="A1319" s="2" t="str">
        <x:v>DE-CMP-01</x:v>
      </x:c>
      <x:c r="B1319" s="2" t="str">
        <x:v>CFG-C01</x:v>
      </x:c>
      <x:c r="C1319" s="2" t="n">
        <x:v>46227.70238086805</x:v>
      </x:c>
      <x:c r="D1319" s="2" t="str">
        <x:v>os_cfar</x:v>
      </x:c>
      <x:c r="E1319" s="2" t="str">
        <x:v>variable_noise_floor</x:v>
      </x:c>
      <x:c r="F1319" s="2" t="str">
        <x:v>659</x:v>
      </x:c>
      <x:c r="G1319" s="2" t="str">
        <x:v>3164262</x:v>
      </x:c>
      <x:c r="H1319" s="2" t="str">
        <x:v>2048000.0</x:v>
      </x:c>
      <x:c r="I1319" s="2" t="str">
        <x:v>8192</x:v>
      </x:c>
      <x:c r="J1319" s="2" t="str">
        <x:v>250.0</x:v>
      </x:c>
      <x:c r="K1319" s="2" t="str">
        <x:v>1</x:v>
      </x:c>
      <x:c r="L1319" s="2" t="str">
        <x:v>3</x:v>
      </x:c>
      <x:c r="M1319" s="2" t="str">
        <x:v>1</x:v>
      </x:c>
      <x:c r="N1319" s="2" t="str">
        <x:v>2</x:v>
      </x:c>
      <x:c r="O1319" s="2" t="str">
        <x:v>0</x:v>
      </x:c>
      <x:c r="P1319" s="2" t="str">
        <x:v>true</x:v>
      </x:c>
      <x:c r="Q1319" s="2" t="str">
        <x:v>-25.275524195</x:v>
      </x:c>
      <x:c r="R1319" s="2" t="str">
        <x:v>13.93429200106766</x:v>
      </x:c>
      <x:c r="S1319" s="2" t="str">
        <x:v>48.24785210125816</x:v>
      </x:c>
    </x:row>
    <x:row r="1320">
      <x:c r="A1320" s="2" t="str">
        <x:v>DE-CMP-01</x:v>
      </x:c>
      <x:c r="B1320" s="2" t="str">
        <x:v>CFG-C01</x:v>
      </x:c>
      <x:c r="C1320" s="2" t="n">
        <x:v>46227.70238086805</x:v>
      </x:c>
      <x:c r="D1320" s="2" t="str">
        <x:v>os_cfar</x:v>
      </x:c>
      <x:c r="E1320" s="2" t="str">
        <x:v>variable_noise_floor</x:v>
      </x:c>
      <x:c r="F1320" s="2" t="str">
        <x:v>660</x:v>
      </x:c>
      <x:c r="G1320" s="2" t="str">
        <x:v>3164263</x:v>
      </x:c>
      <x:c r="H1320" s="2" t="str">
        <x:v>2048000.0</x:v>
      </x:c>
      <x:c r="I1320" s="2" t="str">
        <x:v>8192</x:v>
      </x:c>
      <x:c r="J1320" s="2" t="str">
        <x:v>250.0</x:v>
      </x:c>
      <x:c r="K1320" s="2" t="str">
        <x:v>1</x:v>
      </x:c>
      <x:c r="L1320" s="2" t="str">
        <x:v>3</x:v>
      </x:c>
      <x:c r="M1320" s="2" t="str">
        <x:v>1</x:v>
      </x:c>
      <x:c r="N1320" s="2" t="str">
        <x:v>2</x:v>
      </x:c>
      <x:c r="O1320" s="2" t="str">
        <x:v>0</x:v>
      </x:c>
      <x:c r="P1320" s="2" t="str">
        <x:v>true</x:v>
      </x:c>
      <x:c r="Q1320" s="2" t="str">
        <x:v>-44.357447545</x:v>
      </x:c>
      <x:c r="R1320" s="2" t="str">
        <x:v>13.878208003006876</x:v>
      </x:c>
      <x:c r="S1320" s="2" t="str">
        <x:v>48.17918880326619</x:v>
      </x:c>
    </x:row>
    <x:row r="1321">
      <x:c r="A1321" s="2" t="str">
        <x:v>DE-CMP-01</x:v>
      </x:c>
      <x:c r="B1321" s="2" t="str">
        <x:v>CFG-C01</x:v>
      </x:c>
      <x:c r="C1321" s="2" t="n">
        <x:v>46227.70238086805</x:v>
      </x:c>
      <x:c r="D1321" s="2" t="str">
        <x:v>adaptive</x:v>
      </x:c>
      <x:c r="E1321" s="2" t="str">
        <x:v>variable_noise_floor</x:v>
      </x:c>
      <x:c r="F1321" s="2" t="str">
        <x:v>660</x:v>
      </x:c>
      <x:c r="G1321" s="2" t="str">
        <x:v>3164263</x:v>
      </x:c>
      <x:c r="H1321" s="2" t="str">
        <x:v>2048000.0</x:v>
      </x:c>
      <x:c r="I1321" s="2" t="str">
        <x:v>8192</x:v>
      </x:c>
      <x:c r="J1321" s="2" t="str">
        <x:v>250.0</x:v>
      </x:c>
      <x:c r="K1321" s="2" t="str">
        <x:v>1</x:v>
      </x:c>
      <x:c r="L1321" s="2" t="str">
        <x:v>3</x:v>
      </x:c>
      <x:c r="M1321" s="2" t="str">
        <x:v>1</x:v>
      </x:c>
      <x:c r="N1321" s="2" t="str">
        <x:v>2</x:v>
      </x:c>
      <x:c r="O1321" s="2" t="str">
        <x:v>0</x:v>
      </x:c>
      <x:c r="P1321" s="2" t="str">
        <x:v>true</x:v>
      </x:c>
      <x:c r="Q1321" s="2" t="str">
        <x:v>-44.357447545</x:v>
      </x:c>
      <x:c r="R1321" s="2" t="str">
        <x:v>0.40308300231117755</x:v>
      </x:c>
      <x:c r="S1321" s="2" t="str">
        <x:v>46.335287650333555</x:v>
      </x:c>
    </x:row>
    <x:row r="1322">
      <x:c r="A1322" s="2" t="str">
        <x:v>DE-CMP-01</x:v>
      </x:c>
      <x:c r="B1322" s="2" t="str">
        <x:v>CFG-C01</x:v>
      </x:c>
      <x:c r="C1322" s="2" t="n">
        <x:v>46227.70238086805</x:v>
      </x:c>
      <x:c r="D1322" s="2" t="str">
        <x:v>adaptive</x:v>
      </x:c>
      <x:c r="E1322" s="2" t="str">
        <x:v>variable_noise_floor</x:v>
      </x:c>
      <x:c r="F1322" s="2" t="str">
        <x:v>661</x:v>
      </x:c>
      <x:c r="G1322" s="2" t="str">
        <x:v>3164264</x:v>
      </x:c>
      <x:c r="H1322" s="2" t="str">
        <x:v>2048000.0</x:v>
      </x:c>
      <x:c r="I1322" s="2" t="str">
        <x:v>8192</x:v>
      </x:c>
      <x:c r="J1322" s="2" t="str">
        <x:v>250.0</x:v>
      </x:c>
      <x:c r="K1322" s="2" t="str">
        <x:v>1</x:v>
      </x:c>
      <x:c r="L1322" s="2" t="str">
        <x:v>3</x:v>
      </x:c>
      <x:c r="M1322" s="2" t="str">
        <x:v>1</x:v>
      </x:c>
      <x:c r="N1322" s="2" t="str">
        <x:v>2</x:v>
      </x:c>
      <x:c r="O1322" s="2" t="str">
        <x:v>0</x:v>
      </x:c>
      <x:c r="P1322" s="2" t="str">
        <x:v>true</x:v>
      </x:c>
      <x:c r="Q1322" s="2" t="str">
        <x:v>2.378604406</x:v>
      </x:c>
      <x:c r="R1322" s="2" t="str">
        <x:v>0.41941599920392036</x:v>
      </x:c>
      <x:c r="S1322" s="2" t="str">
        <x:v>46.40428422407518</x:v>
      </x:c>
    </x:row>
    <x:row r="1323">
      <x:c r="A1323" s="2" t="str">
        <x:v>DE-CMP-01</x:v>
      </x:c>
      <x:c r="B1323" s="2" t="str">
        <x:v>CFG-C01</x:v>
      </x:c>
      <x:c r="C1323" s="2" t="n">
        <x:v>46227.70238086805</x:v>
      </x:c>
      <x:c r="D1323" s="2" t="str">
        <x:v>os_cfar</x:v>
      </x:c>
      <x:c r="E1323" s="2" t="str">
        <x:v>variable_noise_floor</x:v>
      </x:c>
      <x:c r="F1323" s="2" t="str">
        <x:v>661</x:v>
      </x:c>
      <x:c r="G1323" s="2" t="str">
        <x:v>3164264</x:v>
      </x:c>
      <x:c r="H1323" s="2" t="str">
        <x:v>2048000.0</x:v>
      </x:c>
      <x:c r="I1323" s="2" t="str">
        <x:v>8192</x:v>
      </x:c>
      <x:c r="J1323" s="2" t="str">
        <x:v>250.0</x:v>
      </x:c>
      <x:c r="K1323" s="2" t="str">
        <x:v>1</x:v>
      </x:c>
      <x:c r="L1323" s="2" t="str">
        <x:v>3</x:v>
      </x:c>
      <x:c r="M1323" s="2" t="str">
        <x:v>1</x:v>
      </x:c>
      <x:c r="N1323" s="2" t="str">
        <x:v>2</x:v>
      </x:c>
      <x:c r="O1323" s="2" t="str">
        <x:v>0</x:v>
      </x:c>
      <x:c r="P1323" s="2" t="str">
        <x:v>true</x:v>
      </x:c>
      <x:c r="Q1323" s="2" t="str">
        <x:v>2.378604406</x:v>
      </x:c>
      <x:c r="R1323" s="2" t="str">
        <x:v>13.940083998022601</x:v>
      </x:c>
      <x:c r="S1323" s="2" t="str">
        <x:v>48.12019224590553</x:v>
      </x:c>
    </x:row>
    <x:row r="1324">
      <x:c r="A1324" s="2" t="str">
        <x:v>DE-CMP-01</x:v>
      </x:c>
      <x:c r="B1324" s="2" t="str">
        <x:v>CFG-C01</x:v>
      </x:c>
      <x:c r="C1324" s="2" t="n">
        <x:v>46227.70238086805</x:v>
      </x:c>
      <x:c r="D1324" s="2" t="str">
        <x:v>os_cfar</x:v>
      </x:c>
      <x:c r="E1324" s="2" t="str">
        <x:v>variable_noise_floor</x:v>
      </x:c>
      <x:c r="F1324" s="2" t="str">
        <x:v>662</x:v>
      </x:c>
      <x:c r="G1324" s="2" t="str">
        <x:v>3164265</x:v>
      </x:c>
      <x:c r="H1324" s="2" t="str">
        <x:v>2048000.0</x:v>
      </x:c>
      <x:c r="I1324" s="2" t="str">
        <x:v>8192</x:v>
      </x:c>
      <x:c r="J1324" s="2" t="str">
        <x:v>250.0</x:v>
      </x:c>
      <x:c r="K1324" s="2" t="str">
        <x:v>1</x:v>
      </x:c>
      <x:c r="L1324" s="2" t="str">
        <x:v>3</x:v>
      </x:c>
      <x:c r="M1324" s="2" t="str">
        <x:v>1</x:v>
      </x:c>
      <x:c r="N1324" s="2" t="str">
        <x:v>2</x:v>
      </x:c>
      <x:c r="O1324" s="2" t="str">
        <x:v>0</x:v>
      </x:c>
      <x:c r="P1324" s="2" t="str">
        <x:v>true</x:v>
      </x:c>
      <x:c r="Q1324" s="2" t="str">
        <x:v>-23.200522893</x:v>
      </x:c>
      <x:c r="R1324" s="2" t="str">
        <x:v>13.733832995058037</x:v>
      </x:c>
      <x:c r="S1324" s="2" t="str">
        <x:v>48.185208942557914</x:v>
      </x:c>
    </x:row>
    <x:row r="1325">
      <x:c r="A1325" s="2" t="str">
        <x:v>DE-CMP-01</x:v>
      </x:c>
      <x:c r="B1325" s="2" t="str">
        <x:v>CFG-C01</x:v>
      </x:c>
      <x:c r="C1325" s="2" t="n">
        <x:v>46227.70238086805</x:v>
      </x:c>
      <x:c r="D1325" s="2" t="str">
        <x:v>adaptive</x:v>
      </x:c>
      <x:c r="E1325" s="2" t="str">
        <x:v>variable_noise_floor</x:v>
      </x:c>
      <x:c r="F1325" s="2" t="str">
        <x:v>662</x:v>
      </x:c>
      <x:c r="G1325" s="2" t="str">
        <x:v>3164265</x:v>
      </x:c>
      <x:c r="H1325" s="2" t="str">
        <x:v>2048000.0</x:v>
      </x:c>
      <x:c r="I1325" s="2" t="str">
        <x:v>8192</x:v>
      </x:c>
      <x:c r="J1325" s="2" t="str">
        <x:v>250.0</x:v>
      </x:c>
      <x:c r="K1325" s="2" t="str">
        <x:v>1</x:v>
      </x:c>
      <x:c r="L1325" s="2" t="str">
        <x:v>3</x:v>
      </x:c>
      <x:c r="M1325" s="2" t="str">
        <x:v>1</x:v>
      </x:c>
      <x:c r="N1325" s="2" t="str">
        <x:v>2</x:v>
      </x:c>
      <x:c r="O1325" s="2" t="str">
        <x:v>0</x:v>
      </x:c>
      <x:c r="P1325" s="2" t="str">
        <x:v>true</x:v>
      </x:c>
      <x:c r="Q1325" s="2" t="str">
        <x:v>-23.200522893</x:v>
      </x:c>
      <x:c r="R1325" s="2" t="str">
        <x:v>0.44512499880511314</x:v>
      </x:c>
      <x:c r="S1325" s="2" t="str">
        <x:v>46.46389188842855</x:v>
      </x:c>
    </x:row>
    <x:row r="1326">
      <x:c r="A1326" s="2" t="str">
        <x:v>DE-CMP-01</x:v>
      </x:c>
      <x:c r="B1326" s="2" t="str">
        <x:v>CFG-C01</x:v>
      </x:c>
      <x:c r="C1326" s="2" t="n">
        <x:v>46227.70238086805</x:v>
      </x:c>
      <x:c r="D1326" s="2" t="str">
        <x:v>adaptive</x:v>
      </x:c>
      <x:c r="E1326" s="2" t="str">
        <x:v>variable_noise_floor</x:v>
      </x:c>
      <x:c r="F1326" s="2" t="str">
        <x:v>663</x:v>
      </x:c>
      <x:c r="G1326" s="2" t="str">
        <x:v>3164266</x:v>
      </x:c>
      <x:c r="H1326" s="2" t="str">
        <x:v>2048000.0</x:v>
      </x:c>
      <x:c r="I1326" s="2" t="str">
        <x:v>8192</x:v>
      </x:c>
      <x:c r="J1326" s="2" t="str">
        <x:v>250.0</x:v>
      </x:c>
      <x:c r="K1326" s="2" t="str">
        <x:v>1</x:v>
      </x:c>
      <x:c r="L1326" s="2" t="str">
        <x:v>3</x:v>
      </x:c>
      <x:c r="M1326" s="2" t="str">
        <x:v>1</x:v>
      </x:c>
      <x:c r="N1326" s="2" t="str">
        <x:v>2</x:v>
      </x:c>
      <x:c r="O1326" s="2" t="str">
        <x:v>0</x:v>
      </x:c>
      <x:c r="P1326" s="2" t="str">
        <x:v>true</x:v>
      </x:c>
      <x:c r="Q1326" s="2" t="str">
        <x:v>-65.521007157</x:v>
      </x:c>
      <x:c r="R1326" s="2" t="str">
        <x:v>0.43400000140536577</x:v>
      </x:c>
      <x:c r="S1326" s="2" t="str">
        <x:v>46.29041177420583</x:v>
      </x:c>
    </x:row>
    <x:row r="1327">
      <x:c r="A1327" s="2" t="str">
        <x:v>DE-CMP-01</x:v>
      </x:c>
      <x:c r="B1327" s="2" t="str">
        <x:v>CFG-C01</x:v>
      </x:c>
      <x:c r="C1327" s="2" t="n">
        <x:v>46227.70238086805</x:v>
      </x:c>
      <x:c r="D1327" s="2" t="str">
        <x:v>os_cfar</x:v>
      </x:c>
      <x:c r="E1327" s="2" t="str">
        <x:v>variable_noise_floor</x:v>
      </x:c>
      <x:c r="F1327" s="2" t="str">
        <x:v>663</x:v>
      </x:c>
      <x:c r="G1327" s="2" t="str">
        <x:v>3164266</x:v>
      </x:c>
      <x:c r="H1327" s="2" t="str">
        <x:v>2048000.0</x:v>
      </x:c>
      <x:c r="I1327" s="2" t="str">
        <x:v>8192</x:v>
      </x:c>
      <x:c r="J1327" s="2" t="str">
        <x:v>250.0</x:v>
      </x:c>
      <x:c r="K1327" s="2" t="str">
        <x:v>1</x:v>
      </x:c>
      <x:c r="L1327" s="2" t="str">
        <x:v>3</x:v>
      </x:c>
      <x:c r="M1327" s="2" t="str">
        <x:v>1</x:v>
      </x:c>
      <x:c r="N1327" s="2" t="str">
        <x:v>2</x:v>
      </x:c>
      <x:c r="O1327" s="2" t="str">
        <x:v>0</x:v>
      </x:c>
      <x:c r="P1327" s="2" t="str">
        <x:v>true</x:v>
      </x:c>
      <x:c r="Q1327" s="2" t="str">
        <x:v>-65.521007157</x:v>
      </x:c>
      <x:c r="R1327" s="2" t="str">
        <x:v>13.868082998669706</x:v>
      </x:c>
      <x:c r="S1327" s="2" t="str">
        <x:v>48.133141484422964</x:v>
      </x:c>
    </x:row>
    <x:row r="1328">
      <x:c r="A1328" s="2" t="str">
        <x:v>DE-CMP-01</x:v>
      </x:c>
      <x:c r="B1328" s="2" t="str">
        <x:v>CFG-C01</x:v>
      </x:c>
      <x:c r="C1328" s="2" t="n">
        <x:v>46227.70238086805</x:v>
      </x:c>
      <x:c r="D1328" s="2" t="str">
        <x:v>os_cfar</x:v>
      </x:c>
      <x:c r="E1328" s="2" t="str">
        <x:v>variable_noise_floor</x:v>
      </x:c>
      <x:c r="F1328" s="2" t="str">
        <x:v>664</x:v>
      </x:c>
      <x:c r="G1328" s="2" t="str">
        <x:v>3164267</x:v>
      </x:c>
      <x:c r="H1328" s="2" t="str">
        <x:v>2048000.0</x:v>
      </x:c>
      <x:c r="I1328" s="2" t="str">
        <x:v>8192</x:v>
      </x:c>
      <x:c r="J1328" s="2" t="str">
        <x:v>250.0</x:v>
      </x:c>
      <x:c r="K1328" s="2" t="str">
        <x:v>1</x:v>
      </x:c>
      <x:c r="L1328" s="2" t="str">
        <x:v>3</x:v>
      </x:c>
      <x:c r="M1328" s="2" t="str">
        <x:v>1</x:v>
      </x:c>
      <x:c r="N1328" s="2" t="str">
        <x:v>2</x:v>
      </x:c>
      <x:c r="O1328" s="2" t="str">
        <x:v>0</x:v>
      </x:c>
      <x:c r="P1328" s="2" t="str">
        <x:v>true</x:v>
      </x:c>
      <x:c r="Q1328" s="2" t="str">
        <x:v>138.947613945</x:v>
      </x:c>
      <x:c r="R1328" s="2" t="str">
        <x:v>13.79787499899976</x:v>
      </x:c>
      <x:c r="S1328" s="2" t="str">
        <x:v>47.90691140881721</x:v>
      </x:c>
    </x:row>
    <x:row r="1329">
      <x:c r="A1329" s="2" t="str">
        <x:v>DE-CMP-01</x:v>
      </x:c>
      <x:c r="B1329" s="2" t="str">
        <x:v>CFG-C01</x:v>
      </x:c>
      <x:c r="C1329" s="2" t="n">
        <x:v>46227.70238086805</x:v>
      </x:c>
      <x:c r="D1329" s="2" t="str">
        <x:v>adaptive</x:v>
      </x:c>
      <x:c r="E1329" s="2" t="str">
        <x:v>variable_noise_floor</x:v>
      </x:c>
      <x:c r="F1329" s="2" t="str">
        <x:v>664</x:v>
      </x:c>
      <x:c r="G1329" s="2" t="str">
        <x:v>3164267</x:v>
      </x:c>
      <x:c r="H1329" s="2" t="str">
        <x:v>2048000.0</x:v>
      </x:c>
      <x:c r="I1329" s="2" t="str">
        <x:v>8192</x:v>
      </x:c>
      <x:c r="J1329" s="2" t="str">
        <x:v>250.0</x:v>
      </x:c>
      <x:c r="K1329" s="2" t="str">
        <x:v>1</x:v>
      </x:c>
      <x:c r="L1329" s="2" t="str">
        <x:v>3</x:v>
      </x:c>
      <x:c r="M1329" s="2" t="str">
        <x:v>1</x:v>
      </x:c>
      <x:c r="N1329" s="2" t="str">
        <x:v>2</x:v>
      </x:c>
      <x:c r="O1329" s="2" t="str">
        <x:v>0</x:v>
      </x:c>
      <x:c r="P1329" s="2" t="str">
        <x:v>true</x:v>
      </x:c>
      <x:c r="Q1329" s="2" t="str">
        <x:v>138.947613945</x:v>
      </x:c>
      <x:c r="R1329" s="2" t="str">
        <x:v>0.4181660042377189</x:v>
      </x:c>
      <x:c r="S1329" s="2" t="str">
        <x:v>46.14247532717164</x:v>
      </x:c>
    </x:row>
    <x:row r="1330">
      <x:c r="A1330" s="2" t="str">
        <x:v>DE-CMP-01</x:v>
      </x:c>
      <x:c r="B1330" s="2" t="str">
        <x:v>CFG-C01</x:v>
      </x:c>
      <x:c r="C1330" s="2" t="n">
        <x:v>46227.70238086805</x:v>
      </x:c>
      <x:c r="D1330" s="2" t="str">
        <x:v>adaptive</x:v>
      </x:c>
      <x:c r="E1330" s="2" t="str">
        <x:v>variable_noise_floor</x:v>
      </x:c>
      <x:c r="F1330" s="2" t="str">
        <x:v>665</x:v>
      </x:c>
      <x:c r="G1330" s="2" t="str">
        <x:v>3164268</x:v>
      </x:c>
      <x:c r="H1330" s="2" t="str">
        <x:v>2048000.0</x:v>
      </x:c>
      <x:c r="I1330" s="2" t="str">
        <x:v>8192</x:v>
      </x:c>
      <x:c r="J1330" s="2" t="str">
        <x:v>250.0</x:v>
      </x:c>
      <x:c r="K1330" s="2" t="str">
        <x:v>1</x:v>
      </x:c>
      <x:c r="L1330" s="2" t="str">
        <x:v>3</x:v>
      </x:c>
      <x:c r="M1330" s="2" t="str">
        <x:v>1</x:v>
      </x:c>
      <x:c r="N1330" s="2" t="str">
        <x:v>2</x:v>
      </x:c>
      <x:c r="O1330" s="2" t="str">
        <x:v>0</x:v>
      </x:c>
      <x:c r="P1330" s="2" t="str">
        <x:v>true</x:v>
      </x:c>
      <x:c r="Q1330" s="2" t="str">
        <x:v>70.260446021</x:v>
      </x:c>
      <x:c r="R1330" s="2" t="str">
        <x:v>0.4164160054642707</x:v>
      </x:c>
      <x:c r="S1330" s="2" t="str">
        <x:v>45.78880470584453</x:v>
      </x:c>
    </x:row>
    <x:row r="1331">
      <x:c r="A1331" s="2" t="str">
        <x:v>DE-CMP-01</x:v>
      </x:c>
      <x:c r="B1331" s="2" t="str">
        <x:v>CFG-C01</x:v>
      </x:c>
      <x:c r="C1331" s="2" t="n">
        <x:v>46227.70238086805</x:v>
      </x:c>
      <x:c r="D1331" s="2" t="str">
        <x:v>os_cfar</x:v>
      </x:c>
      <x:c r="E1331" s="2" t="str">
        <x:v>variable_noise_floor</x:v>
      </x:c>
      <x:c r="F1331" s="2" t="str">
        <x:v>665</x:v>
      </x:c>
      <x:c r="G1331" s="2" t="str">
        <x:v>3164268</x:v>
      </x:c>
      <x:c r="H1331" s="2" t="str">
        <x:v>2048000.0</x:v>
      </x:c>
      <x:c r="I1331" s="2" t="str">
        <x:v>8192</x:v>
      </x:c>
      <x:c r="J1331" s="2" t="str">
        <x:v>250.0</x:v>
      </x:c>
      <x:c r="K1331" s="2" t="str">
        <x:v>1</x:v>
      </x:c>
      <x:c r="L1331" s="2" t="str">
        <x:v>3</x:v>
      </x:c>
      <x:c r="M1331" s="2" t="str">
        <x:v>1</x:v>
      </x:c>
      <x:c r="N1331" s="2" t="str">
        <x:v>2</x:v>
      </x:c>
      <x:c r="O1331" s="2" t="str">
        <x:v>0</x:v>
      </x:c>
      <x:c r="P1331" s="2" t="str">
        <x:v>true</x:v>
      </x:c>
      <x:c r="Q1331" s="2" t="str">
        <x:v>70.260446021</x:v>
      </x:c>
      <x:c r="R1331" s="2" t="str">
        <x:v>13.817749990266748</x:v>
      </x:c>
      <x:c r="S1331" s="2" t="str">
        <x:v>48.093046431631166</x:v>
      </x:c>
    </x:row>
    <x:row r="1332">
      <x:c r="A1332" s="2" t="str">
        <x:v>DE-CMP-01</x:v>
      </x:c>
      <x:c r="B1332" s="2" t="str">
        <x:v>CFG-C01</x:v>
      </x:c>
      <x:c r="C1332" s="2" t="n">
        <x:v>46227.70238086805</x:v>
      </x:c>
      <x:c r="D1332" s="2" t="str">
        <x:v>os_cfar</x:v>
      </x:c>
      <x:c r="E1332" s="2" t="str">
        <x:v>variable_noise_floor</x:v>
      </x:c>
      <x:c r="F1332" s="2" t="str">
        <x:v>666</x:v>
      </x:c>
      <x:c r="G1332" s="2" t="str">
        <x:v>3164269</x:v>
      </x:c>
      <x:c r="H1332" s="2" t="str">
        <x:v>2048000.0</x:v>
      </x:c>
      <x:c r="I1332" s="2" t="str">
        <x:v>8192</x:v>
      </x:c>
      <x:c r="J1332" s="2" t="str">
        <x:v>250.0</x:v>
      </x:c>
      <x:c r="K1332" s="2" t="str">
        <x:v>1</x:v>
      </x:c>
      <x:c r="L1332" s="2" t="str">
        <x:v>3</x:v>
      </x:c>
      <x:c r="M1332" s="2" t="str">
        <x:v>1</x:v>
      </x:c>
      <x:c r="N1332" s="2" t="str">
        <x:v>2</x:v>
      </x:c>
      <x:c r="O1332" s="2" t="str">
        <x:v>0</x:v>
      </x:c>
      <x:c r="P1332" s="2" t="str">
        <x:v>true</x:v>
      </x:c>
      <x:c r="Q1332" s="2" t="str">
        <x:v>-73.394755949</x:v>
      </x:c>
      <x:c r="R1332" s="2" t="str">
        <x:v>13.82437499705702</x:v>
      </x:c>
      <x:c r="S1332" s="2" t="str">
        <x:v>48.10330368455802</x:v>
      </x:c>
    </x:row>
    <x:row r="1333">
      <x:c r="A1333" s="2" t="str">
        <x:v>DE-CMP-01</x:v>
      </x:c>
      <x:c r="B1333" s="2" t="str">
        <x:v>CFG-C01</x:v>
      </x:c>
      <x:c r="C1333" s="2" t="n">
        <x:v>46227.70238086805</x:v>
      </x:c>
      <x:c r="D1333" s="2" t="str">
        <x:v>adaptive</x:v>
      </x:c>
      <x:c r="E1333" s="2" t="str">
        <x:v>variable_noise_floor</x:v>
      </x:c>
      <x:c r="F1333" s="2" t="str">
        <x:v>666</x:v>
      </x:c>
      <x:c r="G1333" s="2" t="str">
        <x:v>3164269</x:v>
      </x:c>
      <x:c r="H1333" s="2" t="str">
        <x:v>2048000.0</x:v>
      </x:c>
      <x:c r="I1333" s="2" t="str">
        <x:v>8192</x:v>
      </x:c>
      <x:c r="J1333" s="2" t="str">
        <x:v>250.0</x:v>
      </x:c>
      <x:c r="K1333" s="2" t="str">
        <x:v>1</x:v>
      </x:c>
      <x:c r="L1333" s="2" t="str">
        <x:v>3</x:v>
      </x:c>
      <x:c r="M1333" s="2" t="str">
        <x:v>1</x:v>
      </x:c>
      <x:c r="N1333" s="2" t="str">
        <x:v>2</x:v>
      </x:c>
      <x:c r="O1333" s="2" t="str">
        <x:v>0</x:v>
      </x:c>
      <x:c r="P1333" s="2" t="str">
        <x:v>true</x:v>
      </x:c>
      <x:c r="Q1333" s="2" t="str">
        <x:v>-73.394755949</x:v>
      </x:c>
      <x:c r="R1333" s="2" t="str">
        <x:v>0.414084002841264</x:v>
      </x:c>
      <x:c r="S1333" s="2" t="str">
        <x:v>46.39267567815454</x:v>
      </x:c>
    </x:row>
    <x:row r="1334">
      <x:c r="A1334" s="2" t="str">
        <x:v>DE-CMP-01</x:v>
      </x:c>
      <x:c r="B1334" s="2" t="str">
        <x:v>CFG-C01</x:v>
      </x:c>
      <x:c r="C1334" s="2" t="n">
        <x:v>46227.70238086805</x:v>
      </x:c>
      <x:c r="D1334" s="2" t="str">
        <x:v>adaptive</x:v>
      </x:c>
      <x:c r="E1334" s="2" t="str">
        <x:v>variable_noise_floor</x:v>
      </x:c>
      <x:c r="F1334" s="2" t="str">
        <x:v>667</x:v>
      </x:c>
      <x:c r="G1334" s="2" t="str">
        <x:v>3164270</x:v>
      </x:c>
      <x:c r="H1334" s="2" t="str">
        <x:v>2048000.0</x:v>
      </x:c>
      <x:c r="I1334" s="2" t="str">
        <x:v>8192</x:v>
      </x:c>
      <x:c r="J1334" s="2" t="str">
        <x:v>250.0</x:v>
      </x:c>
      <x:c r="K1334" s="2" t="str">
        <x:v>1</x:v>
      </x:c>
      <x:c r="L1334" s="2" t="str">
        <x:v>3</x:v>
      </x:c>
      <x:c r="M1334" s="2" t="str">
        <x:v>1</x:v>
      </x:c>
      <x:c r="N1334" s="2" t="str">
        <x:v>2</x:v>
      </x:c>
      <x:c r="O1334" s="2" t="str">
        <x:v>0</x:v>
      </x:c>
      <x:c r="P1334" s="2" t="str">
        <x:v>true</x:v>
      </x:c>
      <x:c r="Q1334" s="2" t="str">
        <x:v>-55.916516803</x:v>
      </x:c>
      <x:c r="R1334" s="2" t="str">
        <x:v>0.4132920003030449</x:v>
      </x:c>
      <x:c r="S1334" s="2" t="str">
        <x:v>46.526251742730906</x:v>
      </x:c>
    </x:row>
    <x:row r="1335">
      <x:c r="A1335" s="2" t="str">
        <x:v>DE-CMP-01</x:v>
      </x:c>
      <x:c r="B1335" s="2" t="str">
        <x:v>CFG-C01</x:v>
      </x:c>
      <x:c r="C1335" s="2" t="n">
        <x:v>46227.70238086805</x:v>
      </x:c>
      <x:c r="D1335" s="2" t="str">
        <x:v>os_cfar</x:v>
      </x:c>
      <x:c r="E1335" s="2" t="str">
        <x:v>variable_noise_floor</x:v>
      </x:c>
      <x:c r="F1335" s="2" t="str">
        <x:v>667</x:v>
      </x:c>
      <x:c r="G1335" s="2" t="str">
        <x:v>3164270</x:v>
      </x:c>
      <x:c r="H1335" s="2" t="str">
        <x:v>2048000.0</x:v>
      </x:c>
      <x:c r="I1335" s="2" t="str">
        <x:v>8192</x:v>
      </x:c>
      <x:c r="J1335" s="2" t="str">
        <x:v>250.0</x:v>
      </x:c>
      <x:c r="K1335" s="2" t="str">
        <x:v>1</x:v>
      </x:c>
      <x:c r="L1335" s="2" t="str">
        <x:v>3</x:v>
      </x:c>
      <x:c r="M1335" s="2" t="str">
        <x:v>1</x:v>
      </x:c>
      <x:c r="N1335" s="2" t="str">
        <x:v>2</x:v>
      </x:c>
      <x:c r="O1335" s="2" t="str">
        <x:v>0</x:v>
      </x:c>
      <x:c r="P1335" s="2" t="str">
        <x:v>true</x:v>
      </x:c>
      <x:c r="Q1335" s="2" t="str">
        <x:v>-55.916516803</x:v>
      </x:c>
      <x:c r="R1335" s="2" t="str">
        <x:v>13.833666002028622</x:v>
      </x:c>
      <x:c r="S1335" s="2" t="str">
        <x:v>48.108107440713624</x:v>
      </x:c>
    </x:row>
    <x:row r="1336">
      <x:c r="A1336" s="2" t="str">
        <x:v>DE-CMP-01</x:v>
      </x:c>
      <x:c r="B1336" s="2" t="str">
        <x:v>CFG-C01</x:v>
      </x:c>
      <x:c r="C1336" s="2" t="n">
        <x:v>46227.70238086805</x:v>
      </x:c>
      <x:c r="D1336" s="2" t="str">
        <x:v>os_cfar</x:v>
      </x:c>
      <x:c r="E1336" s="2" t="str">
        <x:v>variable_noise_floor</x:v>
      </x:c>
      <x:c r="F1336" s="2" t="str">
        <x:v>668</x:v>
      </x:c>
      <x:c r="G1336" s="2" t="str">
        <x:v>3164271</x:v>
      </x:c>
      <x:c r="H1336" s="2" t="str">
        <x:v>2048000.0</x:v>
      </x:c>
      <x:c r="I1336" s="2" t="str">
        <x:v>8192</x:v>
      </x:c>
      <x:c r="J1336" s="2" t="str">
        <x:v>250.0</x:v>
      </x:c>
      <x:c r="K1336" s="2" t="str">
        <x:v>1</x:v>
      </x:c>
      <x:c r="L1336" s="2" t="str">
        <x:v>3</x:v>
      </x:c>
      <x:c r="M1336" s="2" t="str">
        <x:v>1</x:v>
      </x:c>
      <x:c r="N1336" s="2" t="str">
        <x:v>2</x:v>
      </x:c>
      <x:c r="O1336" s="2" t="str">
        <x:v>0</x:v>
      </x:c>
      <x:c r="P1336" s="2" t="str">
        <x:v>true</x:v>
      </x:c>
      <x:c r="Q1336" s="2" t="str">
        <x:v>-69.363008907</x:v>
      </x:c>
      <x:c r="R1336" s="2" t="str">
        <x:v>13.848374990629964</x:v>
      </x:c>
      <x:c r="S1336" s="2" t="str">
        <x:v>48.31224086152713</x:v>
      </x:c>
    </x:row>
    <x:row r="1337">
      <x:c r="A1337" s="2" t="str">
        <x:v>DE-CMP-01</x:v>
      </x:c>
      <x:c r="B1337" s="2" t="str">
        <x:v>CFG-C01</x:v>
      </x:c>
      <x:c r="C1337" s="2" t="n">
        <x:v>46227.70238086805</x:v>
      </x:c>
      <x:c r="D1337" s="2" t="str">
        <x:v>adaptive</x:v>
      </x:c>
      <x:c r="E1337" s="2" t="str">
        <x:v>variable_noise_floor</x:v>
      </x:c>
      <x:c r="F1337" s="2" t="str">
        <x:v>668</x:v>
      </x:c>
      <x:c r="G1337" s="2" t="str">
        <x:v>3164271</x:v>
      </x:c>
      <x:c r="H1337" s="2" t="str">
        <x:v>2048000.0</x:v>
      </x:c>
      <x:c r="I1337" s="2" t="str">
        <x:v>8192</x:v>
      </x:c>
      <x:c r="J1337" s="2" t="str">
        <x:v>250.0</x:v>
      </x:c>
      <x:c r="K1337" s="2" t="str">
        <x:v>1</x:v>
      </x:c>
      <x:c r="L1337" s="2" t="str">
        <x:v>3</x:v>
      </x:c>
      <x:c r="M1337" s="2" t="str">
        <x:v>1</x:v>
      </x:c>
      <x:c r="N1337" s="2" t="str">
        <x:v>2</x:v>
      </x:c>
      <x:c r="O1337" s="2" t="str">
        <x:v>0</x:v>
      </x:c>
      <x:c r="P1337" s="2" t="str">
        <x:v>true</x:v>
      </x:c>
      <x:c r="Q1337" s="2" t="str">
        <x:v>-69.363008907</x:v>
      </x:c>
      <x:c r="R1337" s="2" t="str">
        <x:v>0.43724999704863876</x:v>
      </x:c>
      <x:c r="S1337" s="2" t="str">
        <x:v>46.60091864069321</x:v>
      </x:c>
    </x:row>
    <x:row r="1338">
      <x:c r="A1338" s="2" t="str">
        <x:v>DE-CMP-01</x:v>
      </x:c>
      <x:c r="B1338" s="2" t="str">
        <x:v>CFG-C01</x:v>
      </x:c>
      <x:c r="C1338" s="2" t="n">
        <x:v>46227.70238086805</x:v>
      </x:c>
      <x:c r="D1338" s="2" t="str">
        <x:v>adaptive</x:v>
      </x:c>
      <x:c r="E1338" s="2" t="str">
        <x:v>variable_noise_floor</x:v>
      </x:c>
      <x:c r="F1338" s="2" t="str">
        <x:v>669</x:v>
      </x:c>
      <x:c r="G1338" s="2" t="str">
        <x:v>3164272</x:v>
      </x:c>
      <x:c r="H1338" s="2" t="str">
        <x:v>2048000.0</x:v>
      </x:c>
      <x:c r="I1338" s="2" t="str">
        <x:v>8192</x:v>
      </x:c>
      <x:c r="J1338" s="2" t="str">
        <x:v>250.0</x:v>
      </x:c>
      <x:c r="K1338" s="2" t="str">
        <x:v>1</x:v>
      </x:c>
      <x:c r="L1338" s="2" t="str">
        <x:v>3</x:v>
      </x:c>
      <x:c r="M1338" s="2" t="str">
        <x:v>1</x:v>
      </x:c>
      <x:c r="N1338" s="2" t="str">
        <x:v>2</x:v>
      </x:c>
      <x:c r="O1338" s="2" t="str">
        <x:v>0</x:v>
      </x:c>
      <x:c r="P1338" s="2" t="str">
        <x:v>true</x:v>
      </x:c>
      <x:c r="Q1338" s="2" t="str">
        <x:v>-106.076066443</x:v>
      </x:c>
      <x:c r="R1338" s="2" t="str">
        <x:v>0.4530000005615875</x:v>
      </x:c>
      <x:c r="S1338" s="2" t="str">
        <x:v>45.78741540521496</x:v>
      </x:c>
    </x:row>
    <x:row r="1339">
      <x:c r="A1339" s="2" t="str">
        <x:v>DE-CMP-01</x:v>
      </x:c>
      <x:c r="B1339" s="2" t="str">
        <x:v>CFG-C01</x:v>
      </x:c>
      <x:c r="C1339" s="2" t="n">
        <x:v>46227.70238086805</x:v>
      </x:c>
      <x:c r="D1339" s="2" t="str">
        <x:v>os_cfar</x:v>
      </x:c>
      <x:c r="E1339" s="2" t="str">
        <x:v>variable_noise_floor</x:v>
      </x:c>
      <x:c r="F1339" s="2" t="str">
        <x:v>669</x:v>
      </x:c>
      <x:c r="G1339" s="2" t="str">
        <x:v>3164272</x:v>
      </x:c>
      <x:c r="H1339" s="2" t="str">
        <x:v>2048000.0</x:v>
      </x:c>
      <x:c r="I1339" s="2" t="str">
        <x:v>8192</x:v>
      </x:c>
      <x:c r="J1339" s="2" t="str">
        <x:v>250.0</x:v>
      </x:c>
      <x:c r="K1339" s="2" t="str">
        <x:v>1</x:v>
      </x:c>
      <x:c r="L1339" s="2" t="str">
        <x:v>3</x:v>
      </x:c>
      <x:c r="M1339" s="2" t="str">
        <x:v>1</x:v>
      </x:c>
      <x:c r="N1339" s="2" t="str">
        <x:v>2</x:v>
      </x:c>
      <x:c r="O1339" s="2" t="str">
        <x:v>0</x:v>
      </x:c>
      <x:c r="P1339" s="2" t="str">
        <x:v>true</x:v>
      </x:c>
      <x:c r="Q1339" s="2" t="str">
        <x:v>-106.076066443</x:v>
      </x:c>
      <x:c r="R1339" s="2" t="str">
        <x:v>13.750291996984743</x:v>
      </x:c>
      <x:c r="S1339" s="2" t="str">
        <x:v>48.450019942737356</x:v>
      </x:c>
    </x:row>
    <x:row r="1340">
      <x:c r="A1340" s="2" t="str">
        <x:v>DE-CMP-01</x:v>
      </x:c>
      <x:c r="B1340" s="2" t="str">
        <x:v>CFG-C01</x:v>
      </x:c>
      <x:c r="C1340" s="2" t="n">
        <x:v>46227.70238086805</x:v>
      </x:c>
      <x:c r="D1340" s="2" t="str">
        <x:v>os_cfar</x:v>
      </x:c>
      <x:c r="E1340" s="2" t="str">
        <x:v>variable_noise_floor</x:v>
      </x:c>
      <x:c r="F1340" s="2" t="str">
        <x:v>670</x:v>
      </x:c>
      <x:c r="G1340" s="2" t="str">
        <x:v>3164273</x:v>
      </x:c>
      <x:c r="H1340" s="2" t="str">
        <x:v>2048000.0</x:v>
      </x:c>
      <x:c r="I1340" s="2" t="str">
        <x:v>8192</x:v>
      </x:c>
      <x:c r="J1340" s="2" t="str">
        <x:v>250.0</x:v>
      </x:c>
      <x:c r="K1340" s="2" t="str">
        <x:v>1</x:v>
      </x:c>
      <x:c r="L1340" s="2" t="str">
        <x:v>3</x:v>
      </x:c>
      <x:c r="M1340" s="2" t="str">
        <x:v>1</x:v>
      </x:c>
      <x:c r="N1340" s="2" t="str">
        <x:v>2</x:v>
      </x:c>
      <x:c r="O1340" s="2" t="str">
        <x:v>0</x:v>
      </x:c>
      <x:c r="P1340" s="2" t="str">
        <x:v>true</x:v>
      </x:c>
      <x:c r="Q1340" s="2" t="str">
        <x:v>-90.070742648</x:v>
      </x:c>
      <x:c r="R1340" s="2" t="str">
        <x:v>13.838792001479305</x:v>
      </x:c>
      <x:c r="S1340" s="2" t="str">
        <x:v>47.93032268284962</x:v>
      </x:c>
    </x:row>
    <x:row r="1341">
      <x:c r="A1341" s="2" t="str">
        <x:v>DE-CMP-01</x:v>
      </x:c>
      <x:c r="B1341" s="2" t="str">
        <x:v>CFG-C01</x:v>
      </x:c>
      <x:c r="C1341" s="2" t="n">
        <x:v>46227.70238086805</x:v>
      </x:c>
      <x:c r="D1341" s="2" t="str">
        <x:v>adaptive</x:v>
      </x:c>
      <x:c r="E1341" s="2" t="str">
        <x:v>variable_noise_floor</x:v>
      </x:c>
      <x:c r="F1341" s="2" t="str">
        <x:v>670</x:v>
      </x:c>
      <x:c r="G1341" s="2" t="str">
        <x:v>3164273</x:v>
      </x:c>
      <x:c r="H1341" s="2" t="str">
        <x:v>2048000.0</x:v>
      </x:c>
      <x:c r="I1341" s="2" t="str">
        <x:v>8192</x:v>
      </x:c>
      <x:c r="J1341" s="2" t="str">
        <x:v>250.0</x:v>
      </x:c>
      <x:c r="K1341" s="2" t="str">
        <x:v>1</x:v>
      </x:c>
      <x:c r="L1341" s="2" t="str">
        <x:v>3</x:v>
      </x:c>
      <x:c r="M1341" s="2" t="str">
        <x:v>1</x:v>
      </x:c>
      <x:c r="N1341" s="2" t="str">
        <x:v>2</x:v>
      </x:c>
      <x:c r="O1341" s="2" t="str">
        <x:v>0</x:v>
      </x:c>
      <x:c r="P1341" s="2" t="str">
        <x:v>true</x:v>
      </x:c>
      <x:c r="Q1341" s="2" t="str">
        <x:v>-90.070742648</x:v>
      </x:c>
      <x:c r="R1341" s="2" t="str">
        <x:v>0.4404170031193644</x:v>
      </x:c>
      <x:c r="S1341" s="2" t="str">
        <x:v>45.93228369139046</x:v>
      </x:c>
    </x:row>
    <x:row r="1342">
      <x:c r="A1342" s="2" t="str">
        <x:v>DE-CMP-01</x:v>
      </x:c>
      <x:c r="B1342" s="2" t="str">
        <x:v>CFG-C01</x:v>
      </x:c>
      <x:c r="C1342" s="2" t="n">
        <x:v>46227.70238086805</x:v>
      </x:c>
      <x:c r="D1342" s="2" t="str">
        <x:v>adaptive</x:v>
      </x:c>
      <x:c r="E1342" s="2" t="str">
        <x:v>variable_noise_floor</x:v>
      </x:c>
      <x:c r="F1342" s="2" t="str">
        <x:v>671</x:v>
      </x:c>
      <x:c r="G1342" s="2" t="str">
        <x:v>3164274</x:v>
      </x:c>
      <x:c r="H1342" s="2" t="str">
        <x:v>2048000.0</x:v>
      </x:c>
      <x:c r="I1342" s="2" t="str">
        <x:v>8192</x:v>
      </x:c>
      <x:c r="J1342" s="2" t="str">
        <x:v>250.0</x:v>
      </x:c>
      <x:c r="K1342" s="2" t="str">
        <x:v>1</x:v>
      </x:c>
      <x:c r="L1342" s="2" t="str">
        <x:v>3</x:v>
      </x:c>
      <x:c r="M1342" s="2" t="str">
        <x:v>1</x:v>
      </x:c>
      <x:c r="N1342" s="2" t="str">
        <x:v>2</x:v>
      </x:c>
      <x:c r="O1342" s="2" t="str">
        <x:v>0</x:v>
      </x:c>
      <x:c r="P1342" s="2" t="str">
        <x:v>true</x:v>
      </x:c>
      <x:c r="Q1342" s="2" t="str">
        <x:v>-83.399551943</x:v>
      </x:c>
      <x:c r="R1342" s="2" t="str">
        <x:v>0.42845800635404885</x:v>
      </x:c>
      <x:c r="S1342" s="2" t="str">
        <x:v>45.92509507532155</x:v>
      </x:c>
    </x:row>
    <x:row r="1343">
      <x:c r="A1343" s="2" t="str">
        <x:v>DE-CMP-01</x:v>
      </x:c>
      <x:c r="B1343" s="2" t="str">
        <x:v>CFG-C01</x:v>
      </x:c>
      <x:c r="C1343" s="2" t="n">
        <x:v>46227.70238086805</x:v>
      </x:c>
      <x:c r="D1343" s="2" t="str">
        <x:v>os_cfar</x:v>
      </x:c>
      <x:c r="E1343" s="2" t="str">
        <x:v>variable_noise_floor</x:v>
      </x:c>
      <x:c r="F1343" s="2" t="str">
        <x:v>671</x:v>
      </x:c>
      <x:c r="G1343" s="2" t="str">
        <x:v>3164274</x:v>
      </x:c>
      <x:c r="H1343" s="2" t="str">
        <x:v>2048000.0</x:v>
      </x:c>
      <x:c r="I1343" s="2" t="str">
        <x:v>8192</x:v>
      </x:c>
      <x:c r="J1343" s="2" t="str">
        <x:v>250.0</x:v>
      </x:c>
      <x:c r="K1343" s="2" t="str">
        <x:v>1</x:v>
      </x:c>
      <x:c r="L1343" s="2" t="str">
        <x:v>3</x:v>
      </x:c>
      <x:c r="M1343" s="2" t="str">
        <x:v>1</x:v>
      </x:c>
      <x:c r="N1343" s="2" t="str">
        <x:v>2</x:v>
      </x:c>
      <x:c r="O1343" s="2" t="str">
        <x:v>0</x:v>
      </x:c>
      <x:c r="P1343" s="2" t="str">
        <x:v>true</x:v>
      </x:c>
      <x:c r="Q1343" s="2" t="str">
        <x:v>-83.399551943</x:v>
      </x:c>
      <x:c r="R1343" s="2" t="str">
        <x:v>13.78666699747555</x:v>
      </x:c>
      <x:c r="S1343" s="2" t="str">
        <x:v>48.136556657837055</x:v>
      </x:c>
    </x:row>
    <x:row r="1344">
      <x:c r="A1344" s="2" t="str">
        <x:v>DE-CMP-01</x:v>
      </x:c>
      <x:c r="B1344" s="2" t="str">
        <x:v>CFG-C01</x:v>
      </x:c>
      <x:c r="C1344" s="2" t="n">
        <x:v>46227.70238086805</x:v>
      </x:c>
      <x:c r="D1344" s="2" t="str">
        <x:v>os_cfar</x:v>
      </x:c>
      <x:c r="E1344" s="2" t="str">
        <x:v>variable_noise_floor</x:v>
      </x:c>
      <x:c r="F1344" s="2" t="str">
        <x:v>672</x:v>
      </x:c>
      <x:c r="G1344" s="2" t="str">
        <x:v>3164275</x:v>
      </x:c>
      <x:c r="H1344" s="2" t="str">
        <x:v>2048000.0</x:v>
      </x:c>
      <x:c r="I1344" s="2" t="str">
        <x:v>8192</x:v>
      </x:c>
      <x:c r="J1344" s="2" t="str">
        <x:v>250.0</x:v>
      </x:c>
      <x:c r="K1344" s="2" t="str">
        <x:v>1</x:v>
      </x:c>
      <x:c r="L1344" s="2" t="str">
        <x:v>3</x:v>
      </x:c>
      <x:c r="M1344" s="2" t="str">
        <x:v>1</x:v>
      </x:c>
      <x:c r="N1344" s="2" t="str">
        <x:v>2</x:v>
      </x:c>
      <x:c r="O1344" s="2" t="str">
        <x:v>0</x:v>
      </x:c>
      <x:c r="P1344" s="2" t="str">
        <x:v>true</x:v>
      </x:c>
      <x:c r="Q1344" s="2" t="str">
        <x:v>-97.717096989</x:v>
      </x:c>
      <x:c r="R1344" s="2" t="str">
        <x:v>13.911583999288268</x:v>
      </x:c>
      <x:c r="S1344" s="2" t="str">
        <x:v>48.276183300243204</x:v>
      </x:c>
    </x:row>
    <x:row r="1345">
      <x:c r="A1345" s="2" t="str">
        <x:v>DE-CMP-01</x:v>
      </x:c>
      <x:c r="B1345" s="2" t="str">
        <x:v>CFG-C01</x:v>
      </x:c>
      <x:c r="C1345" s="2" t="n">
        <x:v>46227.70238086805</x:v>
      </x:c>
      <x:c r="D1345" s="2" t="str">
        <x:v>adaptive</x:v>
      </x:c>
      <x:c r="E1345" s="2" t="str">
        <x:v>variable_noise_floor</x:v>
      </x:c>
      <x:c r="F1345" s="2" t="str">
        <x:v>672</x:v>
      </x:c>
      <x:c r="G1345" s="2" t="str">
        <x:v>3164275</x:v>
      </x:c>
      <x:c r="H1345" s="2" t="str">
        <x:v>2048000.0</x:v>
      </x:c>
      <x:c r="I1345" s="2" t="str">
        <x:v>8192</x:v>
      </x:c>
      <x:c r="J1345" s="2" t="str">
        <x:v>250.0</x:v>
      </x:c>
      <x:c r="K1345" s="2" t="str">
        <x:v>1</x:v>
      </x:c>
      <x:c r="L1345" s="2" t="str">
        <x:v>3</x:v>
      </x:c>
      <x:c r="M1345" s="2" t="str">
        <x:v>1</x:v>
      </x:c>
      <x:c r="N1345" s="2" t="str">
        <x:v>2</x:v>
      </x:c>
      <x:c r="O1345" s="2" t="str">
        <x:v>0</x:v>
      </x:c>
      <x:c r="P1345" s="2" t="str">
        <x:v>true</x:v>
      </x:c>
      <x:c r="Q1345" s="2" t="str">
        <x:v>-97.717096989</x:v>
      </x:c>
      <x:c r="R1345" s="2" t="str">
        <x:v>0.4261670110281557</x:v>
      </x:c>
      <x:c r="S1345" s="2" t="str">
        <x:v>46.2616988037226</x:v>
      </x:c>
    </x:row>
    <x:row r="1346">
      <x:c r="A1346" s="2" t="str">
        <x:v>DE-CMP-01</x:v>
      </x:c>
      <x:c r="B1346" s="2" t="str">
        <x:v>CFG-C01</x:v>
      </x:c>
      <x:c r="C1346" s="2" t="n">
        <x:v>46227.70238086805</x:v>
      </x:c>
      <x:c r="D1346" s="2" t="str">
        <x:v>adaptive</x:v>
      </x:c>
      <x:c r="E1346" s="2" t="str">
        <x:v>variable_noise_floor</x:v>
      </x:c>
      <x:c r="F1346" s="2" t="str">
        <x:v>673</x:v>
      </x:c>
      <x:c r="G1346" s="2" t="str">
        <x:v>3164276</x:v>
      </x:c>
      <x:c r="H1346" s="2" t="str">
        <x:v>2048000.0</x:v>
      </x:c>
      <x:c r="I1346" s="2" t="str">
        <x:v>8192</x:v>
      </x:c>
      <x:c r="J1346" s="2" t="str">
        <x:v>250.0</x:v>
      </x:c>
      <x:c r="K1346" s="2" t="str">
        <x:v>1</x:v>
      </x:c>
      <x:c r="L1346" s="2" t="str">
        <x:v>3</x:v>
      </x:c>
      <x:c r="M1346" s="2" t="str">
        <x:v>1</x:v>
      </x:c>
      <x:c r="N1346" s="2" t="str">
        <x:v>2</x:v>
      </x:c>
      <x:c r="O1346" s="2" t="str">
        <x:v>0</x:v>
      </x:c>
      <x:c r="P1346" s="2" t="str">
        <x:v>true</x:v>
      </x:c>
      <x:c r="Q1346" s="2" t="str">
        <x:v>-112.743165511</x:v>
      </x:c>
      <x:c r="R1346" s="2" t="str">
        <x:v>0.4265000025043264</x:v>
      </x:c>
      <x:c r="S1346" s="2" t="str">
        <x:v>46.578157309479494</x:v>
      </x:c>
    </x:row>
    <x:row r="1347">
      <x:c r="A1347" s="2" t="str">
        <x:v>DE-CMP-01</x:v>
      </x:c>
      <x:c r="B1347" s="2" t="str">
        <x:v>CFG-C01</x:v>
      </x:c>
      <x:c r="C1347" s="2" t="n">
        <x:v>46227.70238086805</x:v>
      </x:c>
      <x:c r="D1347" s="2" t="str">
        <x:v>os_cfar</x:v>
      </x:c>
      <x:c r="E1347" s="2" t="str">
        <x:v>variable_noise_floor</x:v>
      </x:c>
      <x:c r="F1347" s="2" t="str">
        <x:v>673</x:v>
      </x:c>
      <x:c r="G1347" s="2" t="str">
        <x:v>3164276</x:v>
      </x:c>
      <x:c r="H1347" s="2" t="str">
        <x:v>2048000.0</x:v>
      </x:c>
      <x:c r="I1347" s="2" t="str">
        <x:v>8192</x:v>
      </x:c>
      <x:c r="J1347" s="2" t="str">
        <x:v>250.0</x:v>
      </x:c>
      <x:c r="K1347" s="2" t="str">
        <x:v>1</x:v>
      </x:c>
      <x:c r="L1347" s="2" t="str">
        <x:v>3</x:v>
      </x:c>
      <x:c r="M1347" s="2" t="str">
        <x:v>1</x:v>
      </x:c>
      <x:c r="N1347" s="2" t="str">
        <x:v>2</x:v>
      </x:c>
      <x:c r="O1347" s="2" t="str">
        <x:v>0</x:v>
      </x:c>
      <x:c r="P1347" s="2" t="str">
        <x:v>true</x:v>
      </x:c>
      <x:c r="Q1347" s="2" t="str">
        <x:v>-112.743165511</x:v>
      </x:c>
      <x:c r="R1347" s="2" t="str">
        <x:v>13.888749992474914</x:v>
      </x:c>
      <x:c r="S1347" s="2" t="str">
        <x:v>47.987688542839905</x:v>
      </x:c>
    </x:row>
    <x:row r="1348">
      <x:c r="A1348" s="2" t="str">
        <x:v>DE-CMP-01</x:v>
      </x:c>
      <x:c r="B1348" s="2" t="str">
        <x:v>CFG-C01</x:v>
      </x:c>
      <x:c r="C1348" s="2" t="n">
        <x:v>46227.70238086805</x:v>
      </x:c>
      <x:c r="D1348" s="2" t="str">
        <x:v>os_cfar</x:v>
      </x:c>
      <x:c r="E1348" s="2" t="str">
        <x:v>variable_noise_floor</x:v>
      </x:c>
      <x:c r="F1348" s="2" t="str">
        <x:v>674</x:v>
      </x:c>
      <x:c r="G1348" s="2" t="str">
        <x:v>3164277</x:v>
      </x:c>
      <x:c r="H1348" s="2" t="str">
        <x:v>2048000.0</x:v>
      </x:c>
      <x:c r="I1348" s="2" t="str">
        <x:v>8192</x:v>
      </x:c>
      <x:c r="J1348" s="2" t="str">
        <x:v>250.0</x:v>
      </x:c>
      <x:c r="K1348" s="2" t="str">
        <x:v>1</x:v>
      </x:c>
      <x:c r="L1348" s="2" t="str">
        <x:v>3</x:v>
      </x:c>
      <x:c r="M1348" s="2" t="str">
        <x:v>1</x:v>
      </x:c>
      <x:c r="N1348" s="2" t="str">
        <x:v>2</x:v>
      </x:c>
      <x:c r="O1348" s="2" t="str">
        <x:v>0</x:v>
      </x:c>
      <x:c r="P1348" s="2" t="str">
        <x:v>true</x:v>
      </x:c>
      <x:c r="Q1348" s="2" t="str">
        <x:v>60.655756552</x:v>
      </x:c>
      <x:c r="R1348" s="2" t="str">
        <x:v>13.875415999791585</x:v>
      </x:c>
      <x:c r="S1348" s="2" t="str">
        <x:v>48.094638337885</x:v>
      </x:c>
    </x:row>
    <x:row r="1349">
      <x:c r="A1349" s="2" t="str">
        <x:v>DE-CMP-01</x:v>
      </x:c>
      <x:c r="B1349" s="2" t="str">
        <x:v>CFG-C01</x:v>
      </x:c>
      <x:c r="C1349" s="2" t="n">
        <x:v>46227.70238086805</x:v>
      </x:c>
      <x:c r="D1349" s="2" t="str">
        <x:v>adaptive</x:v>
      </x:c>
      <x:c r="E1349" s="2" t="str">
        <x:v>variable_noise_floor</x:v>
      </x:c>
      <x:c r="F1349" s="2" t="str">
        <x:v>674</x:v>
      </x:c>
      <x:c r="G1349" s="2" t="str">
        <x:v>3164277</x:v>
      </x:c>
      <x:c r="H1349" s="2" t="str">
        <x:v>2048000.0</x:v>
      </x:c>
      <x:c r="I1349" s="2" t="str">
        <x:v>8192</x:v>
      </x:c>
      <x:c r="J1349" s="2" t="str">
        <x:v>250.0</x:v>
      </x:c>
      <x:c r="K1349" s="2" t="str">
        <x:v>1</x:v>
      </x:c>
      <x:c r="L1349" s="2" t="str">
        <x:v>3</x:v>
      </x:c>
      <x:c r="M1349" s="2" t="str">
        <x:v>1</x:v>
      </x:c>
      <x:c r="N1349" s="2" t="str">
        <x:v>2</x:v>
      </x:c>
      <x:c r="O1349" s="2" t="str">
        <x:v>0</x:v>
      </x:c>
      <x:c r="P1349" s="2" t="str">
        <x:v>true</x:v>
      </x:c>
      <x:c r="Q1349" s="2" t="str">
        <x:v>60.655756552</x:v>
      </x:c>
      <x:c r="R1349" s="2" t="str">
        <x:v>0.4428749962244183</x:v>
      </x:c>
      <x:c r="S1349" s="2" t="str">
        <x:v>46.22810891690816</x:v>
      </x:c>
    </x:row>
    <x:row r="1350">
      <x:c r="A1350" s="2" t="str">
        <x:v>DE-CMP-01</x:v>
      </x:c>
      <x:c r="B1350" s="2" t="str">
        <x:v>CFG-C01</x:v>
      </x:c>
      <x:c r="C1350" s="2" t="n">
        <x:v>46227.70238086805</x:v>
      </x:c>
      <x:c r="D1350" s="2" t="str">
        <x:v>adaptive</x:v>
      </x:c>
      <x:c r="E1350" s="2" t="str">
        <x:v>variable_noise_floor</x:v>
      </x:c>
      <x:c r="F1350" s="2" t="str">
        <x:v>675</x:v>
      </x:c>
      <x:c r="G1350" s="2" t="str">
        <x:v>3164278</x:v>
      </x:c>
      <x:c r="H1350" s="2" t="str">
        <x:v>2048000.0</x:v>
      </x:c>
      <x:c r="I1350" s="2" t="str">
        <x:v>8192</x:v>
      </x:c>
      <x:c r="J1350" s="2" t="str">
        <x:v>250.0</x:v>
      </x:c>
      <x:c r="K1350" s="2" t="str">
        <x:v>1</x:v>
      </x:c>
      <x:c r="L1350" s="2" t="str">
        <x:v>3</x:v>
      </x:c>
      <x:c r="M1350" s="2" t="str">
        <x:v>1</x:v>
      </x:c>
      <x:c r="N1350" s="2" t="str">
        <x:v>2</x:v>
      </x:c>
      <x:c r="O1350" s="2" t="str">
        <x:v>0</x:v>
      </x:c>
      <x:c r="P1350" s="2" t="str">
        <x:v>true</x:v>
      </x:c>
      <x:c r="Q1350" s="2" t="str">
        <x:v>15.914227087</x:v>
      </x:c>
      <x:c r="R1350" s="2" t="str">
        <x:v>0.4265000025043264</x:v>
      </x:c>
      <x:c r="S1350" s="2" t="str">
        <x:v>46.228207677986134</x:v>
      </x:c>
    </x:row>
    <x:row r="1351">
      <x:c r="A1351" s="2" t="str">
        <x:v>DE-CMP-01</x:v>
      </x:c>
      <x:c r="B1351" s="2" t="str">
        <x:v>CFG-C01</x:v>
      </x:c>
      <x:c r="C1351" s="2" t="n">
        <x:v>46227.70238086805</x:v>
      </x:c>
      <x:c r="D1351" s="2" t="str">
        <x:v>os_cfar</x:v>
      </x:c>
      <x:c r="E1351" s="2" t="str">
        <x:v>variable_noise_floor</x:v>
      </x:c>
      <x:c r="F1351" s="2" t="str">
        <x:v>675</x:v>
      </x:c>
      <x:c r="G1351" s="2" t="str">
        <x:v>3164278</x:v>
      </x:c>
      <x:c r="H1351" s="2" t="str">
        <x:v>2048000.0</x:v>
      </x:c>
      <x:c r="I1351" s="2" t="str">
        <x:v>8192</x:v>
      </x:c>
      <x:c r="J1351" s="2" t="str">
        <x:v>250.0</x:v>
      </x:c>
      <x:c r="K1351" s="2" t="str">
        <x:v>1</x:v>
      </x:c>
      <x:c r="L1351" s="2" t="str">
        <x:v>3</x:v>
      </x:c>
      <x:c r="M1351" s="2" t="str">
        <x:v>1</x:v>
      </x:c>
      <x:c r="N1351" s="2" t="str">
        <x:v>2</x:v>
      </x:c>
      <x:c r="O1351" s="2" t="str">
        <x:v>0</x:v>
      </x:c>
      <x:c r="P1351" s="2" t="str">
        <x:v>true</x:v>
      </x:c>
      <x:c r="Q1351" s="2" t="str">
        <x:v>15.914227087</x:v>
      </x:c>
      <x:c r="R1351" s="2" t="str">
        <x:v>13.82604100217577</x:v>
      </x:c>
      <x:c r="S1351" s="2" t="str">
        <x:v>48.229120786357</x:v>
      </x:c>
    </x:row>
    <x:row r="1352">
      <x:c r="A1352" s="2" t="str">
        <x:v>DE-CMP-01</x:v>
      </x:c>
      <x:c r="B1352" s="2" t="str">
        <x:v>CFG-C01</x:v>
      </x:c>
      <x:c r="C1352" s="2" t="n">
        <x:v>46227.70238086805</x:v>
      </x:c>
      <x:c r="D1352" s="2" t="str">
        <x:v>os_cfar</x:v>
      </x:c>
      <x:c r="E1352" s="2" t="str">
        <x:v>variable_noise_floor</x:v>
      </x:c>
      <x:c r="F1352" s="2" t="str">
        <x:v>676</x:v>
      </x:c>
      <x:c r="G1352" s="2" t="str">
        <x:v>3164279</x:v>
      </x:c>
      <x:c r="H1352" s="2" t="str">
        <x:v>2048000.0</x:v>
      </x:c>
      <x:c r="I1352" s="2" t="str">
        <x:v>8192</x:v>
      </x:c>
      <x:c r="J1352" s="2" t="str">
        <x:v>250.0</x:v>
      </x:c>
      <x:c r="K1352" s="2" t="str">
        <x:v>1</x:v>
      </x:c>
      <x:c r="L1352" s="2" t="str">
        <x:v>3</x:v>
      </x:c>
      <x:c r="M1352" s="2" t="str">
        <x:v>1</x:v>
      </x:c>
      <x:c r="N1352" s="2" t="str">
        <x:v>2</x:v>
      </x:c>
      <x:c r="O1352" s="2" t="str">
        <x:v>0</x:v>
      </x:c>
      <x:c r="P1352" s="2" t="str">
        <x:v>true</x:v>
      </x:c>
      <x:c r="Q1352" s="2" t="str">
        <x:v>90.709770911</x:v>
      </x:c>
      <x:c r="R1352" s="2" t="str">
        <x:v>13.885583990486339</x:v>
      </x:c>
      <x:c r="S1352" s="2" t="str">
        <x:v>48.04188724519858</x:v>
      </x:c>
    </x:row>
    <x:row r="1353">
      <x:c r="A1353" s="2" t="str">
        <x:v>DE-CMP-01</x:v>
      </x:c>
      <x:c r="B1353" s="2" t="str">
        <x:v>CFG-C01</x:v>
      </x:c>
      <x:c r="C1353" s="2" t="n">
        <x:v>46227.70238086805</x:v>
      </x:c>
      <x:c r="D1353" s="2" t="str">
        <x:v>adaptive</x:v>
      </x:c>
      <x:c r="E1353" s="2" t="str">
        <x:v>variable_noise_floor</x:v>
      </x:c>
      <x:c r="F1353" s="2" t="str">
        <x:v>676</x:v>
      </x:c>
      <x:c r="G1353" s="2" t="str">
        <x:v>3164279</x:v>
      </x:c>
      <x:c r="H1353" s="2" t="str">
        <x:v>2048000.0</x:v>
      </x:c>
      <x:c r="I1353" s="2" t="str">
        <x:v>8192</x:v>
      </x:c>
      <x:c r="J1353" s="2" t="str">
        <x:v>250.0</x:v>
      </x:c>
      <x:c r="K1353" s="2" t="str">
        <x:v>1</x:v>
      </x:c>
      <x:c r="L1353" s="2" t="str">
        <x:v>3</x:v>
      </x:c>
      <x:c r="M1353" s="2" t="str">
        <x:v>1</x:v>
      </x:c>
      <x:c r="N1353" s="2" t="str">
        <x:v>2</x:v>
      </x:c>
      <x:c r="O1353" s="2" t="str">
        <x:v>0</x:v>
      </x:c>
      <x:c r="P1353" s="2" t="str">
        <x:v>true</x:v>
      </x:c>
      <x:c r="Q1353" s="2" t="str">
        <x:v>90.709770911</x:v>
      </x:c>
      <x:c r="R1353" s="2" t="str">
        <x:v>0.4273329977877438</x:v>
      </x:c>
      <x:c r="S1353" s="2" t="str">
        <x:v>46.11091269893203</x:v>
      </x:c>
    </x:row>
    <x:row r="1354">
      <x:c r="A1354" s="2" t="str">
        <x:v>DE-CMP-01</x:v>
      </x:c>
      <x:c r="B1354" s="2" t="str">
        <x:v>CFG-C01</x:v>
      </x:c>
      <x:c r="C1354" s="2" t="n">
        <x:v>46227.70238086805</x:v>
      </x:c>
      <x:c r="D1354" s="2" t="str">
        <x:v>adaptive</x:v>
      </x:c>
      <x:c r="E1354" s="2" t="str">
        <x:v>variable_noise_floor</x:v>
      </x:c>
      <x:c r="F1354" s="2" t="str">
        <x:v>677</x:v>
      </x:c>
      <x:c r="G1354" s="2" t="str">
        <x:v>3164280</x:v>
      </x:c>
      <x:c r="H1354" s="2" t="str">
        <x:v>2048000.0</x:v>
      </x:c>
      <x:c r="I1354" s="2" t="str">
        <x:v>8192</x:v>
      </x:c>
      <x:c r="J1354" s="2" t="str">
        <x:v>250.0</x:v>
      </x:c>
      <x:c r="K1354" s="2" t="str">
        <x:v>1</x:v>
      </x:c>
      <x:c r="L1354" s="2" t="str">
        <x:v>3</x:v>
      </x:c>
      <x:c r="M1354" s="2" t="str">
        <x:v>1</x:v>
      </x:c>
      <x:c r="N1354" s="2" t="str">
        <x:v>2</x:v>
      </x:c>
      <x:c r="O1354" s="2" t="str">
        <x:v>0</x:v>
      </x:c>
      <x:c r="P1354" s="2" t="str">
        <x:v>true</x:v>
      </x:c>
      <x:c r="Q1354" s="2" t="str">
        <x:v>-84.181926756</x:v>
      </x:c>
      <x:c r="R1354" s="2" t="str">
        <x:v>0.42683300853241235</x:v>
      </x:c>
      <x:c r="S1354" s="2" t="str">
        <x:v>46.14402966790338</x:v>
      </x:c>
    </x:row>
    <x:row r="1355">
      <x:c r="A1355" s="2" t="str">
        <x:v>DE-CMP-01</x:v>
      </x:c>
      <x:c r="B1355" s="2" t="str">
        <x:v>CFG-C01</x:v>
      </x:c>
      <x:c r="C1355" s="2" t="n">
        <x:v>46227.70238086805</x:v>
      </x:c>
      <x:c r="D1355" s="2" t="str">
        <x:v>os_cfar</x:v>
      </x:c>
      <x:c r="E1355" s="2" t="str">
        <x:v>variable_noise_floor</x:v>
      </x:c>
      <x:c r="F1355" s="2" t="str">
        <x:v>677</x:v>
      </x:c>
      <x:c r="G1355" s="2" t="str">
        <x:v>3164280</x:v>
      </x:c>
      <x:c r="H1355" s="2" t="str">
        <x:v>2048000.0</x:v>
      </x:c>
      <x:c r="I1355" s="2" t="str">
        <x:v>8192</x:v>
      </x:c>
      <x:c r="J1355" s="2" t="str">
        <x:v>250.0</x:v>
      </x:c>
      <x:c r="K1355" s="2" t="str">
        <x:v>1</x:v>
      </x:c>
      <x:c r="L1355" s="2" t="str">
        <x:v>3</x:v>
      </x:c>
      <x:c r="M1355" s="2" t="str">
        <x:v>1</x:v>
      </x:c>
      <x:c r="N1355" s="2" t="str">
        <x:v>2</x:v>
      </x:c>
      <x:c r="O1355" s="2" t="str">
        <x:v>0</x:v>
      </x:c>
      <x:c r="P1355" s="2" t="str">
        <x:v>true</x:v>
      </x:c>
      <x:c r="Q1355" s="2" t="str">
        <x:v>-84.181926756</x:v>
      </x:c>
      <x:c r="R1355" s="2" t="str">
        <x:v>13.938000003690831</x:v>
      </x:c>
      <x:c r="S1355" s="2" t="str">
        <x:v>48.18993895624328</x:v>
      </x:c>
    </x:row>
    <x:row r="1356">
      <x:c r="A1356" s="2" t="str">
        <x:v>DE-CMP-01</x:v>
      </x:c>
      <x:c r="B1356" s="2" t="str">
        <x:v>CFG-C01</x:v>
      </x:c>
      <x:c r="C1356" s="2" t="n">
        <x:v>46227.70238086805</x:v>
      </x:c>
      <x:c r="D1356" s="2" t="str">
        <x:v>os_cfar</x:v>
      </x:c>
      <x:c r="E1356" s="2" t="str">
        <x:v>variable_noise_floor</x:v>
      </x:c>
      <x:c r="F1356" s="2" t="str">
        <x:v>678</x:v>
      </x:c>
      <x:c r="G1356" s="2" t="str">
        <x:v>3164281</x:v>
      </x:c>
      <x:c r="H1356" s="2" t="str">
        <x:v>2048000.0</x:v>
      </x:c>
      <x:c r="I1356" s="2" t="str">
        <x:v>8192</x:v>
      </x:c>
      <x:c r="J1356" s="2" t="str">
        <x:v>250.0</x:v>
      </x:c>
      <x:c r="K1356" s="2" t="str">
        <x:v>1</x:v>
      </x:c>
      <x:c r="L1356" s="2" t="str">
        <x:v>3</x:v>
      </x:c>
      <x:c r="M1356" s="2" t="str">
        <x:v>1</x:v>
      </x:c>
      <x:c r="N1356" s="2" t="str">
        <x:v>2</x:v>
      </x:c>
      <x:c r="O1356" s="2" t="str">
        <x:v>0</x:v>
      </x:c>
      <x:c r="P1356" s="2" t="str">
        <x:v>true</x:v>
      </x:c>
      <x:c r="Q1356" s="2" t="str">
        <x:v>-44.321822518</x:v>
      </x:c>
      <x:c r="R1356" s="2" t="str">
        <x:v>14.071291996515356</x:v>
      </x:c>
      <x:c r="S1356" s="2" t="str">
        <x:v>48.26787394656287</x:v>
      </x:c>
    </x:row>
    <x:row r="1357">
      <x:c r="A1357" s="2" t="str">
        <x:v>DE-CMP-01</x:v>
      </x:c>
      <x:c r="B1357" s="2" t="str">
        <x:v>CFG-C01</x:v>
      </x:c>
      <x:c r="C1357" s="2" t="n">
        <x:v>46227.70238086805</x:v>
      </x:c>
      <x:c r="D1357" s="2" t="str">
        <x:v>adaptive</x:v>
      </x:c>
      <x:c r="E1357" s="2" t="str">
        <x:v>variable_noise_floor</x:v>
      </x:c>
      <x:c r="F1357" s="2" t="str">
        <x:v>678</x:v>
      </x:c>
      <x:c r="G1357" s="2" t="str">
        <x:v>3164281</x:v>
      </x:c>
      <x:c r="H1357" s="2" t="str">
        <x:v>2048000.0</x:v>
      </x:c>
      <x:c r="I1357" s="2" t="str">
        <x:v>8192</x:v>
      </x:c>
      <x:c r="J1357" s="2" t="str">
        <x:v>250.0</x:v>
      </x:c>
      <x:c r="K1357" s="2" t="str">
        <x:v>1</x:v>
      </x:c>
      <x:c r="L1357" s="2" t="str">
        <x:v>3</x:v>
      </x:c>
      <x:c r="M1357" s="2" t="str">
        <x:v>1</x:v>
      </x:c>
      <x:c r="N1357" s="2" t="str">
        <x:v>2</x:v>
      </x:c>
      <x:c r="O1357" s="2" t="str">
        <x:v>0</x:v>
      </x:c>
      <x:c r="P1357" s="2" t="str">
        <x:v>true</x:v>
      </x:c>
      <x:c r="Q1357" s="2" t="str">
        <x:v>-44.321822518</x:v>
      </x:c>
      <x:c r="R1357" s="2" t="str">
        <x:v>0.4340409941505641</x:v>
      </x:c>
      <x:c r="S1357" s="2" t="str">
        <x:v>46.27806258382949</x:v>
      </x:c>
    </x:row>
    <x:row r="1358">
      <x:c r="A1358" s="2" t="str">
        <x:v>DE-CMP-01</x:v>
      </x:c>
      <x:c r="B1358" s="2" t="str">
        <x:v>CFG-C01</x:v>
      </x:c>
      <x:c r="C1358" s="2" t="n">
        <x:v>46227.70238086805</x:v>
      </x:c>
      <x:c r="D1358" s="2" t="str">
        <x:v>adaptive</x:v>
      </x:c>
      <x:c r="E1358" s="2" t="str">
        <x:v>variable_noise_floor</x:v>
      </x:c>
      <x:c r="F1358" s="2" t="str">
        <x:v>679</x:v>
      </x:c>
      <x:c r="G1358" s="2" t="str">
        <x:v>3164282</x:v>
      </x:c>
      <x:c r="H1358" s="2" t="str">
        <x:v>2048000.0</x:v>
      </x:c>
      <x:c r="I1358" s="2" t="str">
        <x:v>8192</x:v>
      </x:c>
      <x:c r="J1358" s="2" t="str">
        <x:v>250.0</x:v>
      </x:c>
      <x:c r="K1358" s="2" t="str">
        <x:v>1</x:v>
      </x:c>
      <x:c r="L1358" s="2" t="str">
        <x:v>3</x:v>
      </x:c>
      <x:c r="M1358" s="2" t="str">
        <x:v>1</x:v>
      </x:c>
      <x:c r="N1358" s="2" t="str">
        <x:v>2</x:v>
      </x:c>
      <x:c r="O1358" s="2" t="str">
        <x:v>0</x:v>
      </x:c>
      <x:c r="P1358" s="2" t="str">
        <x:v>true</x:v>
      </x:c>
      <x:c r="Q1358" s="2" t="str">
        <x:v>-96.663901291</x:v>
      </x:c>
      <x:c r="R1358" s="2" t="str">
        <x:v>0.41970900201704353</x:v>
      </x:c>
      <x:c r="S1358" s="2" t="str">
        <x:v>46.52170326804064</x:v>
      </x:c>
    </x:row>
    <x:row r="1359">
      <x:c r="A1359" s="2" t="str">
        <x:v>DE-CMP-01</x:v>
      </x:c>
      <x:c r="B1359" s="2" t="str">
        <x:v>CFG-C01</x:v>
      </x:c>
      <x:c r="C1359" s="2" t="n">
        <x:v>46227.70238086805</x:v>
      </x:c>
      <x:c r="D1359" s="2" t="str">
        <x:v>os_cfar</x:v>
      </x:c>
      <x:c r="E1359" s="2" t="str">
        <x:v>variable_noise_floor</x:v>
      </x:c>
      <x:c r="F1359" s="2" t="str">
        <x:v>679</x:v>
      </x:c>
      <x:c r="G1359" s="2" t="str">
        <x:v>3164282</x:v>
      </x:c>
      <x:c r="H1359" s="2" t="str">
        <x:v>2048000.0</x:v>
      </x:c>
      <x:c r="I1359" s="2" t="str">
        <x:v>8192</x:v>
      </x:c>
      <x:c r="J1359" s="2" t="str">
        <x:v>250.0</x:v>
      </x:c>
      <x:c r="K1359" s="2" t="str">
        <x:v>1</x:v>
      </x:c>
      <x:c r="L1359" s="2" t="str">
        <x:v>3</x:v>
      </x:c>
      <x:c r="M1359" s="2" t="str">
        <x:v>1</x:v>
      </x:c>
      <x:c r="N1359" s="2" t="str">
        <x:v>2</x:v>
      </x:c>
      <x:c r="O1359" s="2" t="str">
        <x:v>0</x:v>
      </x:c>
      <x:c r="P1359" s="2" t="str">
        <x:v>true</x:v>
      </x:c>
      <x:c r="Q1359" s="2" t="str">
        <x:v>-96.663901291</x:v>
      </x:c>
      <x:c r="R1359" s="2" t="str">
        <x:v>13.95858300384134</x:v>
      </x:c>
      <x:c r="S1359" s="2" t="str">
        <x:v>48.23240800316647</x:v>
      </x:c>
    </x:row>
    <x:row r="1360">
      <x:c r="A1360" s="2" t="str">
        <x:v>DE-CMP-01</x:v>
      </x:c>
      <x:c r="B1360" s="2" t="str">
        <x:v>CFG-C01</x:v>
      </x:c>
      <x:c r="C1360" s="2" t="n">
        <x:v>46227.70238086805</x:v>
      </x:c>
      <x:c r="D1360" s="2" t="str">
        <x:v>os_cfar</x:v>
      </x:c>
      <x:c r="E1360" s="2" t="str">
        <x:v>variable_noise_floor</x:v>
      </x:c>
      <x:c r="F1360" s="2" t="str">
        <x:v>680</x:v>
      </x:c>
      <x:c r="G1360" s="2" t="str">
        <x:v>3164283</x:v>
      </x:c>
      <x:c r="H1360" s="2" t="str">
        <x:v>2048000.0</x:v>
      </x:c>
      <x:c r="I1360" s="2" t="str">
        <x:v>8192</x:v>
      </x:c>
      <x:c r="J1360" s="2" t="str">
        <x:v>250.0</x:v>
      </x:c>
      <x:c r="K1360" s="2" t="str">
        <x:v>1</x:v>
      </x:c>
      <x:c r="L1360" s="2" t="str">
        <x:v>3</x:v>
      </x:c>
      <x:c r="M1360" s="2" t="str">
        <x:v>1</x:v>
      </x:c>
      <x:c r="N1360" s="2" t="str">
        <x:v>2</x:v>
      </x:c>
      <x:c r="O1360" s="2" t="str">
        <x:v>0</x:v>
      </x:c>
      <x:c r="P1360" s="2" t="str">
        <x:v>true</x:v>
      </x:c>
      <x:c r="Q1360" s="2" t="str">
        <x:v>-130.960337190</x:v>
      </x:c>
      <x:c r="R1360" s="2" t="str">
        <x:v>13.7292500003241</x:v>
      </x:c>
      <x:c r="S1360" s="2" t="str">
        <x:v>47.966294828873174</x:v>
      </x:c>
    </x:row>
    <x:row r="1361">
      <x:c r="A1361" s="2" t="str">
        <x:v>DE-CMP-01</x:v>
      </x:c>
      <x:c r="B1361" s="2" t="str">
        <x:v>CFG-C01</x:v>
      </x:c>
      <x:c r="C1361" s="2" t="n">
        <x:v>46227.70238086805</x:v>
      </x:c>
      <x:c r="D1361" s="2" t="str">
        <x:v>adaptive</x:v>
      </x:c>
      <x:c r="E1361" s="2" t="str">
        <x:v>variable_noise_floor</x:v>
      </x:c>
      <x:c r="F1361" s="2" t="str">
        <x:v>680</x:v>
      </x:c>
      <x:c r="G1361" s="2" t="str">
        <x:v>3164283</x:v>
      </x:c>
      <x:c r="H1361" s="2" t="str">
        <x:v>2048000.0</x:v>
      </x:c>
      <x:c r="I1361" s="2" t="str">
        <x:v>8192</x:v>
      </x:c>
      <x:c r="J1361" s="2" t="str">
        <x:v>250.0</x:v>
      </x:c>
      <x:c r="K1361" s="2" t="str">
        <x:v>1</x:v>
      </x:c>
      <x:c r="L1361" s="2" t="str">
        <x:v>3</x:v>
      </x:c>
      <x:c r="M1361" s="2" t="str">
        <x:v>1</x:v>
      </x:c>
      <x:c r="N1361" s="2" t="str">
        <x:v>2</x:v>
      </x:c>
      <x:c r="O1361" s="2" t="str">
        <x:v>0</x:v>
      </x:c>
      <x:c r="P1361" s="2" t="str">
        <x:v>true</x:v>
      </x:c>
      <x:c r="Q1361" s="2" t="str">
        <x:v>-130.960337190</x:v>
      </x:c>
      <x:c r="R1361" s="2" t="str">
        <x:v>0.44995799544267356</x:v>
      </x:c>
      <x:c r="S1361" s="2" t="str">
        <x:v>46.31006177270531</x:v>
      </x:c>
    </x:row>
    <x:row r="1362">
      <x:c r="A1362" s="2" t="str">
        <x:v>DE-CMP-01</x:v>
      </x:c>
      <x:c r="B1362" s="2" t="str">
        <x:v>CFG-C01</x:v>
      </x:c>
      <x:c r="C1362" s="2" t="n">
        <x:v>46227.70238086805</x:v>
      </x:c>
      <x:c r="D1362" s="2" t="str">
        <x:v>adaptive</x:v>
      </x:c>
      <x:c r="E1362" s="2" t="str">
        <x:v>variable_noise_floor</x:v>
      </x:c>
      <x:c r="F1362" s="2" t="str">
        <x:v>681</x:v>
      </x:c>
      <x:c r="G1362" s="2" t="str">
        <x:v>3164284</x:v>
      </x:c>
      <x:c r="H1362" s="2" t="str">
        <x:v>2048000.0</x:v>
      </x:c>
      <x:c r="I1362" s="2" t="str">
        <x:v>8192</x:v>
      </x:c>
      <x:c r="J1362" s="2" t="str">
        <x:v>250.0</x:v>
      </x:c>
      <x:c r="K1362" s="2" t="str">
        <x:v>1</x:v>
      </x:c>
      <x:c r="L1362" s="2" t="str">
        <x:v>3</x:v>
      </x:c>
      <x:c r="M1362" s="2" t="str">
        <x:v>1</x:v>
      </x:c>
      <x:c r="N1362" s="2" t="str">
        <x:v>2</x:v>
      </x:c>
      <x:c r="O1362" s="2" t="str">
        <x:v>0</x:v>
      </x:c>
      <x:c r="P1362" s="2" t="str">
        <x:v>true</x:v>
      </x:c>
      <x:c r="Q1362" s="2" t="str">
        <x:v>77.411537232</x:v>
      </x:c>
      <x:c r="R1362" s="2" t="str">
        <x:v>0.43641700176522136</x:v>
      </x:c>
      <x:c r="S1362" s="2" t="str">
        <x:v>46.107879925726984</x:v>
      </x:c>
    </x:row>
    <x:row r="1363">
      <x:c r="A1363" s="2" t="str">
        <x:v>DE-CMP-01</x:v>
      </x:c>
      <x:c r="B1363" s="2" t="str">
        <x:v>CFG-C01</x:v>
      </x:c>
      <x:c r="C1363" s="2" t="n">
        <x:v>46227.70238086805</x:v>
      </x:c>
      <x:c r="D1363" s="2" t="str">
        <x:v>os_cfar</x:v>
      </x:c>
      <x:c r="E1363" s="2" t="str">
        <x:v>variable_noise_floor</x:v>
      </x:c>
      <x:c r="F1363" s="2" t="str">
        <x:v>681</x:v>
      </x:c>
      <x:c r="G1363" s="2" t="str">
        <x:v>3164284</x:v>
      </x:c>
      <x:c r="H1363" s="2" t="str">
        <x:v>2048000.0</x:v>
      </x:c>
      <x:c r="I1363" s="2" t="str">
        <x:v>8192</x:v>
      </x:c>
      <x:c r="J1363" s="2" t="str">
        <x:v>250.0</x:v>
      </x:c>
      <x:c r="K1363" s="2" t="str">
        <x:v>1</x:v>
      </x:c>
      <x:c r="L1363" s="2" t="str">
        <x:v>3</x:v>
      </x:c>
      <x:c r="M1363" s="2" t="str">
        <x:v>1</x:v>
      </x:c>
      <x:c r="N1363" s="2" t="str">
        <x:v>2</x:v>
      </x:c>
      <x:c r="O1363" s="2" t="str">
        <x:v>0</x:v>
      </x:c>
      <x:c r="P1363" s="2" t="str">
        <x:v>true</x:v>
      </x:c>
      <x:c r="Q1363" s="2" t="str">
        <x:v>77.411537232</x:v>
      </x:c>
      <x:c r="R1363" s="2" t="str">
        <x:v>13.841667008819059</x:v>
      </x:c>
      <x:c r="S1363" s="2" t="str">
        <x:v>48.07850500814026</x:v>
      </x:c>
    </x:row>
    <x:row r="1364">
      <x:c r="A1364" s="2" t="str">
        <x:v>DE-CMP-01</x:v>
      </x:c>
      <x:c r="B1364" s="2" t="str">
        <x:v>CFG-C01</x:v>
      </x:c>
      <x:c r="C1364" s="2" t="n">
        <x:v>46227.70238086805</x:v>
      </x:c>
      <x:c r="D1364" s="2" t="str">
        <x:v>os_cfar</x:v>
      </x:c>
      <x:c r="E1364" s="2" t="str">
        <x:v>variable_noise_floor</x:v>
      </x:c>
      <x:c r="F1364" s="2" t="str">
        <x:v>682</x:v>
      </x:c>
      <x:c r="G1364" s="2" t="str">
        <x:v>3164285</x:v>
      </x:c>
      <x:c r="H1364" s="2" t="str">
        <x:v>2048000.0</x:v>
      </x:c>
      <x:c r="I1364" s="2" t="str">
        <x:v>8192</x:v>
      </x:c>
      <x:c r="J1364" s="2" t="str">
        <x:v>250.0</x:v>
      </x:c>
      <x:c r="K1364" s="2" t="str">
        <x:v>1</x:v>
      </x:c>
      <x:c r="L1364" s="2" t="str">
        <x:v>3</x:v>
      </x:c>
      <x:c r="M1364" s="2" t="str">
        <x:v>1</x:v>
      </x:c>
      <x:c r="N1364" s="2" t="str">
        <x:v>2</x:v>
      </x:c>
      <x:c r="O1364" s="2" t="str">
        <x:v>0</x:v>
      </x:c>
      <x:c r="P1364" s="2" t="str">
        <x:v>true</x:v>
      </x:c>
      <x:c r="Q1364" s="2" t="str">
        <x:v>-24.482779125</x:v>
      </x:c>
      <x:c r="R1364" s="2" t="str">
        <x:v>14.07804100017529</x:v>
      </x:c>
      <x:c r="S1364" s="2" t="str">
        <x:v>48.03860300244694</x:v>
      </x:c>
    </x:row>
    <x:row r="1365">
      <x:c r="A1365" s="2" t="str">
        <x:v>DE-CMP-01</x:v>
      </x:c>
      <x:c r="B1365" s="2" t="str">
        <x:v>CFG-C01</x:v>
      </x:c>
      <x:c r="C1365" s="2" t="n">
        <x:v>46227.70238086805</x:v>
      </x:c>
      <x:c r="D1365" s="2" t="str">
        <x:v>adaptive</x:v>
      </x:c>
      <x:c r="E1365" s="2" t="str">
        <x:v>variable_noise_floor</x:v>
      </x:c>
      <x:c r="F1365" s="2" t="str">
        <x:v>682</x:v>
      </x:c>
      <x:c r="G1365" s="2" t="str">
        <x:v>3164285</x:v>
      </x:c>
      <x:c r="H1365" s="2" t="str">
        <x:v>2048000.0</x:v>
      </x:c>
      <x:c r="I1365" s="2" t="str">
        <x:v>8192</x:v>
      </x:c>
      <x:c r="J1365" s="2" t="str">
        <x:v>250.0</x:v>
      </x:c>
      <x:c r="K1365" s="2" t="str">
        <x:v>1</x:v>
      </x:c>
      <x:c r="L1365" s="2" t="str">
        <x:v>3</x:v>
      </x:c>
      <x:c r="M1365" s="2" t="str">
        <x:v>1</x:v>
      </x:c>
      <x:c r="N1365" s="2" t="str">
        <x:v>2</x:v>
      </x:c>
      <x:c r="O1365" s="2" t="str">
        <x:v>0</x:v>
      </x:c>
      <x:c r="P1365" s="2" t="str">
        <x:v>true</x:v>
      </x:c>
      <x:c r="Q1365" s="2" t="str">
        <x:v>-24.482779125</x:v>
      </x:c>
      <x:c r="R1365" s="2" t="str">
        <x:v>0.4168330051470548</x:v>
      </x:c>
      <x:c r="S1365" s="2" t="str">
        <x:v>46.49057141842982</x:v>
      </x:c>
    </x:row>
    <x:row r="1366">
      <x:c r="A1366" s="2" t="str">
        <x:v>DE-CMP-01</x:v>
      </x:c>
      <x:c r="B1366" s="2" t="str">
        <x:v>CFG-C01</x:v>
      </x:c>
      <x:c r="C1366" s="2" t="n">
        <x:v>46227.70238086805</x:v>
      </x:c>
      <x:c r="D1366" s="2" t="str">
        <x:v>adaptive</x:v>
      </x:c>
      <x:c r="E1366" s="2" t="str">
        <x:v>variable_noise_floor</x:v>
      </x:c>
      <x:c r="F1366" s="2" t="str">
        <x:v>683</x:v>
      </x:c>
      <x:c r="G1366" s="2" t="str">
        <x:v>3164286</x:v>
      </x:c>
      <x:c r="H1366" s="2" t="str">
        <x:v>2048000.0</x:v>
      </x:c>
      <x:c r="I1366" s="2" t="str">
        <x:v>8192</x:v>
      </x:c>
      <x:c r="J1366" s="2" t="str">
        <x:v>250.0</x:v>
      </x:c>
      <x:c r="K1366" s="2" t="str">
        <x:v>1</x:v>
      </x:c>
      <x:c r="L1366" s="2" t="str">
        <x:v>3</x:v>
      </x:c>
      <x:c r="M1366" s="2" t="str">
        <x:v>1</x:v>
      </x:c>
      <x:c r="N1366" s="2" t="str">
        <x:v>2</x:v>
      </x:c>
      <x:c r="O1366" s="2" t="str">
        <x:v>0</x:v>
      </x:c>
      <x:c r="P1366" s="2" t="str">
        <x:v>true</x:v>
      </x:c>
      <x:c r="Q1366" s="2" t="str">
        <x:v>-73.651613421</x:v>
      </x:c>
      <x:c r="R1366" s="2" t="str">
        <x:v>0.42366600246168673</x:v>
      </x:c>
      <x:c r="S1366" s="2" t="str">
        <x:v>46.56403015132153</x:v>
      </x:c>
    </x:row>
    <x:row r="1367">
      <x:c r="A1367" s="2" t="str">
        <x:v>DE-CMP-01</x:v>
      </x:c>
      <x:c r="B1367" s="2" t="str">
        <x:v>CFG-C01</x:v>
      </x:c>
      <x:c r="C1367" s="2" t="n">
        <x:v>46227.70238086805</x:v>
      </x:c>
      <x:c r="D1367" s="2" t="str">
        <x:v>os_cfar</x:v>
      </x:c>
      <x:c r="E1367" s="2" t="str">
        <x:v>variable_noise_floor</x:v>
      </x:c>
      <x:c r="F1367" s="2" t="str">
        <x:v>683</x:v>
      </x:c>
      <x:c r="G1367" s="2" t="str">
        <x:v>3164286</x:v>
      </x:c>
      <x:c r="H1367" s="2" t="str">
        <x:v>2048000.0</x:v>
      </x:c>
      <x:c r="I1367" s="2" t="str">
        <x:v>8192</x:v>
      </x:c>
      <x:c r="J1367" s="2" t="str">
        <x:v>250.0</x:v>
      </x:c>
      <x:c r="K1367" s="2" t="str">
        <x:v>1</x:v>
      </x:c>
      <x:c r="L1367" s="2" t="str">
        <x:v>3</x:v>
      </x:c>
      <x:c r="M1367" s="2" t="str">
        <x:v>1</x:v>
      </x:c>
      <x:c r="N1367" s="2" t="str">
        <x:v>2</x:v>
      </x:c>
      <x:c r="O1367" s="2" t="str">
        <x:v>0</x:v>
      </x:c>
      <x:c r="P1367" s="2" t="str">
        <x:v>true</x:v>
      </x:c>
      <x:c r="Q1367" s="2" t="str">
        <x:v>-73.651613421</x:v>
      </x:c>
      <x:c r="R1367" s="2" t="str">
        <x:v>13.975958005175926</x:v>
      </x:c>
      <x:c r="S1367" s="2" t="str">
        <x:v>48.185583590048964</x:v>
      </x:c>
    </x:row>
    <x:row r="1368">
      <x:c r="A1368" s="2" t="str">
        <x:v>DE-CMP-01</x:v>
      </x:c>
      <x:c r="B1368" s="2" t="str">
        <x:v>CFG-C01</x:v>
      </x:c>
      <x:c r="C1368" s="2" t="n">
        <x:v>46227.70238086805</x:v>
      </x:c>
      <x:c r="D1368" s="2" t="str">
        <x:v>os_cfar</x:v>
      </x:c>
      <x:c r="E1368" s="2" t="str">
        <x:v>variable_noise_floor</x:v>
      </x:c>
      <x:c r="F1368" s="2" t="str">
        <x:v>684</x:v>
      </x:c>
      <x:c r="G1368" s="2" t="str">
        <x:v>3164287</x:v>
      </x:c>
      <x:c r="H1368" s="2" t="str">
        <x:v>2048000.0</x:v>
      </x:c>
      <x:c r="I1368" s="2" t="str">
        <x:v>8192</x:v>
      </x:c>
      <x:c r="J1368" s="2" t="str">
        <x:v>250.0</x:v>
      </x:c>
      <x:c r="K1368" s="2" t="str">
        <x:v>1</x:v>
      </x:c>
      <x:c r="L1368" s="2" t="str">
        <x:v>3</x:v>
      </x:c>
      <x:c r="M1368" s="2" t="str">
        <x:v>1</x:v>
      </x:c>
      <x:c r="N1368" s="2" t="str">
        <x:v>2</x:v>
      </x:c>
      <x:c r="O1368" s="2" t="str">
        <x:v>0</x:v>
      </x:c>
      <x:c r="P1368" s="2" t="str">
        <x:v>true</x:v>
      </x:c>
      <x:c r="Q1368" s="2" t="str">
        <x:v>-10.017361026</x:v>
      </x:c>
      <x:c r="R1368" s="2" t="str">
        <x:v>14.003000003867783</x:v>
      </x:c>
      <x:c r="S1368" s="2" t="str">
        <x:v>48.10012359518061</x:v>
      </x:c>
    </x:row>
    <x:row r="1369">
      <x:c r="A1369" s="2" t="str">
        <x:v>DE-CMP-01</x:v>
      </x:c>
      <x:c r="B1369" s="2" t="str">
        <x:v>CFG-C01</x:v>
      </x:c>
      <x:c r="C1369" s="2" t="n">
        <x:v>46227.70238086805</x:v>
      </x:c>
      <x:c r="D1369" s="2" t="str">
        <x:v>adaptive</x:v>
      </x:c>
      <x:c r="E1369" s="2" t="str">
        <x:v>variable_noise_floor</x:v>
      </x:c>
      <x:c r="F1369" s="2" t="str">
        <x:v>684</x:v>
      </x:c>
      <x:c r="G1369" s="2" t="str">
        <x:v>3164287</x:v>
      </x:c>
      <x:c r="H1369" s="2" t="str">
        <x:v>2048000.0</x:v>
      </x:c>
      <x:c r="I1369" s="2" t="str">
        <x:v>8192</x:v>
      </x:c>
      <x:c r="J1369" s="2" t="str">
        <x:v>250.0</x:v>
      </x:c>
      <x:c r="K1369" s="2" t="str">
        <x:v>1</x:v>
      </x:c>
      <x:c r="L1369" s="2" t="str">
        <x:v>3</x:v>
      </x:c>
      <x:c r="M1369" s="2" t="str">
        <x:v>1</x:v>
      </x:c>
      <x:c r="N1369" s="2" t="str">
        <x:v>2</x:v>
      </x:c>
      <x:c r="O1369" s="2" t="str">
        <x:v>0</x:v>
      </x:c>
      <x:c r="P1369" s="2" t="str">
        <x:v>true</x:v>
      </x:c>
      <x:c r="Q1369" s="2" t="str">
        <x:v>-10.017361026</x:v>
      </x:c>
      <x:c r="R1369" s="2" t="str">
        <x:v>0.43324999569449574</x:v>
      </x:c>
      <x:c r="S1369" s="2" t="str">
        <x:v>46.22675092698668</x:v>
      </x:c>
    </x:row>
    <x:row r="1370">
      <x:c r="A1370" s="2" t="str">
        <x:v>DE-CMP-01</x:v>
      </x:c>
      <x:c r="B1370" s="2" t="str">
        <x:v>CFG-C01</x:v>
      </x:c>
      <x:c r="C1370" s="2" t="n">
        <x:v>46227.70238086805</x:v>
      </x:c>
      <x:c r="D1370" s="2" t="str">
        <x:v>adaptive</x:v>
      </x:c>
      <x:c r="E1370" s="2" t="str">
        <x:v>variable_noise_floor</x:v>
      </x:c>
      <x:c r="F1370" s="2" t="str">
        <x:v>685</x:v>
      </x:c>
      <x:c r="G1370" s="2" t="str">
        <x:v>3164288</x:v>
      </x:c>
      <x:c r="H1370" s="2" t="str">
        <x:v>2048000.0</x:v>
      </x:c>
      <x:c r="I1370" s="2" t="str">
        <x:v>8192</x:v>
      </x:c>
      <x:c r="J1370" s="2" t="str">
        <x:v>250.0</x:v>
      </x:c>
      <x:c r="K1370" s="2" t="str">
        <x:v>1</x:v>
      </x:c>
      <x:c r="L1370" s="2" t="str">
        <x:v>3</x:v>
      </x:c>
      <x:c r="M1370" s="2" t="str">
        <x:v>1</x:v>
      </x:c>
      <x:c r="N1370" s="2" t="str">
        <x:v>2</x:v>
      </x:c>
      <x:c r="O1370" s="2" t="str">
        <x:v>0</x:v>
      </x:c>
      <x:c r="P1370" s="2" t="str">
        <x:v>true</x:v>
      </x:c>
      <x:c r="Q1370" s="2" t="str">
        <x:v>-12.471459429</x:v>
      </x:c>
      <x:c r="R1370" s="2" t="str">
        <x:v>0.43775000085588545</x:v>
      </x:c>
      <x:c r="S1370" s="2" t="str">
        <x:v>45.96162386097404</x:v>
      </x:c>
    </x:row>
    <x:row r="1371">
      <x:c r="A1371" s="2" t="str">
        <x:v>DE-CMP-01</x:v>
      </x:c>
      <x:c r="B1371" s="2" t="str">
        <x:v>CFG-C01</x:v>
      </x:c>
      <x:c r="C1371" s="2" t="n">
        <x:v>46227.70238086805</x:v>
      </x:c>
      <x:c r="D1371" s="2" t="str">
        <x:v>os_cfar</x:v>
      </x:c>
      <x:c r="E1371" s="2" t="str">
        <x:v>variable_noise_floor</x:v>
      </x:c>
      <x:c r="F1371" s="2" t="str">
        <x:v>685</x:v>
      </x:c>
      <x:c r="G1371" s="2" t="str">
        <x:v>3164288</x:v>
      </x:c>
      <x:c r="H1371" s="2" t="str">
        <x:v>2048000.0</x:v>
      </x:c>
      <x:c r="I1371" s="2" t="str">
        <x:v>8192</x:v>
      </x:c>
      <x:c r="J1371" s="2" t="str">
        <x:v>250.0</x:v>
      </x:c>
      <x:c r="K1371" s="2" t="str">
        <x:v>1</x:v>
      </x:c>
      <x:c r="L1371" s="2" t="str">
        <x:v>3</x:v>
      </x:c>
      <x:c r="M1371" s="2" t="str">
        <x:v>1</x:v>
      </x:c>
      <x:c r="N1371" s="2" t="str">
        <x:v>2</x:v>
      </x:c>
      <x:c r="O1371" s="2" t="str">
        <x:v>0</x:v>
      </x:c>
      <x:c r="P1371" s="2" t="str">
        <x:v>true</x:v>
      </x:c>
      <x:c r="Q1371" s="2" t="str">
        <x:v>-12.471459429</x:v>
      </x:c>
      <x:c r="R1371" s="2" t="str">
        <x:v>13.8610419962788</x:v>
      </x:c>
      <x:c r="S1371" s="2" t="str">
        <x:v>48.05327815610812</x:v>
      </x:c>
    </x:row>
    <x:row r="1372">
      <x:c r="A1372" s="2" t="str">
        <x:v>DE-CMP-01</x:v>
      </x:c>
      <x:c r="B1372" s="2" t="str">
        <x:v>CFG-C01</x:v>
      </x:c>
      <x:c r="C1372" s="2" t="n">
        <x:v>46227.70238086805</x:v>
      </x:c>
      <x:c r="D1372" s="2" t="str">
        <x:v>os_cfar</x:v>
      </x:c>
      <x:c r="E1372" s="2" t="str">
        <x:v>variable_noise_floor</x:v>
      </x:c>
      <x:c r="F1372" s="2" t="str">
        <x:v>686</x:v>
      </x:c>
      <x:c r="G1372" s="2" t="str">
        <x:v>3164289</x:v>
      </x:c>
      <x:c r="H1372" s="2" t="str">
        <x:v>2048000.0</x:v>
      </x:c>
      <x:c r="I1372" s="2" t="str">
        <x:v>8192</x:v>
      </x:c>
      <x:c r="J1372" s="2" t="str">
        <x:v>250.0</x:v>
      </x:c>
      <x:c r="K1372" s="2" t="str">
        <x:v>1</x:v>
      </x:c>
      <x:c r="L1372" s="2" t="str">
        <x:v>3</x:v>
      </x:c>
      <x:c r="M1372" s="2" t="str">
        <x:v>1</x:v>
      </x:c>
      <x:c r="N1372" s="2" t="str">
        <x:v>2</x:v>
      </x:c>
      <x:c r="O1372" s="2" t="str">
        <x:v>0</x:v>
      </x:c>
      <x:c r="P1372" s="2" t="str">
        <x:v>true</x:v>
      </x:c>
      <x:c r="Q1372" s="2" t="str">
        <x:v>43.627887981</x:v>
      </x:c>
      <x:c r="R1372" s="2" t="str">
        <x:v>14.025041993591003</x:v>
      </x:c>
      <x:c r="S1372" s="2" t="str">
        <x:v>48.071988051684905</x:v>
      </x:c>
    </x:row>
    <x:row r="1373">
      <x:c r="A1373" s="2" t="str">
        <x:v>DE-CMP-01</x:v>
      </x:c>
      <x:c r="B1373" s="2" t="str">
        <x:v>CFG-C01</x:v>
      </x:c>
      <x:c r="C1373" s="2" t="n">
        <x:v>46227.70238086805</x:v>
      </x:c>
      <x:c r="D1373" s="2" t="str">
        <x:v>adaptive</x:v>
      </x:c>
      <x:c r="E1373" s="2" t="str">
        <x:v>variable_noise_floor</x:v>
      </x:c>
      <x:c r="F1373" s="2" t="str">
        <x:v>686</x:v>
      </x:c>
      <x:c r="G1373" s="2" t="str">
        <x:v>3164289</x:v>
      </x:c>
      <x:c r="H1373" s="2" t="str">
        <x:v>2048000.0</x:v>
      </x:c>
      <x:c r="I1373" s="2" t="str">
        <x:v>8192</x:v>
      </x:c>
      <x:c r="J1373" s="2" t="str">
        <x:v>250.0</x:v>
      </x:c>
      <x:c r="K1373" s="2" t="str">
        <x:v>1</x:v>
      </x:c>
      <x:c r="L1373" s="2" t="str">
        <x:v>3</x:v>
      </x:c>
      <x:c r="M1373" s="2" t="str">
        <x:v>1</x:v>
      </x:c>
      <x:c r="N1373" s="2" t="str">
        <x:v>2</x:v>
      </x:c>
      <x:c r="O1373" s="2" t="str">
        <x:v>0</x:v>
      </x:c>
      <x:c r="P1373" s="2" t="str">
        <x:v>true</x:v>
      </x:c>
      <x:c r="Q1373" s="2" t="str">
        <x:v>43.627887981</x:v>
      </x:c>
      <x:c r="R1373" s="2" t="str">
        <x:v>0.4434160073287785</x:v>
      </x:c>
      <x:c r="S1373" s="2" t="str">
        <x:v>46.18509637961715</x:v>
      </x:c>
    </x:row>
    <x:row r="1374">
      <x:c r="A1374" s="2" t="str">
        <x:v>DE-CMP-01</x:v>
      </x:c>
      <x:c r="B1374" s="2" t="str">
        <x:v>CFG-C01</x:v>
      </x:c>
      <x:c r="C1374" s="2" t="n">
        <x:v>46227.70238086805</x:v>
      </x:c>
      <x:c r="D1374" s="2" t="str">
        <x:v>adaptive</x:v>
      </x:c>
      <x:c r="E1374" s="2" t="str">
        <x:v>variable_noise_floor</x:v>
      </x:c>
      <x:c r="F1374" s="2" t="str">
        <x:v>687</x:v>
      </x:c>
      <x:c r="G1374" s="2" t="str">
        <x:v>3164290</x:v>
      </x:c>
      <x:c r="H1374" s="2" t="str">
        <x:v>2048000.0</x:v>
      </x:c>
      <x:c r="I1374" s="2" t="str">
        <x:v>8192</x:v>
      </x:c>
      <x:c r="J1374" s="2" t="str">
        <x:v>250.0</x:v>
      </x:c>
      <x:c r="K1374" s="2" t="str">
        <x:v>1</x:v>
      </x:c>
      <x:c r="L1374" s="2" t="str">
        <x:v>3</x:v>
      </x:c>
      <x:c r="M1374" s="2" t="str">
        <x:v>1</x:v>
      </x:c>
      <x:c r="N1374" s="2" t="str">
        <x:v>2</x:v>
      </x:c>
      <x:c r="O1374" s="2" t="str">
        <x:v>0</x:v>
      </x:c>
      <x:c r="P1374" s="2" t="str">
        <x:v>true</x:v>
      </x:c>
      <x:c r="Q1374" s="2" t="str">
        <x:v>-42.577592963</x:v>
      </x:c>
      <x:c r="R1374" s="2" t="str">
        <x:v>0.4312080127419904</x:v>
      </x:c>
      <x:c r="S1374" s="2" t="str">
        <x:v>46.431407020739876</x:v>
      </x:c>
    </x:row>
    <x:row r="1375">
      <x:c r="A1375" s="2" t="str">
        <x:v>DE-CMP-01</x:v>
      </x:c>
      <x:c r="B1375" s="2" t="str">
        <x:v>CFG-C01</x:v>
      </x:c>
      <x:c r="C1375" s="2" t="n">
        <x:v>46227.70238086805</x:v>
      </x:c>
      <x:c r="D1375" s="2" t="str">
        <x:v>os_cfar</x:v>
      </x:c>
      <x:c r="E1375" s="2" t="str">
        <x:v>variable_noise_floor</x:v>
      </x:c>
      <x:c r="F1375" s="2" t="str">
        <x:v>687</x:v>
      </x:c>
      <x:c r="G1375" s="2" t="str">
        <x:v>3164290</x:v>
      </x:c>
      <x:c r="H1375" s="2" t="str">
        <x:v>2048000.0</x:v>
      </x:c>
      <x:c r="I1375" s="2" t="str">
        <x:v>8192</x:v>
      </x:c>
      <x:c r="J1375" s="2" t="str">
        <x:v>250.0</x:v>
      </x:c>
      <x:c r="K1375" s="2" t="str">
        <x:v>1</x:v>
      </x:c>
      <x:c r="L1375" s="2" t="str">
        <x:v>3</x:v>
      </x:c>
      <x:c r="M1375" s="2" t="str">
        <x:v>1</x:v>
      </x:c>
      <x:c r="N1375" s="2" t="str">
        <x:v>2</x:v>
      </x:c>
      <x:c r="O1375" s="2" t="str">
        <x:v>0</x:v>
      </x:c>
      <x:c r="P1375" s="2" t="str">
        <x:v>true</x:v>
      </x:c>
      <x:c r="Q1375" s="2" t="str">
        <x:v>-42.577592963</x:v>
      </x:c>
      <x:c r="R1375" s="2" t="str">
        <x:v>13.956209004390985</x:v>
      </x:c>
      <x:c r="S1375" s="2" t="str">
        <x:v>48.437387177648844</x:v>
      </x:c>
    </x:row>
    <x:row r="1376">
      <x:c r="A1376" s="2" t="str">
        <x:v>DE-CMP-01</x:v>
      </x:c>
      <x:c r="B1376" s="2" t="str">
        <x:v>CFG-C01</x:v>
      </x:c>
      <x:c r="C1376" s="2" t="n">
        <x:v>46227.70238086805</x:v>
      </x:c>
      <x:c r="D1376" s="2" t="str">
        <x:v>os_cfar</x:v>
      </x:c>
      <x:c r="E1376" s="2" t="str">
        <x:v>variable_noise_floor</x:v>
      </x:c>
      <x:c r="F1376" s="2" t="str">
        <x:v>688</x:v>
      </x:c>
      <x:c r="G1376" s="2" t="str">
        <x:v>3164291</x:v>
      </x:c>
      <x:c r="H1376" s="2" t="str">
        <x:v>2048000.0</x:v>
      </x:c>
      <x:c r="I1376" s="2" t="str">
        <x:v>8192</x:v>
      </x:c>
      <x:c r="J1376" s="2" t="str">
        <x:v>250.0</x:v>
      </x:c>
      <x:c r="K1376" s="2" t="str">
        <x:v>1</x:v>
      </x:c>
      <x:c r="L1376" s="2" t="str">
        <x:v>3</x:v>
      </x:c>
      <x:c r="M1376" s="2" t="str">
        <x:v>1</x:v>
      </x:c>
      <x:c r="N1376" s="2" t="str">
        <x:v>2</x:v>
      </x:c>
      <x:c r="O1376" s="2" t="str">
        <x:v>0</x:v>
      </x:c>
      <x:c r="P1376" s="2" t="str">
        <x:v>true</x:v>
      </x:c>
      <x:c r="Q1376" s="2" t="str">
        <x:v>16.231925754</x:v>
      </x:c>
      <x:c r="R1376" s="2" t="str">
        <x:v>14.107291994150728</x:v>
      </x:c>
      <x:c r="S1376" s="2" t="str">
        <x:v>48.16842430914648</x:v>
      </x:c>
    </x:row>
    <x:row r="1377">
      <x:c r="A1377" s="2" t="str">
        <x:v>DE-CMP-01</x:v>
      </x:c>
      <x:c r="B1377" s="2" t="str">
        <x:v>CFG-C01</x:v>
      </x:c>
      <x:c r="C1377" s="2" t="n">
        <x:v>46227.70238086805</x:v>
      </x:c>
      <x:c r="D1377" s="2" t="str">
        <x:v>adaptive</x:v>
      </x:c>
      <x:c r="E1377" s="2" t="str">
        <x:v>variable_noise_floor</x:v>
      </x:c>
      <x:c r="F1377" s="2" t="str">
        <x:v>688</x:v>
      </x:c>
      <x:c r="G1377" s="2" t="str">
        <x:v>3164291</x:v>
      </x:c>
      <x:c r="H1377" s="2" t="str">
        <x:v>2048000.0</x:v>
      </x:c>
      <x:c r="I1377" s="2" t="str">
        <x:v>8192</x:v>
      </x:c>
      <x:c r="J1377" s="2" t="str">
        <x:v>250.0</x:v>
      </x:c>
      <x:c r="K1377" s="2" t="str">
        <x:v>1</x:v>
      </x:c>
      <x:c r="L1377" s="2" t="str">
        <x:v>3</x:v>
      </x:c>
      <x:c r="M1377" s="2" t="str">
        <x:v>1</x:v>
      </x:c>
      <x:c r="N1377" s="2" t="str">
        <x:v>2</x:v>
      </x:c>
      <x:c r="O1377" s="2" t="str">
        <x:v>0</x:v>
      </x:c>
      <x:c r="P1377" s="2" t="str">
        <x:v>true</x:v>
      </x:c>
      <x:c r="Q1377" s="2" t="str">
        <x:v>16.231925754</x:v>
      </x:c>
      <x:c r="R1377" s="2" t="str">
        <x:v>0.4435419978108257</x:v>
      </x:c>
      <x:c r="S1377" s="2" t="str">
        <x:v>45.77700407655737</x:v>
      </x:c>
    </x:row>
    <x:row r="1378">
      <x:c r="A1378" s="2" t="str">
        <x:v>DE-CMP-01</x:v>
      </x:c>
      <x:c r="B1378" s="2" t="str">
        <x:v>CFG-C01</x:v>
      </x:c>
      <x:c r="C1378" s="2" t="n">
        <x:v>46227.70238086805</x:v>
      </x:c>
      <x:c r="D1378" s="2" t="str">
        <x:v>adaptive</x:v>
      </x:c>
      <x:c r="E1378" s="2" t="str">
        <x:v>variable_noise_floor</x:v>
      </x:c>
      <x:c r="F1378" s="2" t="str">
        <x:v>689</x:v>
      </x:c>
      <x:c r="G1378" s="2" t="str">
        <x:v>3164292</x:v>
      </x:c>
      <x:c r="H1378" s="2" t="str">
        <x:v>2048000.0</x:v>
      </x:c>
      <x:c r="I1378" s="2" t="str">
        <x:v>8192</x:v>
      </x:c>
      <x:c r="J1378" s="2" t="str">
        <x:v>250.0</x:v>
      </x:c>
      <x:c r="K1378" s="2" t="str">
        <x:v>1</x:v>
      </x:c>
      <x:c r="L1378" s="2" t="str">
        <x:v>3</x:v>
      </x:c>
      <x:c r="M1378" s="2" t="str">
        <x:v>1</x:v>
      </x:c>
      <x:c r="N1378" s="2" t="str">
        <x:v>2</x:v>
      </x:c>
      <x:c r="O1378" s="2" t="str">
        <x:v>0</x:v>
      </x:c>
      <x:c r="P1378" s="2" t="str">
        <x:v>true</x:v>
      </x:c>
      <x:c r="Q1378" s="2" t="str">
        <x:v>51.952702325</x:v>
      </x:c>
      <x:c r="R1378" s="2" t="str">
        <x:v>0.4299159918446094</x:v>
      </x:c>
      <x:c r="S1378" s="2" t="str">
        <x:v>45.93244254129532</x:v>
      </x:c>
    </x:row>
    <x:row r="1379">
      <x:c r="A1379" s="2" t="str">
        <x:v>DE-CMP-01</x:v>
      </x:c>
      <x:c r="B1379" s="2" t="str">
        <x:v>CFG-C01</x:v>
      </x:c>
      <x:c r="C1379" s="2" t="n">
        <x:v>46227.70238086805</x:v>
      </x:c>
      <x:c r="D1379" s="2" t="str">
        <x:v>os_cfar</x:v>
      </x:c>
      <x:c r="E1379" s="2" t="str">
        <x:v>variable_noise_floor</x:v>
      </x:c>
      <x:c r="F1379" s="2" t="str">
        <x:v>689</x:v>
      </x:c>
      <x:c r="G1379" s="2" t="str">
        <x:v>3164292</x:v>
      </x:c>
      <x:c r="H1379" s="2" t="str">
        <x:v>2048000.0</x:v>
      </x:c>
      <x:c r="I1379" s="2" t="str">
        <x:v>8192</x:v>
      </x:c>
      <x:c r="J1379" s="2" t="str">
        <x:v>250.0</x:v>
      </x:c>
      <x:c r="K1379" s="2" t="str">
        <x:v>1</x:v>
      </x:c>
      <x:c r="L1379" s="2" t="str">
        <x:v>3</x:v>
      </x:c>
      <x:c r="M1379" s="2" t="str">
        <x:v>1</x:v>
      </x:c>
      <x:c r="N1379" s="2" t="str">
        <x:v>2</x:v>
      </x:c>
      <x:c r="O1379" s="2" t="str">
        <x:v>0</x:v>
      </x:c>
      <x:c r="P1379" s="2" t="str">
        <x:v>true</x:v>
      </x:c>
      <x:c r="Q1379" s="2" t="str">
        <x:v>51.952702325</x:v>
      </x:c>
      <x:c r="R1379" s="2" t="str">
        <x:v>14.017125009559095</x:v>
      </x:c>
      <x:c r="S1379" s="2" t="str">
        <x:v>48.039080946418764</x:v>
      </x:c>
    </x:row>
    <x:row r="1380">
      <x:c r="A1380" s="2" t="str">
        <x:v>DE-CMP-01</x:v>
      </x:c>
      <x:c r="B1380" s="2" t="str">
        <x:v>CFG-C01</x:v>
      </x:c>
      <x:c r="C1380" s="2" t="n">
        <x:v>46227.70238086805</x:v>
      </x:c>
      <x:c r="D1380" s="2" t="str">
        <x:v>os_cfar</x:v>
      </x:c>
      <x:c r="E1380" s="2" t="str">
        <x:v>variable_noise_floor</x:v>
      </x:c>
      <x:c r="F1380" s="2" t="str">
        <x:v>690</x:v>
      </x:c>
      <x:c r="G1380" s="2" t="str">
        <x:v>3164293</x:v>
      </x:c>
      <x:c r="H1380" s="2" t="str">
        <x:v>2048000.0</x:v>
      </x:c>
      <x:c r="I1380" s="2" t="str">
        <x:v>8192</x:v>
      </x:c>
      <x:c r="J1380" s="2" t="str">
        <x:v>250.0</x:v>
      </x:c>
      <x:c r="K1380" s="2" t="str">
        <x:v>1</x:v>
      </x:c>
      <x:c r="L1380" s="2" t="str">
        <x:v>3</x:v>
      </x:c>
      <x:c r="M1380" s="2" t="str">
        <x:v>1</x:v>
      </x:c>
      <x:c r="N1380" s="2" t="str">
        <x:v>2</x:v>
      </x:c>
      <x:c r="O1380" s="2" t="str">
        <x:v>0</x:v>
      </x:c>
      <x:c r="P1380" s="2" t="str">
        <x:v>true</x:v>
      </x:c>
      <x:c r="Q1380" s="2" t="str">
        <x:v>31.997673383</x:v>
      </x:c>
      <x:c r="R1380" s="2" t="str">
        <x:v>13.943333004135638</x:v>
      </x:c>
      <x:c r="S1380" s="2" t="str">
        <x:v>48.419994263542854</x:v>
      </x:c>
    </x:row>
    <x:row r="1381">
      <x:c r="A1381" s="2" t="str">
        <x:v>DE-CMP-01</x:v>
      </x:c>
      <x:c r="B1381" s="2" t="str">
        <x:v>CFG-C01</x:v>
      </x:c>
      <x:c r="C1381" s="2" t="n">
        <x:v>46227.70238086805</x:v>
      </x:c>
      <x:c r="D1381" s="2" t="str">
        <x:v>adaptive</x:v>
      </x:c>
      <x:c r="E1381" s="2" t="str">
        <x:v>variable_noise_floor</x:v>
      </x:c>
      <x:c r="F1381" s="2" t="str">
        <x:v>690</x:v>
      </x:c>
      <x:c r="G1381" s="2" t="str">
        <x:v>3164293</x:v>
      </x:c>
      <x:c r="H1381" s="2" t="str">
        <x:v>2048000.0</x:v>
      </x:c>
      <x:c r="I1381" s="2" t="str">
        <x:v>8192</x:v>
      </x:c>
      <x:c r="J1381" s="2" t="str">
        <x:v>250.0</x:v>
      </x:c>
      <x:c r="K1381" s="2" t="str">
        <x:v>1</x:v>
      </x:c>
      <x:c r="L1381" s="2" t="str">
        <x:v>3</x:v>
      </x:c>
      <x:c r="M1381" s="2" t="str">
        <x:v>1</x:v>
      </x:c>
      <x:c r="N1381" s="2" t="str">
        <x:v>2</x:v>
      </x:c>
      <x:c r="O1381" s="2" t="str">
        <x:v>0</x:v>
      </x:c>
      <x:c r="P1381" s="2" t="str">
        <x:v>true</x:v>
      </x:c>
      <x:c r="Q1381" s="2" t="str">
        <x:v>31.997673383</x:v>
      </x:c>
      <x:c r="R1381" s="2" t="str">
        <x:v>0.421667005866766</x:v>
      </x:c>
      <x:c r="S1381" s="2" t="str">
        <x:v>46.32575951060049</x:v>
      </x:c>
    </x:row>
    <x:row r="1382">
      <x:c r="A1382" s="2" t="str">
        <x:v>DE-CMP-01</x:v>
      </x:c>
      <x:c r="B1382" s="2" t="str">
        <x:v>CFG-C01</x:v>
      </x:c>
      <x:c r="C1382" s="2" t="n">
        <x:v>46227.70238086805</x:v>
      </x:c>
      <x:c r="D1382" s="2" t="str">
        <x:v>adaptive</x:v>
      </x:c>
      <x:c r="E1382" s="2" t="str">
        <x:v>variable_noise_floor</x:v>
      </x:c>
      <x:c r="F1382" s="2" t="str">
        <x:v>691</x:v>
      </x:c>
      <x:c r="G1382" s="2" t="str">
        <x:v>3164294</x:v>
      </x:c>
      <x:c r="H1382" s="2" t="str">
        <x:v>2048000.0</x:v>
      </x:c>
      <x:c r="I1382" s="2" t="str">
        <x:v>8192</x:v>
      </x:c>
      <x:c r="J1382" s="2" t="str">
        <x:v>250.0</x:v>
      </x:c>
      <x:c r="K1382" s="2" t="str">
        <x:v>1</x:v>
      </x:c>
      <x:c r="L1382" s="2" t="str">
        <x:v>3</x:v>
      </x:c>
      <x:c r="M1382" s="2" t="str">
        <x:v>1</x:v>
      </x:c>
      <x:c r="N1382" s="2" t="str">
        <x:v>2</x:v>
      </x:c>
      <x:c r="O1382" s="2" t="str">
        <x:v>0</x:v>
      </x:c>
      <x:c r="P1382" s="2" t="str">
        <x:v>true</x:v>
      </x:c>
      <x:c r="Q1382" s="2" t="str">
        <x:v>-46.754312071</x:v>
      </x:c>
      <x:c r="R1382" s="2" t="str">
        <x:v>0.3888329956680536</x:v>
      </x:c>
      <x:c r="S1382" s="2" t="str">
        <x:v>46.21293923276804</x:v>
      </x:c>
    </x:row>
    <x:row r="1383">
      <x:c r="A1383" s="2" t="str">
        <x:v>DE-CMP-01</x:v>
      </x:c>
      <x:c r="B1383" s="2" t="str">
        <x:v>CFG-C01</x:v>
      </x:c>
      <x:c r="C1383" s="2" t="n">
        <x:v>46227.70238086805</x:v>
      </x:c>
      <x:c r="D1383" s="2" t="str">
        <x:v>os_cfar</x:v>
      </x:c>
      <x:c r="E1383" s="2" t="str">
        <x:v>variable_noise_floor</x:v>
      </x:c>
      <x:c r="F1383" s="2" t="str">
        <x:v>691</x:v>
      </x:c>
      <x:c r="G1383" s="2" t="str">
        <x:v>3164294</x:v>
      </x:c>
      <x:c r="H1383" s="2" t="str">
        <x:v>2048000.0</x:v>
      </x:c>
      <x:c r="I1383" s="2" t="str">
        <x:v>8192</x:v>
      </x:c>
      <x:c r="J1383" s="2" t="str">
        <x:v>250.0</x:v>
      </x:c>
      <x:c r="K1383" s="2" t="str">
        <x:v>1</x:v>
      </x:c>
      <x:c r="L1383" s="2" t="str">
        <x:v>3</x:v>
      </x:c>
      <x:c r="M1383" s="2" t="str">
        <x:v>1</x:v>
      </x:c>
      <x:c r="N1383" s="2" t="str">
        <x:v>2</x:v>
      </x:c>
      <x:c r="O1383" s="2" t="str">
        <x:v>0</x:v>
      </x:c>
      <x:c r="P1383" s="2" t="str">
        <x:v>true</x:v>
      </x:c>
      <x:c r="Q1383" s="2" t="str">
        <x:v>-46.754312071</x:v>
      </x:c>
      <x:c r="R1383" s="2" t="str">
        <x:v>13.644292004755698</x:v>
      </x:c>
      <x:c r="S1383" s="2" t="str">
        <x:v>48.249731418422435</x:v>
      </x:c>
    </x:row>
    <x:row r="1384">
      <x:c r="A1384" s="2" t="str">
        <x:v>DE-CMP-01</x:v>
      </x:c>
      <x:c r="B1384" s="2" t="str">
        <x:v>CFG-C01</x:v>
      </x:c>
      <x:c r="C1384" s="2" t="n">
        <x:v>46227.70238086805</x:v>
      </x:c>
      <x:c r="D1384" s="2" t="str">
        <x:v>os_cfar</x:v>
      </x:c>
      <x:c r="E1384" s="2" t="str">
        <x:v>variable_noise_floor</x:v>
      </x:c>
      <x:c r="F1384" s="2" t="str">
        <x:v>692</x:v>
      </x:c>
      <x:c r="G1384" s="2" t="str">
        <x:v>3164295</x:v>
      </x:c>
      <x:c r="H1384" s="2" t="str">
        <x:v>2048000.0</x:v>
      </x:c>
      <x:c r="I1384" s="2" t="str">
        <x:v>8192</x:v>
      </x:c>
      <x:c r="J1384" s="2" t="str">
        <x:v>250.0</x:v>
      </x:c>
      <x:c r="K1384" s="2" t="str">
        <x:v>1</x:v>
      </x:c>
      <x:c r="L1384" s="2" t="str">
        <x:v>3</x:v>
      </x:c>
      <x:c r="M1384" s="2" t="str">
        <x:v>1</x:v>
      </x:c>
      <x:c r="N1384" s="2" t="str">
        <x:v>2</x:v>
      </x:c>
      <x:c r="O1384" s="2" t="str">
        <x:v>0</x:v>
      </x:c>
      <x:c r="P1384" s="2" t="str">
        <x:v>true</x:v>
      </x:c>
      <x:c r="Q1384" s="2" t="str">
        <x:v>-127.947095245</x:v>
      </x:c>
      <x:c r="R1384" s="2" t="str">
        <x:v>13.961333999759518</x:v>
      </x:c>
      <x:c r="S1384" s="2" t="str">
        <x:v>48.2112605850015</x:v>
      </x:c>
    </x:row>
    <x:row r="1385">
      <x:c r="A1385" s="2" t="str">
        <x:v>DE-CMP-01</x:v>
      </x:c>
      <x:c r="B1385" s="2" t="str">
        <x:v>CFG-C01</x:v>
      </x:c>
      <x:c r="C1385" s="2" t="n">
        <x:v>46227.70238086805</x:v>
      </x:c>
      <x:c r="D1385" s="2" t="str">
        <x:v>adaptive</x:v>
      </x:c>
      <x:c r="E1385" s="2" t="str">
        <x:v>variable_noise_floor</x:v>
      </x:c>
      <x:c r="F1385" s="2" t="str">
        <x:v>692</x:v>
      </x:c>
      <x:c r="G1385" s="2" t="str">
        <x:v>3164295</x:v>
      </x:c>
      <x:c r="H1385" s="2" t="str">
        <x:v>2048000.0</x:v>
      </x:c>
      <x:c r="I1385" s="2" t="str">
        <x:v>8192</x:v>
      </x:c>
      <x:c r="J1385" s="2" t="str">
        <x:v>250.0</x:v>
      </x:c>
      <x:c r="K1385" s="2" t="str">
        <x:v>1</x:v>
      </x:c>
      <x:c r="L1385" s="2" t="str">
        <x:v>3</x:v>
      </x:c>
      <x:c r="M1385" s="2" t="str">
        <x:v>1</x:v>
      </x:c>
      <x:c r="N1385" s="2" t="str">
        <x:v>2</x:v>
      </x:c>
      <x:c r="O1385" s="2" t="str">
        <x:v>0</x:v>
      </x:c>
      <x:c r="P1385" s="2" t="str">
        <x:v>true</x:v>
      </x:c>
      <x:c r="Q1385" s="2" t="str">
        <x:v>-127.947095245</x:v>
      </x:c>
      <x:c r="R1385" s="2" t="str">
        <x:v>0.4374999989522621</x:v>
      </x:c>
      <x:c r="S1385" s="2" t="str">
        <x:v>46.107662190109394</x:v>
      </x:c>
    </x:row>
    <x:row r="1386">
      <x:c r="A1386" s="2" t="str">
        <x:v>DE-CMP-01</x:v>
      </x:c>
      <x:c r="B1386" s="2" t="str">
        <x:v>CFG-C01</x:v>
      </x:c>
      <x:c r="C1386" s="2" t="n">
        <x:v>46227.70238086805</x:v>
      </x:c>
      <x:c r="D1386" s="2" t="str">
        <x:v>adaptive</x:v>
      </x:c>
      <x:c r="E1386" s="2" t="str">
        <x:v>variable_noise_floor</x:v>
      </x:c>
      <x:c r="F1386" s="2" t="str">
        <x:v>693</x:v>
      </x:c>
      <x:c r="G1386" s="2" t="str">
        <x:v>3164296</x:v>
      </x:c>
      <x:c r="H1386" s="2" t="str">
        <x:v>2048000.0</x:v>
      </x:c>
      <x:c r="I1386" s="2" t="str">
        <x:v>8192</x:v>
      </x:c>
      <x:c r="J1386" s="2" t="str">
        <x:v>250.0</x:v>
      </x:c>
      <x:c r="K1386" s="2" t="str">
        <x:v>1</x:v>
      </x:c>
      <x:c r="L1386" s="2" t="str">
        <x:v>3</x:v>
      </x:c>
      <x:c r="M1386" s="2" t="str">
        <x:v>1</x:v>
      </x:c>
      <x:c r="N1386" s="2" t="str">
        <x:v>2</x:v>
      </x:c>
      <x:c r="O1386" s="2" t="str">
        <x:v>0</x:v>
      </x:c>
      <x:c r="P1386" s="2" t="str">
        <x:v>true</x:v>
      </x:c>
      <x:c r="Q1386" s="2" t="str">
        <x:v>-0.940954854</x:v>
      </x:c>
      <x:c r="R1386" s="2" t="str">
        <x:v>0.4293329984648153</x:v>
      </x:c>
      <x:c r="S1386" s="2" t="str">
        <x:v>46.16634054093343</x:v>
      </x:c>
    </x:row>
    <x:row r="1387">
      <x:c r="A1387" s="2" t="str">
        <x:v>DE-CMP-01</x:v>
      </x:c>
      <x:c r="B1387" s="2" t="str">
        <x:v>CFG-C01</x:v>
      </x:c>
      <x:c r="C1387" s="2" t="n">
        <x:v>46227.70238086805</x:v>
      </x:c>
      <x:c r="D1387" s="2" t="str">
        <x:v>os_cfar</x:v>
      </x:c>
      <x:c r="E1387" s="2" t="str">
        <x:v>variable_noise_floor</x:v>
      </x:c>
      <x:c r="F1387" s="2" t="str">
        <x:v>693</x:v>
      </x:c>
      <x:c r="G1387" s="2" t="str">
        <x:v>3164296</x:v>
      </x:c>
      <x:c r="H1387" s="2" t="str">
        <x:v>2048000.0</x:v>
      </x:c>
      <x:c r="I1387" s="2" t="str">
        <x:v>8192</x:v>
      </x:c>
      <x:c r="J1387" s="2" t="str">
        <x:v>250.0</x:v>
      </x:c>
      <x:c r="K1387" s="2" t="str">
        <x:v>1</x:v>
      </x:c>
      <x:c r="L1387" s="2" t="str">
        <x:v>3</x:v>
      </x:c>
      <x:c r="M1387" s="2" t="str">
        <x:v>1</x:v>
      </x:c>
      <x:c r="N1387" s="2" t="str">
        <x:v>2</x:v>
      </x:c>
      <x:c r="O1387" s="2" t="str">
        <x:v>0</x:v>
      </x:c>
      <x:c r="P1387" s="2" t="str">
        <x:v>true</x:v>
      </x:c>
      <x:c r="Q1387" s="2" t="str">
        <x:v>-0.940954854</x:v>
      </x:c>
      <x:c r="R1387" s="2" t="str">
        <x:v>13.910708003095351</x:v>
      </x:c>
      <x:c r="S1387" s="2" t="str">
        <x:v>47.9566712095351</x:v>
      </x:c>
    </x:row>
    <x:row r="1388">
      <x:c r="A1388" s="2" t="str">
        <x:v>DE-CMP-01</x:v>
      </x:c>
      <x:c r="B1388" s="2" t="str">
        <x:v>CFG-C01</x:v>
      </x:c>
      <x:c r="C1388" s="2" t="n">
        <x:v>46227.70238086805</x:v>
      </x:c>
      <x:c r="D1388" s="2" t="str">
        <x:v>os_cfar</x:v>
      </x:c>
      <x:c r="E1388" s="2" t="str">
        <x:v>variable_noise_floor</x:v>
      </x:c>
      <x:c r="F1388" s="2" t="str">
        <x:v>694</x:v>
      </x:c>
      <x:c r="G1388" s="2" t="str">
        <x:v>3164297</x:v>
      </x:c>
      <x:c r="H1388" s="2" t="str">
        <x:v>2048000.0</x:v>
      </x:c>
      <x:c r="I1388" s="2" t="str">
        <x:v>8192</x:v>
      </x:c>
      <x:c r="J1388" s="2" t="str">
        <x:v>250.0</x:v>
      </x:c>
      <x:c r="K1388" s="2" t="str">
        <x:v>1</x:v>
      </x:c>
      <x:c r="L1388" s="2" t="str">
        <x:v>3</x:v>
      </x:c>
      <x:c r="M1388" s="2" t="str">
        <x:v>1</x:v>
      </x:c>
      <x:c r="N1388" s="2" t="str">
        <x:v>2</x:v>
      </x:c>
      <x:c r="O1388" s="2" t="str">
        <x:v>0</x:v>
      </x:c>
      <x:c r="P1388" s="2" t="str">
        <x:v>true</x:v>
      </x:c>
      <x:c r="Q1388" s="2" t="str">
        <x:v>-91.752236374</x:v>
      </x:c>
      <x:c r="R1388" s="2" t="str">
        <x:v>13.929374996223487</x:v>
      </x:c>
      <x:c r="S1388" s="2" t="str">
        <x:v>48.21890509541021</x:v>
      </x:c>
    </x:row>
    <x:row r="1389">
      <x:c r="A1389" s="2" t="str">
        <x:v>DE-CMP-01</x:v>
      </x:c>
      <x:c r="B1389" s="2" t="str">
        <x:v>CFG-C01</x:v>
      </x:c>
      <x:c r="C1389" s="2" t="n">
        <x:v>46227.70238086805</x:v>
      </x:c>
      <x:c r="D1389" s="2" t="str">
        <x:v>adaptive</x:v>
      </x:c>
      <x:c r="E1389" s="2" t="str">
        <x:v>variable_noise_floor</x:v>
      </x:c>
      <x:c r="F1389" s="2" t="str">
        <x:v>694</x:v>
      </x:c>
      <x:c r="G1389" s="2" t="str">
        <x:v>3164297</x:v>
      </x:c>
      <x:c r="H1389" s="2" t="str">
        <x:v>2048000.0</x:v>
      </x:c>
      <x:c r="I1389" s="2" t="str">
        <x:v>8192</x:v>
      </x:c>
      <x:c r="J1389" s="2" t="str">
        <x:v>250.0</x:v>
      </x:c>
      <x:c r="K1389" s="2" t="str">
        <x:v>1</x:v>
      </x:c>
      <x:c r="L1389" s="2" t="str">
        <x:v>3</x:v>
      </x:c>
      <x:c r="M1389" s="2" t="str">
        <x:v>1</x:v>
      </x:c>
      <x:c r="N1389" s="2" t="str">
        <x:v>2</x:v>
      </x:c>
      <x:c r="O1389" s="2" t="str">
        <x:v>0</x:v>
      </x:c>
      <x:c r="P1389" s="2" t="str">
        <x:v>true</x:v>
      </x:c>
      <x:c r="Q1389" s="2" t="str">
        <x:v>-91.752236374</x:v>
      </x:c>
      <x:c r="R1389" s="2" t="str">
        <x:v>0.4551250021904707</x:v>
      </x:c>
      <x:c r="S1389" s="2" t="str">
        <x:v>46.12191221781236</x:v>
      </x:c>
    </x:row>
    <x:row r="1390">
      <x:c r="A1390" s="2" t="str">
        <x:v>DE-CMP-01</x:v>
      </x:c>
      <x:c r="B1390" s="2" t="str">
        <x:v>CFG-C01</x:v>
      </x:c>
      <x:c r="C1390" s="2" t="n">
        <x:v>46227.70238086805</x:v>
      </x:c>
      <x:c r="D1390" s="2" t="str">
        <x:v>adaptive</x:v>
      </x:c>
      <x:c r="E1390" s="2" t="str">
        <x:v>variable_noise_floor</x:v>
      </x:c>
      <x:c r="F1390" s="2" t="str">
        <x:v>695</x:v>
      </x:c>
      <x:c r="G1390" s="2" t="str">
        <x:v>3164298</x:v>
      </x:c>
      <x:c r="H1390" s="2" t="str">
        <x:v>2048000.0</x:v>
      </x:c>
      <x:c r="I1390" s="2" t="str">
        <x:v>8192</x:v>
      </x:c>
      <x:c r="J1390" s="2" t="str">
        <x:v>250.0</x:v>
      </x:c>
      <x:c r="K1390" s="2" t="str">
        <x:v>1</x:v>
      </x:c>
      <x:c r="L1390" s="2" t="str">
        <x:v>3</x:v>
      </x:c>
      <x:c r="M1390" s="2" t="str">
        <x:v>1</x:v>
      </x:c>
      <x:c r="N1390" s="2" t="str">
        <x:v>2</x:v>
      </x:c>
      <x:c r="O1390" s="2" t="str">
        <x:v>0</x:v>
      </x:c>
      <x:c r="P1390" s="2" t="str">
        <x:v>true</x:v>
      </x:c>
      <x:c r="Q1390" s="2" t="str">
        <x:v>-19.461065719</x:v>
      </x:c>
      <x:c r="R1390" s="2" t="str">
        <x:v>0.4337499995017424</x:v>
      </x:c>
      <x:c r="S1390" s="2" t="str">
        <x:v>46.022362697761295</x:v>
      </x:c>
    </x:row>
    <x:row r="1391">
      <x:c r="A1391" s="2" t="str">
        <x:v>DE-CMP-01</x:v>
      </x:c>
      <x:c r="B1391" s="2" t="str">
        <x:v>CFG-C01</x:v>
      </x:c>
      <x:c r="C1391" s="2" t="n">
        <x:v>46227.70238086805</x:v>
      </x:c>
      <x:c r="D1391" s="2" t="str">
        <x:v>os_cfar</x:v>
      </x:c>
      <x:c r="E1391" s="2" t="str">
        <x:v>variable_noise_floor</x:v>
      </x:c>
      <x:c r="F1391" s="2" t="str">
        <x:v>695</x:v>
      </x:c>
      <x:c r="G1391" s="2" t="str">
        <x:v>3164298</x:v>
      </x:c>
      <x:c r="H1391" s="2" t="str">
        <x:v>2048000.0</x:v>
      </x:c>
      <x:c r="I1391" s="2" t="str">
        <x:v>8192</x:v>
      </x:c>
      <x:c r="J1391" s="2" t="str">
        <x:v>250.0</x:v>
      </x:c>
      <x:c r="K1391" s="2" t="str">
        <x:v>1</x:v>
      </x:c>
      <x:c r="L1391" s="2" t="str">
        <x:v>3</x:v>
      </x:c>
      <x:c r="M1391" s="2" t="str">
        <x:v>1</x:v>
      </x:c>
      <x:c r="N1391" s="2" t="str">
        <x:v>2</x:v>
      </x:c>
      <x:c r="O1391" s="2" t="str">
        <x:v>0</x:v>
      </x:c>
      <x:c r="P1391" s="2" t="str">
        <x:v>true</x:v>
      </x:c>
      <x:c r="Q1391" s="2" t="str">
        <x:v>-19.461065719</x:v>
      </x:c>
      <x:c r="R1391" s="2" t="str">
        <x:v>14.114999998128042</x:v>
      </x:c>
      <x:c r="S1391" s="2" t="str">
        <x:v>48.192870609988375</x:v>
      </x:c>
    </x:row>
    <x:row r="1392">
      <x:c r="A1392" s="2" t="str">
        <x:v>DE-CMP-01</x:v>
      </x:c>
      <x:c r="B1392" s="2" t="str">
        <x:v>CFG-C01</x:v>
      </x:c>
      <x:c r="C1392" s="2" t="n">
        <x:v>46227.70238086805</x:v>
      </x:c>
      <x:c r="D1392" s="2" t="str">
        <x:v>os_cfar</x:v>
      </x:c>
      <x:c r="E1392" s="2" t="str">
        <x:v>variable_noise_floor</x:v>
      </x:c>
      <x:c r="F1392" s="2" t="str">
        <x:v>696</x:v>
      </x:c>
      <x:c r="G1392" s="2" t="str">
        <x:v>3164299</x:v>
      </x:c>
      <x:c r="H1392" s="2" t="str">
        <x:v>2048000.0</x:v>
      </x:c>
      <x:c r="I1392" s="2" t="str">
        <x:v>8192</x:v>
      </x:c>
      <x:c r="J1392" s="2" t="str">
        <x:v>250.0</x:v>
      </x:c>
      <x:c r="K1392" s="2" t="str">
        <x:v>1</x:v>
      </x:c>
      <x:c r="L1392" s="2" t="str">
        <x:v>3</x:v>
      </x:c>
      <x:c r="M1392" s="2" t="str">
        <x:v>1</x:v>
      </x:c>
      <x:c r="N1392" s="2" t="str">
        <x:v>2</x:v>
      </x:c>
      <x:c r="O1392" s="2" t="str">
        <x:v>0</x:v>
      </x:c>
      <x:c r="P1392" s="2" t="str">
        <x:v>true</x:v>
      </x:c>
      <x:c r="Q1392" s="2" t="str">
        <x:v>92.060230994</x:v>
      </x:c>
      <x:c r="R1392" s="2" t="str">
        <x:v>14.046541997231543</x:v>
      </x:c>
      <x:c r="S1392" s="2" t="str">
        <x:v>48.35348949726346</x:v>
      </x:c>
    </x:row>
    <x:row r="1393">
      <x:c r="A1393" s="2" t="str">
        <x:v>DE-CMP-01</x:v>
      </x:c>
      <x:c r="B1393" s="2" t="str">
        <x:v>CFG-C01</x:v>
      </x:c>
      <x:c r="C1393" s="2" t="n">
        <x:v>46227.70238086805</x:v>
      </x:c>
      <x:c r="D1393" s="2" t="str">
        <x:v>adaptive</x:v>
      </x:c>
      <x:c r="E1393" s="2" t="str">
        <x:v>variable_noise_floor</x:v>
      </x:c>
      <x:c r="F1393" s="2" t="str">
        <x:v>696</x:v>
      </x:c>
      <x:c r="G1393" s="2" t="str">
        <x:v>3164299</x:v>
      </x:c>
      <x:c r="H1393" s="2" t="str">
        <x:v>2048000.0</x:v>
      </x:c>
      <x:c r="I1393" s="2" t="str">
        <x:v>8192</x:v>
      </x:c>
      <x:c r="J1393" s="2" t="str">
        <x:v>250.0</x:v>
      </x:c>
      <x:c r="K1393" s="2" t="str">
        <x:v>1</x:v>
      </x:c>
      <x:c r="L1393" s="2" t="str">
        <x:v>3</x:v>
      </x:c>
      <x:c r="M1393" s="2" t="str">
        <x:v>1</x:v>
      </x:c>
      <x:c r="N1393" s="2" t="str">
        <x:v>2</x:v>
      </x:c>
      <x:c r="O1393" s="2" t="str">
        <x:v>0</x:v>
      </x:c>
      <x:c r="P1393" s="2" t="str">
        <x:v>true</x:v>
      </x:c>
      <x:c r="Q1393" s="2" t="str">
        <x:v>92.060230994</x:v>
      </x:c>
      <x:c r="R1393" s="2" t="str">
        <x:v>0.4446250095497817</x:v>
      </x:c>
      <x:c r="S1393" s="2" t="str">
        <x:v>46.45289433096199</x:v>
      </x:c>
    </x:row>
    <x:row r="1394">
      <x:c r="A1394" s="2" t="str">
        <x:v>DE-CMP-01</x:v>
      </x:c>
      <x:c r="B1394" s="2" t="str">
        <x:v>CFG-C01</x:v>
      </x:c>
      <x:c r="C1394" s="2" t="n">
        <x:v>46227.70238086805</x:v>
      </x:c>
      <x:c r="D1394" s="2" t="str">
        <x:v>adaptive</x:v>
      </x:c>
      <x:c r="E1394" s="2" t="str">
        <x:v>variable_noise_floor</x:v>
      </x:c>
      <x:c r="F1394" s="2" t="str">
        <x:v>697</x:v>
      </x:c>
      <x:c r="G1394" s="2" t="str">
        <x:v>3164300</x:v>
      </x:c>
      <x:c r="H1394" s="2" t="str">
        <x:v>2048000.0</x:v>
      </x:c>
      <x:c r="I1394" s="2" t="str">
        <x:v>8192</x:v>
      </x:c>
      <x:c r="J1394" s="2" t="str">
        <x:v>250.0</x:v>
      </x:c>
      <x:c r="K1394" s="2" t="str">
        <x:v>1</x:v>
      </x:c>
      <x:c r="L1394" s="2" t="str">
        <x:v>3</x:v>
      </x:c>
      <x:c r="M1394" s="2" t="str">
        <x:v>1</x:v>
      </x:c>
      <x:c r="N1394" s="2" t="str">
        <x:v>2</x:v>
      </x:c>
      <x:c r="O1394" s="2" t="str">
        <x:v>0</x:v>
      </x:c>
      <x:c r="P1394" s="2" t="str">
        <x:v>true</x:v>
      </x:c>
      <x:c r="Q1394" s="2" t="str">
        <x:v>-105.546910788</x:v>
      </x:c>
      <x:c r="R1394" s="2" t="str">
        <x:v>0.4354580014478415</x:v>
      </x:c>
      <x:c r="S1394" s="2" t="str">
        <x:v>46.3633687871382</x:v>
      </x:c>
    </x:row>
    <x:row r="1395">
      <x:c r="A1395" s="2" t="str">
        <x:v>DE-CMP-01</x:v>
      </x:c>
      <x:c r="B1395" s="2" t="str">
        <x:v>CFG-C01</x:v>
      </x:c>
      <x:c r="C1395" s="2" t="n">
        <x:v>46227.70238086805</x:v>
      </x:c>
      <x:c r="D1395" s="2" t="str">
        <x:v>os_cfar</x:v>
      </x:c>
      <x:c r="E1395" s="2" t="str">
        <x:v>variable_noise_floor</x:v>
      </x:c>
      <x:c r="F1395" s="2" t="str">
        <x:v>697</x:v>
      </x:c>
      <x:c r="G1395" s="2" t="str">
        <x:v>3164300</x:v>
      </x:c>
      <x:c r="H1395" s="2" t="str">
        <x:v>2048000.0</x:v>
      </x:c>
      <x:c r="I1395" s="2" t="str">
        <x:v>8192</x:v>
      </x:c>
      <x:c r="J1395" s="2" t="str">
        <x:v>250.0</x:v>
      </x:c>
      <x:c r="K1395" s="2" t="str">
        <x:v>1</x:v>
      </x:c>
      <x:c r="L1395" s="2" t="str">
        <x:v>3</x:v>
      </x:c>
      <x:c r="M1395" s="2" t="str">
        <x:v>1</x:v>
      </x:c>
      <x:c r="N1395" s="2" t="str">
        <x:v>2</x:v>
      </x:c>
      <x:c r="O1395" s="2" t="str">
        <x:v>0</x:v>
      </x:c>
      <x:c r="P1395" s="2" t="str">
        <x:v>true</x:v>
      </x:c>
      <x:c r="Q1395" s="2" t="str">
        <x:v>-105.546910788</x:v>
      </x:c>
      <x:c r="R1395" s="2" t="str">
        <x:v>13.91354200313799</x:v>
      </x:c>
      <x:c r="S1395" s="2" t="str">
        <x:v>48.1150145585437</x:v>
      </x:c>
    </x:row>
    <x:row r="1396">
      <x:c r="A1396" s="2" t="str">
        <x:v>DE-CMP-01</x:v>
      </x:c>
      <x:c r="B1396" s="2" t="str">
        <x:v>CFG-C01</x:v>
      </x:c>
      <x:c r="C1396" s="2" t="n">
        <x:v>46227.70238086805</x:v>
      </x:c>
      <x:c r="D1396" s="2" t="str">
        <x:v>os_cfar</x:v>
      </x:c>
      <x:c r="E1396" s="2" t="str">
        <x:v>variable_noise_floor</x:v>
      </x:c>
      <x:c r="F1396" s="2" t="str">
        <x:v>698</x:v>
      </x:c>
      <x:c r="G1396" s="2" t="str">
        <x:v>3164301</x:v>
      </x:c>
      <x:c r="H1396" s="2" t="str">
        <x:v>2048000.0</x:v>
      </x:c>
      <x:c r="I1396" s="2" t="str">
        <x:v>8192</x:v>
      </x:c>
      <x:c r="J1396" s="2" t="str">
        <x:v>250.0</x:v>
      </x:c>
      <x:c r="K1396" s="2" t="str">
        <x:v>1</x:v>
      </x:c>
      <x:c r="L1396" s="2" t="str">
        <x:v>3</x:v>
      </x:c>
      <x:c r="M1396" s="2" t="str">
        <x:v>1</x:v>
      </x:c>
      <x:c r="N1396" s="2" t="str">
        <x:v>2</x:v>
      </x:c>
      <x:c r="O1396" s="2" t="str">
        <x:v>0</x:v>
      </x:c>
      <x:c r="P1396" s="2" t="str">
        <x:v>true</x:v>
      </x:c>
      <x:c r="Q1396" s="2" t="str">
        <x:v>90.291671801</x:v>
      </x:c>
      <x:c r="R1396" s="2" t="str">
        <x:v>13.7913340004161</x:v>
      </x:c>
      <x:c r="S1396" s="2" t="str">
        <x:v>48.38252062614636</x:v>
      </x:c>
    </x:row>
    <x:row r="1397">
      <x:c r="A1397" s="2" t="str">
        <x:v>DE-CMP-01</x:v>
      </x:c>
      <x:c r="B1397" s="2" t="str">
        <x:v>CFG-C01</x:v>
      </x:c>
      <x:c r="C1397" s="2" t="n">
        <x:v>46227.70238086805</x:v>
      </x:c>
      <x:c r="D1397" s="2" t="str">
        <x:v>adaptive</x:v>
      </x:c>
      <x:c r="E1397" s="2" t="str">
        <x:v>variable_noise_floor</x:v>
      </x:c>
      <x:c r="F1397" s="2" t="str">
        <x:v>698</x:v>
      </x:c>
      <x:c r="G1397" s="2" t="str">
        <x:v>3164301</x:v>
      </x:c>
      <x:c r="H1397" s="2" t="str">
        <x:v>2048000.0</x:v>
      </x:c>
      <x:c r="I1397" s="2" t="str">
        <x:v>8192</x:v>
      </x:c>
      <x:c r="J1397" s="2" t="str">
        <x:v>250.0</x:v>
      </x:c>
      <x:c r="K1397" s="2" t="str">
        <x:v>1</x:v>
      </x:c>
      <x:c r="L1397" s="2" t="str">
        <x:v>3</x:v>
      </x:c>
      <x:c r="M1397" s="2" t="str">
        <x:v>1</x:v>
      </x:c>
      <x:c r="N1397" s="2" t="str">
        <x:v>2</x:v>
      </x:c>
      <x:c r="O1397" s="2" t="str">
        <x:v>0</x:v>
      </x:c>
      <x:c r="P1397" s="2" t="str">
        <x:v>true</x:v>
      </x:c>
      <x:c r="Q1397" s="2" t="str">
        <x:v>90.291671801</x:v>
      </x:c>
      <x:c r="R1397" s="2" t="str">
        <x:v>0.4342909960541874</x:v>
      </x:c>
      <x:c r="S1397" s="2" t="str">
        <x:v>46.08131180531597</x:v>
      </x:c>
    </x:row>
    <x:row r="1398">
      <x:c r="A1398" s="2" t="str">
        <x:v>DE-CMP-01</x:v>
      </x:c>
      <x:c r="B1398" s="2" t="str">
        <x:v>CFG-C01</x:v>
      </x:c>
      <x:c r="C1398" s="2" t="n">
        <x:v>46227.70238086805</x:v>
      </x:c>
      <x:c r="D1398" s="2" t="str">
        <x:v>adaptive</x:v>
      </x:c>
      <x:c r="E1398" s="2" t="str">
        <x:v>variable_noise_floor</x:v>
      </x:c>
      <x:c r="F1398" s="2" t="str">
        <x:v>699</x:v>
      </x:c>
      <x:c r="G1398" s="2" t="str">
        <x:v>3164302</x:v>
      </x:c>
      <x:c r="H1398" s="2" t="str">
        <x:v>2048000.0</x:v>
      </x:c>
      <x:c r="I1398" s="2" t="str">
        <x:v>8192</x:v>
      </x:c>
      <x:c r="J1398" s="2" t="str">
        <x:v>250.0</x:v>
      </x:c>
      <x:c r="K1398" s="2" t="str">
        <x:v>1</x:v>
      </x:c>
      <x:c r="L1398" s="2" t="str">
        <x:v>3</x:v>
      </x:c>
      <x:c r="M1398" s="2" t="str">
        <x:v>1</x:v>
      </x:c>
      <x:c r="N1398" s="2" t="str">
        <x:v>2</x:v>
      </x:c>
      <x:c r="O1398" s="2" t="str">
        <x:v>0</x:v>
      </x:c>
      <x:c r="P1398" s="2" t="str">
        <x:v>true</x:v>
      </x:c>
      <x:c r="Q1398" s="2" t="str">
        <x:v>-39.341333857</x:v>
      </x:c>
      <x:c r="R1398" s="2" t="str">
        <x:v>0.5144999886397272</x:v>
      </x:c>
      <x:c r="S1398" s="2" t="str">
        <x:v>45.871143293801296</x:v>
      </x:c>
    </x:row>
    <x:row r="1399">
      <x:c r="A1399" s="2" t="str">
        <x:v>DE-CMP-01</x:v>
      </x:c>
      <x:c r="B1399" s="2" t="str">
        <x:v>CFG-C01</x:v>
      </x:c>
      <x:c r="C1399" s="2" t="n">
        <x:v>46227.70238086805</x:v>
      </x:c>
      <x:c r="D1399" s="2" t="str">
        <x:v>os_cfar</x:v>
      </x:c>
      <x:c r="E1399" s="2" t="str">
        <x:v>variable_noise_floor</x:v>
      </x:c>
      <x:c r="F1399" s="2" t="str">
        <x:v>699</x:v>
      </x:c>
      <x:c r="G1399" s="2" t="str">
        <x:v>3164302</x:v>
      </x:c>
      <x:c r="H1399" s="2" t="str">
        <x:v>2048000.0</x:v>
      </x:c>
      <x:c r="I1399" s="2" t="str">
        <x:v>8192</x:v>
      </x:c>
      <x:c r="J1399" s="2" t="str">
        <x:v>250.0</x:v>
      </x:c>
      <x:c r="K1399" s="2" t="str">
        <x:v>1</x:v>
      </x:c>
      <x:c r="L1399" s="2" t="str">
        <x:v>3</x:v>
      </x:c>
      <x:c r="M1399" s="2" t="str">
        <x:v>1</x:v>
      </x:c>
      <x:c r="N1399" s="2" t="str">
        <x:v>2</x:v>
      </x:c>
      <x:c r="O1399" s="2" t="str">
        <x:v>0</x:v>
      </x:c>
      <x:c r="P1399" s="2" t="str">
        <x:v>true</x:v>
      </x:c>
      <x:c r="Q1399" s="2" t="str">
        <x:v>-39.341333857</x:v>
      </x:c>
      <x:c r="R1399" s="2" t="str">
        <x:v>13.82216700585559</x:v>
      </x:c>
      <x:c r="S1399" s="2" t="str">
        <x:v>47.92851666237013</x:v>
      </x:c>
    </x:row>
    <x:row r="1400">
      <x:c r="A1400" s="2" t="str">
        <x:v>DE-CMP-01</x:v>
      </x:c>
      <x:c r="B1400" s="2" t="str">
        <x:v>CFG-C01</x:v>
      </x:c>
      <x:c r="C1400" s="2" t="n">
        <x:v>46227.70238086805</x:v>
      </x:c>
      <x:c r="D1400" s="2" t="str">
        <x:v>os_cfar</x:v>
      </x:c>
      <x:c r="E1400" s="2" t="str">
        <x:v>variable_noise_floor</x:v>
      </x:c>
      <x:c r="F1400" s="2" t="str">
        <x:v>700</x:v>
      </x:c>
      <x:c r="G1400" s="2" t="str">
        <x:v>3164303</x:v>
      </x:c>
      <x:c r="H1400" s="2" t="str">
        <x:v>2048000.0</x:v>
      </x:c>
      <x:c r="I1400" s="2" t="str">
        <x:v>8192</x:v>
      </x:c>
      <x:c r="J1400" s="2" t="str">
        <x:v>250.0</x:v>
      </x:c>
      <x:c r="K1400" s="2" t="str">
        <x:v>1</x:v>
      </x:c>
      <x:c r="L1400" s="2" t="str">
        <x:v>3</x:v>
      </x:c>
      <x:c r="M1400" s="2" t="str">
        <x:v>1</x:v>
      </x:c>
      <x:c r="N1400" s="2" t="str">
        <x:v>2</x:v>
      </x:c>
      <x:c r="O1400" s="2" t="str">
        <x:v>0</x:v>
      </x:c>
      <x:c r="P1400" s="2" t="str">
        <x:v>true</x:v>
      </x:c>
      <x:c r="Q1400" s="2" t="str">
        <x:v>-87.843508213</x:v>
      </x:c>
      <x:c r="R1400" s="2" t="str">
        <x:v>13.943416997790337</x:v>
      </x:c>
      <x:c r="S1400" s="2" t="str">
        <x:v>48.08853558636309</x:v>
      </x:c>
    </x:row>
    <x:row r="1401">
      <x:c r="A1401" s="2" t="str">
        <x:v>DE-CMP-01</x:v>
      </x:c>
      <x:c r="B1401" s="2" t="str">
        <x:v>CFG-C01</x:v>
      </x:c>
      <x:c r="C1401" s="2" t="n">
        <x:v>46227.70238086805</x:v>
      </x:c>
      <x:c r="D1401" s="2" t="str">
        <x:v>adaptive</x:v>
      </x:c>
      <x:c r="E1401" s="2" t="str">
        <x:v>variable_noise_floor</x:v>
      </x:c>
      <x:c r="F1401" s="2" t="str">
        <x:v>700</x:v>
      </x:c>
      <x:c r="G1401" s="2" t="str">
        <x:v>3164303</x:v>
      </x:c>
      <x:c r="H1401" s="2" t="str">
        <x:v>2048000.0</x:v>
      </x:c>
      <x:c r="I1401" s="2" t="str">
        <x:v>8192</x:v>
      </x:c>
      <x:c r="J1401" s="2" t="str">
        <x:v>250.0</x:v>
      </x:c>
      <x:c r="K1401" s="2" t="str">
        <x:v>1</x:v>
      </x:c>
      <x:c r="L1401" s="2" t="str">
        <x:v>3</x:v>
      </x:c>
      <x:c r="M1401" s="2" t="str">
        <x:v>1</x:v>
      </x:c>
      <x:c r="N1401" s="2" t="str">
        <x:v>2</x:v>
      </x:c>
      <x:c r="O1401" s="2" t="str">
        <x:v>0</x:v>
      </x:c>
      <x:c r="P1401" s="2" t="str">
        <x:v>true</x:v>
      </x:c>
      <x:c r="Q1401" s="2" t="str">
        <x:v>-87.843508213</x:v>
      </x:c>
      <x:c r="R1401" s="2" t="str">
        <x:v>0.424583995481953</x:v>
      </x:c>
      <x:c r="S1401" s="2" t="str">
        <x:v>46.367957003445255</x:v>
      </x:c>
    </x:row>
    <x:row r="1402">
      <x:c r="A1402" s="2" t="str">
        <x:v>DE-CMP-01</x:v>
      </x:c>
      <x:c r="B1402" s="2" t="str">
        <x:v>CFG-C01</x:v>
      </x:c>
      <x:c r="C1402" s="2" t="n">
        <x:v>46227.70238086805</x:v>
      </x:c>
      <x:c r="D1402" s="2" t="str">
        <x:v>adaptive</x:v>
      </x:c>
      <x:c r="E1402" s="2" t="str">
        <x:v>monte_carlo</x:v>
      </x:c>
      <x:c r="F1402" s="2" t="str">
        <x:v>701</x:v>
      </x:c>
      <x:c r="G1402" s="2" t="str">
        <x:v>3174204</x:v>
      </x:c>
      <x:c r="H1402" s="2" t="str">
        <x:v>2048000.0</x:v>
      </x:c>
      <x:c r="I1402" s="2" t="str">
        <x:v>8192</x:v>
      </x:c>
      <x:c r="J1402" s="2" t="str">
        <x:v>250.0</x:v>
      </x:c>
      <x:c r="K1402" s="2" t="str">
        <x:v>3</x:v>
      </x:c>
      <x:c r="L1402" s="2" t="str">
        <x:v>3</x:v>
      </x:c>
      <x:c r="M1402" s="2" t="str">
        <x:v>3</x:v>
      </x:c>
      <x:c r="N1402" s="2" t="str">
        <x:v>0</x:v>
      </x:c>
      <x:c r="O1402" s="2" t="str">
        <x:v>0</x:v>
      </x:c>
      <x:c r="P1402" s="2" t="str">
        <x:v>false</x:v>
      </x:c>
      <x:c r="Q1402" s="2" t="str">
        <x:v>0.000000000;0.000000000;0.000000000</x:v>
      </x:c>
      <x:c r="R1402" s="2" t="str">
        <x:v>0.40845799958333373</x:v>
      </x:c>
      <x:c r="S1402" s="2" t="str">
        <x:v>46.37608585701305</x:v>
      </x:c>
    </x:row>
    <x:row r="1403">
      <x:c r="A1403" s="2" t="str">
        <x:v>DE-CMP-01</x:v>
      </x:c>
      <x:c r="B1403" s="2" t="str">
        <x:v>CFG-C01</x:v>
      </x:c>
      <x:c r="C1403" s="2" t="n">
        <x:v>46227.70238086805</x:v>
      </x:c>
      <x:c r="D1403" s="2" t="str">
        <x:v>os_cfar</x:v>
      </x:c>
      <x:c r="E1403" s="2" t="str">
        <x:v>monte_carlo</x:v>
      </x:c>
      <x:c r="F1403" s="2" t="str">
        <x:v>701</x:v>
      </x:c>
      <x:c r="G1403" s="2" t="str">
        <x:v>3174204</x:v>
      </x:c>
      <x:c r="H1403" s="2" t="str">
        <x:v>2048000.0</x:v>
      </x:c>
      <x:c r="I1403" s="2" t="str">
        <x:v>8192</x:v>
      </x:c>
      <x:c r="J1403" s="2" t="str">
        <x:v>250.0</x:v>
      </x:c>
      <x:c r="K1403" s="2" t="str">
        <x:v>3</x:v>
      </x:c>
      <x:c r="L1403" s="2" t="str">
        <x:v>3</x:v>
      </x:c>
      <x:c r="M1403" s="2" t="str">
        <x:v>3</x:v>
      </x:c>
      <x:c r="N1403" s="2" t="str">
        <x:v>0</x:v>
      </x:c>
      <x:c r="O1403" s="2" t="str">
        <x:v>0</x:v>
      </x:c>
      <x:c r="P1403" s="2" t="str">
        <x:v>false</x:v>
      </x:c>
      <x:c r="Q1403" s="2" t="str">
        <x:v>0.000000000;0.000000000;0.000000000</x:v>
      </x:c>
      <x:c r="R1403" s="2" t="str">
        <x:v>13.775458006421104</x:v>
      </x:c>
      <x:c r="S1403" s="2" t="str">
        <x:v>48.182693525801454</x:v>
      </x:c>
    </x:row>
    <x:row r="1404">
      <x:c r="A1404" s="2" t="str">
        <x:v>DE-CMP-01</x:v>
      </x:c>
      <x:c r="B1404" s="2" t="str">
        <x:v>CFG-C01</x:v>
      </x:c>
      <x:c r="C1404" s="2" t="n">
        <x:v>46227.70238086805</x:v>
      </x:c>
      <x:c r="D1404" s="2" t="str">
        <x:v>os_cfar</x:v>
      </x:c>
      <x:c r="E1404" s="2" t="str">
        <x:v>monte_carlo</x:v>
      </x:c>
      <x:c r="F1404" s="2" t="str">
        <x:v>702</x:v>
      </x:c>
      <x:c r="G1404" s="2" t="str">
        <x:v>3174205</x:v>
      </x:c>
      <x:c r="H1404" s="2" t="str">
        <x:v>2048000.0</x:v>
      </x:c>
      <x:c r="I1404" s="2" t="str">
        <x:v>8192</x:v>
      </x:c>
      <x:c r="J1404" s="2" t="str">
        <x:v>250.0</x:v>
      </x:c>
      <x:c r="K1404" s="2" t="str">
        <x:v>2</x:v>
      </x:c>
      <x:c r="L1404" s="2" t="str">
        <x:v>3</x:v>
      </x:c>
      <x:c r="M1404" s="2" t="str">
        <x:v>2</x:v>
      </x:c>
      <x:c r="N1404" s="2" t="str">
        <x:v>1</x:v>
      </x:c>
      <x:c r="O1404" s="2" t="str">
        <x:v>0</x:v>
      </x:c>
      <x:c r="P1404" s="2" t="str">
        <x:v>true</x:v>
      </x:c>
      <x:c r="Q1404" s="2" t="str">
        <x:v>0.000000000;0.000000000</x:v>
      </x:c>
      <x:c r="R1404" s="2" t="str">
        <x:v>13.732874998822808</x:v>
      </x:c>
      <x:c r="S1404" s="2" t="str">
        <x:v>48.218945559853594</x:v>
      </x:c>
    </x:row>
    <x:row r="1405">
      <x:c r="A1405" s="2" t="str">
        <x:v>DE-CMP-01</x:v>
      </x:c>
      <x:c r="B1405" s="2" t="str">
        <x:v>CFG-C01</x:v>
      </x:c>
      <x:c r="C1405" s="2" t="n">
        <x:v>46227.70238086805</x:v>
      </x:c>
      <x:c r="D1405" s="2" t="str">
        <x:v>adaptive</x:v>
      </x:c>
      <x:c r="E1405" s="2" t="str">
        <x:v>monte_carlo</x:v>
      </x:c>
      <x:c r="F1405" s="2" t="str">
        <x:v>702</x:v>
      </x:c>
      <x:c r="G1405" s="2" t="str">
        <x:v>3174205</x:v>
      </x:c>
      <x:c r="H1405" s="2" t="str">
        <x:v>2048000.0</x:v>
      </x:c>
      <x:c r="I1405" s="2" t="str">
        <x:v>8192</x:v>
      </x:c>
      <x:c r="J1405" s="2" t="str">
        <x:v>250.0</x:v>
      </x:c>
      <x:c r="K1405" s="2" t="str">
        <x:v>2</x:v>
      </x:c>
      <x:c r="L1405" s="2" t="str">
        <x:v>3</x:v>
      </x:c>
      <x:c r="M1405" s="2" t="str">
        <x:v>2</x:v>
      </x:c>
      <x:c r="N1405" s="2" t="str">
        <x:v>1</x:v>
      </x:c>
      <x:c r="O1405" s="2" t="str">
        <x:v>0</x:v>
      </x:c>
      <x:c r="P1405" s="2" t="str">
        <x:v>true</x:v>
      </x:c>
      <x:c r="Q1405" s="2" t="str">
        <x:v>0.000000000;0.000000000</x:v>
      </x:c>
      <x:c r="R1405" s="2" t="str">
        <x:v>0.4274160019122064</x:v>
      </x:c>
      <x:c r="S1405" s="2" t="str">
        <x:v>46.412885067703606</x:v>
      </x:c>
    </x:row>
    <x:row r="1406">
      <x:c r="A1406" s="2" t="str">
        <x:v>DE-CMP-01</x:v>
      </x:c>
      <x:c r="B1406" s="2" t="str">
        <x:v>CFG-C01</x:v>
      </x:c>
      <x:c r="C1406" s="2" t="n">
        <x:v>46227.70238086805</x:v>
      </x:c>
      <x:c r="D1406" s="2" t="str">
        <x:v>adaptive</x:v>
      </x:c>
      <x:c r="E1406" s="2" t="str">
        <x:v>monte_carlo</x:v>
      </x:c>
      <x:c r="F1406" s="2" t="str">
        <x:v>703</x:v>
      </x:c>
      <x:c r="G1406" s="2" t="str">
        <x:v>3174206</x:v>
      </x:c>
      <x:c r="H1406" s="2" t="str">
        <x:v>2048000.0</x:v>
      </x:c>
      <x:c r="I1406" s="2" t="str">
        <x:v>8192</x:v>
      </x:c>
      <x:c r="J1406" s="2" t="str">
        <x:v>250.0</x:v>
      </x:c>
      <x:c r="K1406" s="2" t="str">
        <x:v>0</x:v>
      </x:c>
      <x:c r="L1406" s="2" t="str">
        <x:v>3</x:v>
      </x:c>
      <x:c r="M1406" s="2" t="str">
        <x:v>0</x:v>
      </x:c>
      <x:c r="N1406" s="2" t="str">
        <x:v>3</x:v>
      </x:c>
      <x:c r="O1406" s="2" t="str">
        <x:v>0</x:v>
      </x:c>
      <x:c r="P1406" s="2" t="str">
        <x:v>true</x:v>
      </x:c>
      <x:c r="Q1406" s="2" t="str">
        <x:v>NA</x:v>
      </x:c>
      <x:c r="R1406" s="2" t="str">
        <x:v>0.41974999476224184</x:v>
      </x:c>
      <x:c r="S1406" s="2" t="str">
        <x:v>46.40945784007612</x:v>
      </x:c>
    </x:row>
    <x:row r="1407">
      <x:c r="A1407" s="2" t="str">
        <x:v>DE-CMP-01</x:v>
      </x:c>
      <x:c r="B1407" s="2" t="str">
        <x:v>CFG-C01</x:v>
      </x:c>
      <x:c r="C1407" s="2" t="n">
        <x:v>46227.70238086805</x:v>
      </x:c>
      <x:c r="D1407" s="2" t="str">
        <x:v>os_cfar</x:v>
      </x:c>
      <x:c r="E1407" s="2" t="str">
        <x:v>monte_carlo</x:v>
      </x:c>
      <x:c r="F1407" s="2" t="str">
        <x:v>703</x:v>
      </x:c>
      <x:c r="G1407" s="2" t="str">
        <x:v>3174206</x:v>
      </x:c>
      <x:c r="H1407" s="2" t="str">
        <x:v>2048000.0</x:v>
      </x:c>
      <x:c r="I1407" s="2" t="str">
        <x:v>8192</x:v>
      </x:c>
      <x:c r="J1407" s="2" t="str">
        <x:v>250.0</x:v>
      </x:c>
      <x:c r="K1407" s="2" t="str">
        <x:v>0</x:v>
      </x:c>
      <x:c r="L1407" s="2" t="str">
        <x:v>3</x:v>
      </x:c>
      <x:c r="M1407" s="2" t="str">
        <x:v>0</x:v>
      </x:c>
      <x:c r="N1407" s="2" t="str">
        <x:v>3</x:v>
      </x:c>
      <x:c r="O1407" s="2" t="str">
        <x:v>0</x:v>
      </x:c>
      <x:c r="P1407" s="2" t="str">
        <x:v>true</x:v>
      </x:c>
      <x:c r="Q1407" s="2" t="str">
        <x:v>NA</x:v>
      </x:c>
      <x:c r="R1407" s="2" t="str">
        <x:v>13.887832988984883</x:v>
      </x:c>
      <x:c r="S1407" s="2" t="str">
        <x:v>48.14990274369807</x:v>
      </x:c>
    </x:row>
    <x:row r="1408">
      <x:c r="A1408" s="2" t="str">
        <x:v>DE-CMP-01</x:v>
      </x:c>
      <x:c r="B1408" s="2" t="str">
        <x:v>CFG-C01</x:v>
      </x:c>
      <x:c r="C1408" s="2" t="n">
        <x:v>46227.70238086805</x:v>
      </x:c>
      <x:c r="D1408" s="2" t="str">
        <x:v>os_cfar</x:v>
      </x:c>
      <x:c r="E1408" s="2" t="str">
        <x:v>monte_carlo</x:v>
      </x:c>
      <x:c r="F1408" s="2" t="str">
        <x:v>704</x:v>
      </x:c>
      <x:c r="G1408" s="2" t="str">
        <x:v>3174207</x:v>
      </x:c>
      <x:c r="H1408" s="2" t="str">
        <x:v>2048000.0</x:v>
      </x:c>
      <x:c r="I1408" s="2" t="str">
        <x:v>8192</x:v>
      </x:c>
      <x:c r="J1408" s="2" t="str">
        <x:v>250.0</x:v>
      </x:c>
      <x:c r="K1408" s="2" t="str">
        <x:v>3</x:v>
      </x:c>
      <x:c r="L1408" s="2" t="str">
        <x:v>3</x:v>
      </x:c>
      <x:c r="M1408" s="2" t="str">
        <x:v>3</x:v>
      </x:c>
      <x:c r="N1408" s="2" t="str">
        <x:v>0</x:v>
      </x:c>
      <x:c r="O1408" s="2" t="str">
        <x:v>0</x:v>
      </x:c>
      <x:c r="P1408" s="2" t="str">
        <x:v>false</x:v>
      </x:c>
      <x:c r="Q1408" s="2" t="str">
        <x:v>0.000000000;0.000000000;0.000000000</x:v>
      </x:c>
      <x:c r="R1408" s="2" t="str">
        <x:v>13.915832998463884</x:v>
      </x:c>
      <x:c r="S1408" s="2" t="str">
        <x:v>48.37595749329018</x:v>
      </x:c>
    </x:row>
    <x:row r="1409">
      <x:c r="A1409" s="2" t="str">
        <x:v>DE-CMP-01</x:v>
      </x:c>
      <x:c r="B1409" s="2" t="str">
        <x:v>CFG-C01</x:v>
      </x:c>
      <x:c r="C1409" s="2" t="n">
        <x:v>46227.70238086805</x:v>
      </x:c>
      <x:c r="D1409" s="2" t="str">
        <x:v>adaptive</x:v>
      </x:c>
      <x:c r="E1409" s="2" t="str">
        <x:v>monte_carlo</x:v>
      </x:c>
      <x:c r="F1409" s="2" t="str">
        <x:v>704</x:v>
      </x:c>
      <x:c r="G1409" s="2" t="str">
        <x:v>3174207</x:v>
      </x:c>
      <x:c r="H1409" s="2" t="str">
        <x:v>2048000.0</x:v>
      </x:c>
      <x:c r="I1409" s="2" t="str">
        <x:v>8192</x:v>
      </x:c>
      <x:c r="J1409" s="2" t="str">
        <x:v>250.0</x:v>
      </x:c>
      <x:c r="K1409" s="2" t="str">
        <x:v>3</x:v>
      </x:c>
      <x:c r="L1409" s="2" t="str">
        <x:v>3</x:v>
      </x:c>
      <x:c r="M1409" s="2" t="str">
        <x:v>3</x:v>
      </x:c>
      <x:c r="N1409" s="2" t="str">
        <x:v>0</x:v>
      </x:c>
      <x:c r="O1409" s="2" t="str">
        <x:v>0</x:v>
      </x:c>
      <x:c r="P1409" s="2" t="str">
        <x:v>false</x:v>
      </x:c>
      <x:c r="Q1409" s="2" t="str">
        <x:v>0.000000000;0.000000000;0.000000000</x:v>
      </x:c>
      <x:c r="R1409" s="2" t="str">
        <x:v>0.3876670089084655</x:v>
      </x:c>
      <x:c r="S1409" s="2" t="str">
        <x:v>46.447367968319085</x:v>
      </x:c>
    </x:row>
    <x:row r="1410">
      <x:c r="A1410" s="2" t="str">
        <x:v>DE-CMP-01</x:v>
      </x:c>
      <x:c r="B1410" s="2" t="str">
        <x:v>CFG-C01</x:v>
      </x:c>
      <x:c r="C1410" s="2" t="n">
        <x:v>46227.70238086805</x:v>
      </x:c>
      <x:c r="D1410" s="2" t="str">
        <x:v>adaptive</x:v>
      </x:c>
      <x:c r="E1410" s="2" t="str">
        <x:v>monte_carlo</x:v>
      </x:c>
      <x:c r="F1410" s="2" t="str">
        <x:v>705</x:v>
      </x:c>
      <x:c r="G1410" s="2" t="str">
        <x:v>3174208</x:v>
      </x:c>
      <x:c r="H1410" s="2" t="str">
        <x:v>2048000.0</x:v>
      </x:c>
      <x:c r="I1410" s="2" t="str">
        <x:v>8192</x:v>
      </x:c>
      <x:c r="J1410" s="2" t="str">
        <x:v>250.0</x:v>
      </x:c>
      <x:c r="K1410" s="2" t="str">
        <x:v>3</x:v>
      </x:c>
      <x:c r="L1410" s="2" t="str">
        <x:v>3</x:v>
      </x:c>
      <x:c r="M1410" s="2" t="str">
        <x:v>3</x:v>
      </x:c>
      <x:c r="N1410" s="2" t="str">
        <x:v>0</x:v>
      </x:c>
      <x:c r="O1410" s="2" t="str">
        <x:v>0</x:v>
      </x:c>
      <x:c r="P1410" s="2" t="str">
        <x:v>false</x:v>
      </x:c>
      <x:c r="Q1410" s="2" t="str">
        <x:v>0.000000000;0.000000000;0.000000000</x:v>
      </x:c>
      <x:c r="R1410" s="2" t="str">
        <x:v>0.39149999793153256</x:v>
      </x:c>
      <x:c r="S1410" s="2" t="str">
        <x:v>46.41551621263012</x:v>
      </x:c>
    </x:row>
    <x:row r="1411">
      <x:c r="A1411" s="2" t="str">
        <x:v>DE-CMP-01</x:v>
      </x:c>
      <x:c r="B1411" s="2" t="str">
        <x:v>CFG-C01</x:v>
      </x:c>
      <x:c r="C1411" s="2" t="n">
        <x:v>46227.70238086805</x:v>
      </x:c>
      <x:c r="D1411" s="2" t="str">
        <x:v>os_cfar</x:v>
      </x:c>
      <x:c r="E1411" s="2" t="str">
        <x:v>monte_carlo</x:v>
      </x:c>
      <x:c r="F1411" s="2" t="str">
        <x:v>705</x:v>
      </x:c>
      <x:c r="G1411" s="2" t="str">
        <x:v>3174208</x:v>
      </x:c>
      <x:c r="H1411" s="2" t="str">
        <x:v>2048000.0</x:v>
      </x:c>
      <x:c r="I1411" s="2" t="str">
        <x:v>8192</x:v>
      </x:c>
      <x:c r="J1411" s="2" t="str">
        <x:v>250.0</x:v>
      </x:c>
      <x:c r="K1411" s="2" t="str">
        <x:v>3</x:v>
      </x:c>
      <x:c r="L1411" s="2" t="str">
        <x:v>3</x:v>
      </x:c>
      <x:c r="M1411" s="2" t="str">
        <x:v>3</x:v>
      </x:c>
      <x:c r="N1411" s="2" t="str">
        <x:v>0</x:v>
      </x:c>
      <x:c r="O1411" s="2" t="str">
        <x:v>0</x:v>
      </x:c>
      <x:c r="P1411" s="2" t="str">
        <x:v>false</x:v>
      </x:c>
      <x:c r="Q1411" s="2" t="str">
        <x:v>0.000000000;0.000000000;0.000000000</x:v>
      </x:c>
      <x:c r="R1411" s="2" t="str">
        <x:v>13.785290997475386</x:v>
      </x:c>
      <x:c r="S1411" s="2" t="str">
        <x:v>48.20323646230698</x:v>
      </x:c>
    </x:row>
    <x:row r="1412">
      <x:c r="A1412" s="2" t="str">
        <x:v>DE-CMP-01</x:v>
      </x:c>
      <x:c r="B1412" s="2" t="str">
        <x:v>CFG-C01</x:v>
      </x:c>
      <x:c r="C1412" s="2" t="n">
        <x:v>46227.70238086805</x:v>
      </x:c>
      <x:c r="D1412" s="2" t="str">
        <x:v>os_cfar</x:v>
      </x:c>
      <x:c r="E1412" s="2" t="str">
        <x:v>monte_carlo</x:v>
      </x:c>
      <x:c r="F1412" s="2" t="str">
        <x:v>706</x:v>
      </x:c>
      <x:c r="G1412" s="2" t="str">
        <x:v>3174209</x:v>
      </x:c>
      <x:c r="H1412" s="2" t="str">
        <x:v>2048000.0</x:v>
      </x:c>
      <x:c r="I1412" s="2" t="str">
        <x:v>8192</x:v>
      </x:c>
      <x:c r="J1412" s="2" t="str">
        <x:v>250.0</x:v>
      </x:c>
      <x:c r="K1412" s="2" t="str">
        <x:v>1</x:v>
      </x:c>
      <x:c r="L1412" s="2" t="str">
        <x:v>3</x:v>
      </x:c>
      <x:c r="M1412" s="2" t="str">
        <x:v>1</x:v>
      </x:c>
      <x:c r="N1412" s="2" t="str">
        <x:v>2</x:v>
      </x:c>
      <x:c r="O1412" s="2" t="str">
        <x:v>0</x:v>
      </x:c>
      <x:c r="P1412" s="2" t="str">
        <x:v>true</x:v>
      </x:c>
      <x:c r="Q1412" s="2" t="str">
        <x:v>0.000000000</x:v>
      </x:c>
      <x:c r="R1412" s="2" t="str">
        <x:v>13.739458998315968</x:v>
      </x:c>
      <x:c r="S1412" s="2" t="str">
        <x:v>48.14906598292873</x:v>
      </x:c>
    </x:row>
    <x:row r="1413">
      <x:c r="A1413" s="2" t="str">
        <x:v>DE-CMP-01</x:v>
      </x:c>
      <x:c r="B1413" s="2" t="str">
        <x:v>CFG-C01</x:v>
      </x:c>
      <x:c r="C1413" s="2" t="n">
        <x:v>46227.70238086805</x:v>
      </x:c>
      <x:c r="D1413" s="2" t="str">
        <x:v>adaptive</x:v>
      </x:c>
      <x:c r="E1413" s="2" t="str">
        <x:v>monte_carlo</x:v>
      </x:c>
      <x:c r="F1413" s="2" t="str">
        <x:v>706</x:v>
      </x:c>
      <x:c r="G1413" s="2" t="str">
        <x:v>3174209</x:v>
      </x:c>
      <x:c r="H1413" s="2" t="str">
        <x:v>2048000.0</x:v>
      </x:c>
      <x:c r="I1413" s="2" t="str">
        <x:v>8192</x:v>
      </x:c>
      <x:c r="J1413" s="2" t="str">
        <x:v>250.0</x:v>
      </x:c>
      <x:c r="K1413" s="2" t="str">
        <x:v>1</x:v>
      </x:c>
      <x:c r="L1413" s="2" t="str">
        <x:v>3</x:v>
      </x:c>
      <x:c r="M1413" s="2" t="str">
        <x:v>1</x:v>
      </x:c>
      <x:c r="N1413" s="2" t="str">
        <x:v>2</x:v>
      </x:c>
      <x:c r="O1413" s="2" t="str">
        <x:v>0</x:v>
      </x:c>
      <x:c r="P1413" s="2" t="str">
        <x:v>true</x:v>
      </x:c>
      <x:c r="Q1413" s="2" t="str">
        <x:v>0.000000000</x:v>
      </x:c>
      <x:c r="R1413" s="2" t="str">
        <x:v>0.4360830062068999</x:v>
      </x:c>
      <x:c r="S1413" s="2" t="str">
        <x:v>46.28846887160553</x:v>
      </x:c>
    </x:row>
    <x:row r="1414">
      <x:c r="A1414" s="2" t="str">
        <x:v>DE-CMP-01</x:v>
      </x:c>
      <x:c r="B1414" s="2" t="str">
        <x:v>CFG-C01</x:v>
      </x:c>
      <x:c r="C1414" s="2" t="n">
        <x:v>46227.70238086805</x:v>
      </x:c>
      <x:c r="D1414" s="2" t="str">
        <x:v>adaptive</x:v>
      </x:c>
      <x:c r="E1414" s="2" t="str">
        <x:v>monte_carlo</x:v>
      </x:c>
      <x:c r="F1414" s="2" t="str">
        <x:v>707</x:v>
      </x:c>
      <x:c r="G1414" s="2" t="str">
        <x:v>3174210</x:v>
      </x:c>
      <x:c r="H1414" s="2" t="str">
        <x:v>2048000.0</x:v>
      </x:c>
      <x:c r="I1414" s="2" t="str">
        <x:v>8192</x:v>
      </x:c>
      <x:c r="J1414" s="2" t="str">
        <x:v>250.0</x:v>
      </x:c>
      <x:c r="K1414" s="2" t="str">
        <x:v>1</x:v>
      </x:c>
      <x:c r="L1414" s="2" t="str">
        <x:v>3</x:v>
      </x:c>
      <x:c r="M1414" s="2" t="str">
        <x:v>1</x:v>
      </x:c>
      <x:c r="N1414" s="2" t="str">
        <x:v>2</x:v>
      </x:c>
      <x:c r="O1414" s="2" t="str">
        <x:v>0</x:v>
      </x:c>
      <x:c r="P1414" s="2" t="str">
        <x:v>true</x:v>
      </x:c>
      <x:c r="Q1414" s="2" t="str">
        <x:v>0.000000000</x:v>
      </x:c>
      <x:c r="R1414" s="2" t="str">
        <x:v>0.4122079990338534</x:v>
      </x:c>
      <x:c r="S1414" s="2" t="str">
        <x:v>46.63640263637583</x:v>
      </x:c>
    </x:row>
    <x:row r="1415">
      <x:c r="A1415" s="2" t="str">
        <x:v>DE-CMP-01</x:v>
      </x:c>
      <x:c r="B1415" s="2" t="str">
        <x:v>CFG-C01</x:v>
      </x:c>
      <x:c r="C1415" s="2" t="n">
        <x:v>46227.70238086805</x:v>
      </x:c>
      <x:c r="D1415" s="2" t="str">
        <x:v>os_cfar</x:v>
      </x:c>
      <x:c r="E1415" s="2" t="str">
        <x:v>monte_carlo</x:v>
      </x:c>
      <x:c r="F1415" s="2" t="str">
        <x:v>707</x:v>
      </x:c>
      <x:c r="G1415" s="2" t="str">
        <x:v>3174210</x:v>
      </x:c>
      <x:c r="H1415" s="2" t="str">
        <x:v>2048000.0</x:v>
      </x:c>
      <x:c r="I1415" s="2" t="str">
        <x:v>8192</x:v>
      </x:c>
      <x:c r="J1415" s="2" t="str">
        <x:v>250.0</x:v>
      </x:c>
      <x:c r="K1415" s="2" t="str">
        <x:v>1</x:v>
      </x:c>
      <x:c r="L1415" s="2" t="str">
        <x:v>3</x:v>
      </x:c>
      <x:c r="M1415" s="2" t="str">
        <x:v>1</x:v>
      </x:c>
      <x:c r="N1415" s="2" t="str">
        <x:v>2</x:v>
      </x:c>
      <x:c r="O1415" s="2" t="str">
        <x:v>0</x:v>
      </x:c>
      <x:c r="P1415" s="2" t="str">
        <x:v>true</x:v>
      </x:c>
      <x:c r="Q1415" s="2" t="str">
        <x:v>0.000000000</x:v>
      </x:c>
      <x:c r="R1415" s="2" t="str">
        <x:v>13.543125009164214</x:v>
      </x:c>
      <x:c r="S1415" s="2" t="str">
        <x:v>48.1948585124512</x:v>
      </x:c>
    </x:row>
    <x:row r="1416">
      <x:c r="A1416" s="2" t="str">
        <x:v>DE-CMP-01</x:v>
      </x:c>
      <x:c r="B1416" s="2" t="str">
        <x:v>CFG-C01</x:v>
      </x:c>
      <x:c r="C1416" s="2" t="n">
        <x:v>46227.70238086805</x:v>
      </x:c>
      <x:c r="D1416" s="2" t="str">
        <x:v>os_cfar</x:v>
      </x:c>
      <x:c r="E1416" s="2" t="str">
        <x:v>monte_carlo</x:v>
      </x:c>
      <x:c r="F1416" s="2" t="str">
        <x:v>708</x:v>
      </x:c>
      <x:c r="G1416" s="2" t="str">
        <x:v>3174211</x:v>
      </x:c>
      <x:c r="H1416" s="2" t="str">
        <x:v>2048000.0</x:v>
      </x:c>
      <x:c r="I1416" s="2" t="str">
        <x:v>8192</x:v>
      </x:c>
      <x:c r="J1416" s="2" t="str">
        <x:v>250.0</x:v>
      </x:c>
      <x:c r="K1416" s="2" t="str">
        <x:v>0</x:v>
      </x:c>
      <x:c r="L1416" s="2" t="str">
        <x:v>3</x:v>
      </x:c>
      <x:c r="M1416" s="2" t="str">
        <x:v>0</x:v>
      </x:c>
      <x:c r="N1416" s="2" t="str">
        <x:v>3</x:v>
      </x:c>
      <x:c r="O1416" s="2" t="str">
        <x:v>0</x:v>
      </x:c>
      <x:c r="P1416" s="2" t="str">
        <x:v>true</x:v>
      </x:c>
      <x:c r="Q1416" s="2" t="str">
        <x:v>NA</x:v>
      </x:c>
      <x:c r="R1416" s="2" t="str">
        <x:v>13.751457998296246</x:v>
      </x:c>
      <x:c r="S1416" s="2" t="str">
        <x:v>48.31789231964461</x:v>
      </x:c>
    </x:row>
    <x:row r="1417">
      <x:c r="A1417" s="2" t="str">
        <x:v>DE-CMP-01</x:v>
      </x:c>
      <x:c r="B1417" s="2" t="str">
        <x:v>CFG-C01</x:v>
      </x:c>
      <x:c r="C1417" s="2" t="n">
        <x:v>46227.70238086805</x:v>
      </x:c>
      <x:c r="D1417" s="2" t="str">
        <x:v>adaptive</x:v>
      </x:c>
      <x:c r="E1417" s="2" t="str">
        <x:v>monte_carlo</x:v>
      </x:c>
      <x:c r="F1417" s="2" t="str">
        <x:v>708</x:v>
      </x:c>
      <x:c r="G1417" s="2" t="str">
        <x:v>3174211</x:v>
      </x:c>
      <x:c r="H1417" s="2" t="str">
        <x:v>2048000.0</x:v>
      </x:c>
      <x:c r="I1417" s="2" t="str">
        <x:v>8192</x:v>
      </x:c>
      <x:c r="J1417" s="2" t="str">
        <x:v>250.0</x:v>
      </x:c>
      <x:c r="K1417" s="2" t="str">
        <x:v>0</x:v>
      </x:c>
      <x:c r="L1417" s="2" t="str">
        <x:v>3</x:v>
      </x:c>
      <x:c r="M1417" s="2" t="str">
        <x:v>0</x:v>
      </x:c>
      <x:c r="N1417" s="2" t="str">
        <x:v>3</x:v>
      </x:c>
      <x:c r="O1417" s="2" t="str">
        <x:v>0</x:v>
      </x:c>
      <x:c r="P1417" s="2" t="str">
        <x:v>true</x:v>
      </x:c>
      <x:c r="Q1417" s="2" t="str">
        <x:v>NA</x:v>
      </x:c>
      <x:c r="R1417" s="2" t="str">
        <x:v>0.4173330089543015</x:v>
      </x:c>
      <x:c r="S1417" s="2" t="str">
        <x:v>46.423971201089046</x:v>
      </x:c>
    </x:row>
    <x:row r="1418">
      <x:c r="A1418" s="2" t="str">
        <x:v>DE-CMP-01</x:v>
      </x:c>
      <x:c r="B1418" s="2" t="str">
        <x:v>CFG-C01</x:v>
      </x:c>
      <x:c r="C1418" s="2" t="n">
        <x:v>46227.70238086805</x:v>
      </x:c>
      <x:c r="D1418" s="2" t="str">
        <x:v>adaptive</x:v>
      </x:c>
      <x:c r="E1418" s="2" t="str">
        <x:v>monte_carlo</x:v>
      </x:c>
      <x:c r="F1418" s="2" t="str">
        <x:v>709</x:v>
      </x:c>
      <x:c r="G1418" s="2" t="str">
        <x:v>3174212</x:v>
      </x:c>
      <x:c r="H1418" s="2" t="str">
        <x:v>2048000.0</x:v>
      </x:c>
      <x:c r="I1418" s="2" t="str">
        <x:v>8192</x:v>
      </x:c>
      <x:c r="J1418" s="2" t="str">
        <x:v>250.0</x:v>
      </x:c>
      <x:c r="K1418" s="2" t="str">
        <x:v>0</x:v>
      </x:c>
      <x:c r="L1418" s="2" t="str">
        <x:v>3</x:v>
      </x:c>
      <x:c r="M1418" s="2" t="str">
        <x:v>0</x:v>
      </x:c>
      <x:c r="N1418" s="2" t="str">
        <x:v>3</x:v>
      </x:c>
      <x:c r="O1418" s="2" t="str">
        <x:v>0</x:v>
      </x:c>
      <x:c r="P1418" s="2" t="str">
        <x:v>true</x:v>
      </x:c>
      <x:c r="Q1418" s="2" t="str">
        <x:v>NA</x:v>
      </x:c>
      <x:c r="R1418" s="2" t="str">
        <x:v>0.4152080073254183</x:v>
      </x:c>
      <x:c r="S1418" s="2" t="str">
        <x:v>46.16404532251786</x:v>
      </x:c>
    </x:row>
    <x:row r="1419">
      <x:c r="A1419" s="2" t="str">
        <x:v>DE-CMP-01</x:v>
      </x:c>
      <x:c r="B1419" s="2" t="str">
        <x:v>CFG-C01</x:v>
      </x:c>
      <x:c r="C1419" s="2" t="n">
        <x:v>46227.70238086805</x:v>
      </x:c>
      <x:c r="D1419" s="2" t="str">
        <x:v>os_cfar</x:v>
      </x:c>
      <x:c r="E1419" s="2" t="str">
        <x:v>monte_carlo</x:v>
      </x:c>
      <x:c r="F1419" s="2" t="str">
        <x:v>709</x:v>
      </x:c>
      <x:c r="G1419" s="2" t="str">
        <x:v>3174212</x:v>
      </x:c>
      <x:c r="H1419" s="2" t="str">
        <x:v>2048000.0</x:v>
      </x:c>
      <x:c r="I1419" s="2" t="str">
        <x:v>8192</x:v>
      </x:c>
      <x:c r="J1419" s="2" t="str">
        <x:v>250.0</x:v>
      </x:c>
      <x:c r="K1419" s="2" t="str">
        <x:v>0</x:v>
      </x:c>
      <x:c r="L1419" s="2" t="str">
        <x:v>3</x:v>
      </x:c>
      <x:c r="M1419" s="2" t="str">
        <x:v>0</x:v>
      </x:c>
      <x:c r="N1419" s="2" t="str">
        <x:v>3</x:v>
      </x:c>
      <x:c r="O1419" s="2" t="str">
        <x:v>0</x:v>
      </x:c>
      <x:c r="P1419" s="2" t="str">
        <x:v>true</x:v>
      </x:c>
      <x:c r="Q1419" s="2" t="str">
        <x:v>NA</x:v>
      </x:c>
      <x:c r="R1419" s="2" t="str">
        <x:v>13.65637501294259</x:v>
      </x:c>
      <x:c r="S1419" s="2" t="str">
        <x:v>48.059000819459186</x:v>
      </x:c>
    </x:row>
    <x:row r="1420">
      <x:c r="A1420" s="2" t="str">
        <x:v>DE-CMP-01</x:v>
      </x:c>
      <x:c r="B1420" s="2" t="str">
        <x:v>CFG-C01</x:v>
      </x:c>
      <x:c r="C1420" s="2" t="n">
        <x:v>46227.70238086805</x:v>
      </x:c>
      <x:c r="D1420" s="2" t="str">
        <x:v>os_cfar</x:v>
      </x:c>
      <x:c r="E1420" s="2" t="str">
        <x:v>monte_carlo</x:v>
      </x:c>
      <x:c r="F1420" s="2" t="str">
        <x:v>710</x:v>
      </x:c>
      <x:c r="G1420" s="2" t="str">
        <x:v>3174213</x:v>
      </x:c>
      <x:c r="H1420" s="2" t="str">
        <x:v>2048000.0</x:v>
      </x:c>
      <x:c r="I1420" s="2" t="str">
        <x:v>8192</x:v>
      </x:c>
      <x:c r="J1420" s="2" t="str">
        <x:v>250.0</x:v>
      </x:c>
      <x:c r="K1420" s="2" t="str">
        <x:v>0</x:v>
      </x:c>
      <x:c r="L1420" s="2" t="str">
        <x:v>3</x:v>
      </x:c>
      <x:c r="M1420" s="2" t="str">
        <x:v>0</x:v>
      </x:c>
      <x:c r="N1420" s="2" t="str">
        <x:v>3</x:v>
      </x:c>
      <x:c r="O1420" s="2" t="str">
        <x:v>0</x:v>
      </x:c>
      <x:c r="P1420" s="2" t="str">
        <x:v>true</x:v>
      </x:c>
      <x:c r="Q1420" s="2" t="str">
        <x:v>NA</x:v>
      </x:c>
      <x:c r="R1420" s="2" t="str">
        <x:v>13.7806660059141</x:v>
      </x:c>
      <x:c r="S1420" s="2" t="str">
        <x:v>48.300624081622345</x:v>
      </x:c>
    </x:row>
    <x:row r="1421">
      <x:c r="A1421" s="2" t="str">
        <x:v>DE-CMP-01</x:v>
      </x:c>
      <x:c r="B1421" s="2" t="str">
        <x:v>CFG-C01</x:v>
      </x:c>
      <x:c r="C1421" s="2" t="n">
        <x:v>46227.70238086805</x:v>
      </x:c>
      <x:c r="D1421" s="2" t="str">
        <x:v>adaptive</x:v>
      </x:c>
      <x:c r="E1421" s="2" t="str">
        <x:v>monte_carlo</x:v>
      </x:c>
      <x:c r="F1421" s="2" t="str">
        <x:v>710</x:v>
      </x:c>
      <x:c r="G1421" s="2" t="str">
        <x:v>3174213</x:v>
      </x:c>
      <x:c r="H1421" s="2" t="str">
        <x:v>2048000.0</x:v>
      </x:c>
      <x:c r="I1421" s="2" t="str">
        <x:v>8192</x:v>
      </x:c>
      <x:c r="J1421" s="2" t="str">
        <x:v>250.0</x:v>
      </x:c>
      <x:c r="K1421" s="2" t="str">
        <x:v>0</x:v>
      </x:c>
      <x:c r="L1421" s="2" t="str">
        <x:v>3</x:v>
      </x:c>
      <x:c r="M1421" s="2" t="str">
        <x:v>0</x:v>
      </x:c>
      <x:c r="N1421" s="2" t="str">
        <x:v>3</x:v>
      </x:c>
      <x:c r="O1421" s="2" t="str">
        <x:v>0</x:v>
      </x:c>
      <x:c r="P1421" s="2" t="str">
        <x:v>true</x:v>
      </x:c>
      <x:c r="Q1421" s="2" t="str">
        <x:v>NA</x:v>
      </x:c>
      <x:c r="R1421" s="2" t="str">
        <x:v>0.39116700645536184</x:v>
      </x:c>
      <x:c r="S1421" s="2" t="str">
        <x:v>46.463344947192695</x:v>
      </x:c>
    </x:row>
    <x:row r="1422">
      <x:c r="A1422" s="2" t="str">
        <x:v>DE-CMP-01</x:v>
      </x:c>
      <x:c r="B1422" s="2" t="str">
        <x:v>CFG-C01</x:v>
      </x:c>
      <x:c r="C1422" s="2" t="n">
        <x:v>46227.70238086805</x:v>
      </x:c>
      <x:c r="D1422" s="2" t="str">
        <x:v>adaptive</x:v>
      </x:c>
      <x:c r="E1422" s="2" t="str">
        <x:v>monte_carlo</x:v>
      </x:c>
      <x:c r="F1422" s="2" t="str">
        <x:v>711</x:v>
      </x:c>
      <x:c r="G1422" s="2" t="str">
        <x:v>3174214</x:v>
      </x:c>
      <x:c r="H1422" s="2" t="str">
        <x:v>2048000.0</x:v>
      </x:c>
      <x:c r="I1422" s="2" t="str">
        <x:v>8192</x:v>
      </x:c>
      <x:c r="J1422" s="2" t="str">
        <x:v>250.0</x:v>
      </x:c>
      <x:c r="K1422" s="2" t="str">
        <x:v>1</x:v>
      </x:c>
      <x:c r="L1422" s="2" t="str">
        <x:v>3</x:v>
      </x:c>
      <x:c r="M1422" s="2" t="str">
        <x:v>1</x:v>
      </x:c>
      <x:c r="N1422" s="2" t="str">
        <x:v>2</x:v>
      </x:c>
      <x:c r="O1422" s="2" t="str">
        <x:v>0</x:v>
      </x:c>
      <x:c r="P1422" s="2" t="str">
        <x:v>true</x:v>
      </x:c>
      <x:c r="Q1422" s="2" t="str">
        <x:v>0.000000000</x:v>
      </x:c>
      <x:c r="R1422" s="2" t="str">
        <x:v>0.4170419997535646</x:v>
      </x:c>
      <x:c r="S1422" s="2" t="str">
        <x:v>46.37773150479055</x:v>
      </x:c>
    </x:row>
    <x:row r="1423">
      <x:c r="A1423" s="2" t="str">
        <x:v>DE-CMP-01</x:v>
      </x:c>
      <x:c r="B1423" s="2" t="str">
        <x:v>CFG-C01</x:v>
      </x:c>
      <x:c r="C1423" s="2" t="n">
        <x:v>46227.70238086805</x:v>
      </x:c>
      <x:c r="D1423" s="2" t="str">
        <x:v>os_cfar</x:v>
      </x:c>
      <x:c r="E1423" s="2" t="str">
        <x:v>monte_carlo</x:v>
      </x:c>
      <x:c r="F1423" s="2" t="str">
        <x:v>711</x:v>
      </x:c>
      <x:c r="G1423" s="2" t="str">
        <x:v>3174214</x:v>
      </x:c>
      <x:c r="H1423" s="2" t="str">
        <x:v>2048000.0</x:v>
      </x:c>
      <x:c r="I1423" s="2" t="str">
        <x:v>8192</x:v>
      </x:c>
      <x:c r="J1423" s="2" t="str">
        <x:v>250.0</x:v>
      </x:c>
      <x:c r="K1423" s="2" t="str">
        <x:v>1</x:v>
      </x:c>
      <x:c r="L1423" s="2" t="str">
        <x:v>3</x:v>
      </x:c>
      <x:c r="M1423" s="2" t="str">
        <x:v>1</x:v>
      </x:c>
      <x:c r="N1423" s="2" t="str">
        <x:v>2</x:v>
      </x:c>
      <x:c r="O1423" s="2" t="str">
        <x:v>0</x:v>
      </x:c>
      <x:c r="P1423" s="2" t="str">
        <x:v>true</x:v>
      </x:c>
      <x:c r="Q1423" s="2" t="str">
        <x:v>0.000000000</x:v>
      </x:c>
      <x:c r="R1423" s="2" t="str">
        <x:v>13.538792001781985</x:v>
      </x:c>
      <x:c r="S1423" s="2" t="str">
        <x:v>48.265253712583316</x:v>
      </x:c>
    </x:row>
    <x:row r="1424">
      <x:c r="A1424" s="2" t="str">
        <x:v>DE-CMP-01</x:v>
      </x:c>
      <x:c r="B1424" s="2" t="str">
        <x:v>CFG-C01</x:v>
      </x:c>
      <x:c r="C1424" s="2" t="n">
        <x:v>46227.70238086805</x:v>
      </x:c>
      <x:c r="D1424" s="2" t="str">
        <x:v>os_cfar</x:v>
      </x:c>
      <x:c r="E1424" s="2" t="str">
        <x:v>monte_carlo</x:v>
      </x:c>
      <x:c r="F1424" s="2" t="str">
        <x:v>712</x:v>
      </x:c>
      <x:c r="G1424" s="2" t="str">
        <x:v>3174215</x:v>
      </x:c>
      <x:c r="H1424" s="2" t="str">
        <x:v>2048000.0</x:v>
      </x:c>
      <x:c r="I1424" s="2" t="str">
        <x:v>8192</x:v>
      </x:c>
      <x:c r="J1424" s="2" t="str">
        <x:v>250.0</x:v>
      </x:c>
      <x:c r="K1424" s="2" t="str">
        <x:v>0</x:v>
      </x:c>
      <x:c r="L1424" s="2" t="str">
        <x:v>3</x:v>
      </x:c>
      <x:c r="M1424" s="2" t="str">
        <x:v>0</x:v>
      </x:c>
      <x:c r="N1424" s="2" t="str">
        <x:v>3</x:v>
      </x:c>
      <x:c r="O1424" s="2" t="str">
        <x:v>0</x:v>
      </x:c>
      <x:c r="P1424" s="2" t="str">
        <x:v>true</x:v>
      </x:c>
      <x:c r="Q1424" s="2" t="str">
        <x:v>NA</x:v>
      </x:c>
      <x:c r="R1424" s="2" t="str">
        <x:v>13.618083001347259</x:v>
      </x:c>
      <x:c r="S1424" s="2" t="str">
        <x:v>48.18617845586114</x:v>
      </x:c>
    </x:row>
    <x:row r="1425">
      <x:c r="A1425" s="2" t="str">
        <x:v>DE-CMP-01</x:v>
      </x:c>
      <x:c r="B1425" s="2" t="str">
        <x:v>CFG-C01</x:v>
      </x:c>
      <x:c r="C1425" s="2" t="n">
        <x:v>46227.70238086805</x:v>
      </x:c>
      <x:c r="D1425" s="2" t="str">
        <x:v>adaptive</x:v>
      </x:c>
      <x:c r="E1425" s="2" t="str">
        <x:v>monte_carlo</x:v>
      </x:c>
      <x:c r="F1425" s="2" t="str">
        <x:v>712</x:v>
      </x:c>
      <x:c r="G1425" s="2" t="str">
        <x:v>3174215</x:v>
      </x:c>
      <x:c r="H1425" s="2" t="str">
        <x:v>2048000.0</x:v>
      </x:c>
      <x:c r="I1425" s="2" t="str">
        <x:v>8192</x:v>
      </x:c>
      <x:c r="J1425" s="2" t="str">
        <x:v>250.0</x:v>
      </x:c>
      <x:c r="K1425" s="2" t="str">
        <x:v>0</x:v>
      </x:c>
      <x:c r="L1425" s="2" t="str">
        <x:v>3</x:v>
      </x:c>
      <x:c r="M1425" s="2" t="str">
        <x:v>0</x:v>
      </x:c>
      <x:c r="N1425" s="2" t="str">
        <x:v>3</x:v>
      </x:c>
      <x:c r="O1425" s="2" t="str">
        <x:v>0</x:v>
      </x:c>
      <x:c r="P1425" s="2" t="str">
        <x:v>true</x:v>
      </x:c>
      <x:c r="Q1425" s="2" t="str">
        <x:v>NA</x:v>
      </x:c>
      <x:c r="R1425" s="2" t="str">
        <x:v>0.43420899601187557</x:v>
      </x:c>
      <x:c r="S1425" s="2" t="str">
        <x:v>46.30977830374765</x:v>
      </x:c>
    </x:row>
    <x:row r="1426">
      <x:c r="A1426" s="2" t="str">
        <x:v>DE-CMP-01</x:v>
      </x:c>
      <x:c r="B1426" s="2" t="str">
        <x:v>CFG-C01</x:v>
      </x:c>
      <x:c r="C1426" s="2" t="n">
        <x:v>46227.70238086805</x:v>
      </x:c>
      <x:c r="D1426" s="2" t="str">
        <x:v>adaptive</x:v>
      </x:c>
      <x:c r="E1426" s="2" t="str">
        <x:v>monte_carlo</x:v>
      </x:c>
      <x:c r="F1426" s="2" t="str">
        <x:v>713</x:v>
      </x:c>
      <x:c r="G1426" s="2" t="str">
        <x:v>3174216</x:v>
      </x:c>
      <x:c r="H1426" s="2" t="str">
        <x:v>2048000.0</x:v>
      </x:c>
      <x:c r="I1426" s="2" t="str">
        <x:v>8192</x:v>
      </x:c>
      <x:c r="J1426" s="2" t="str">
        <x:v>250.0</x:v>
      </x:c>
      <x:c r="K1426" s="2" t="str">
        <x:v>3</x:v>
      </x:c>
      <x:c r="L1426" s="2" t="str">
        <x:v>3</x:v>
      </x:c>
      <x:c r="M1426" s="2" t="str">
        <x:v>3</x:v>
      </x:c>
      <x:c r="N1426" s="2" t="str">
        <x:v>0</x:v>
      </x:c>
      <x:c r="O1426" s="2" t="str">
        <x:v>0</x:v>
      </x:c>
      <x:c r="P1426" s="2" t="str">
        <x:v>false</x:v>
      </x:c>
      <x:c r="Q1426" s="2" t="str">
        <x:v>0.000000000;0.000000000;0.000000000</x:v>
      </x:c>
      <x:c r="R1426" s="2" t="str">
        <x:v>0.4457909963093698</x:v>
      </x:c>
      <x:c r="S1426" s="2" t="str">
        <x:v>46.48932518446882</x:v>
      </x:c>
    </x:row>
    <x:row r="1427">
      <x:c r="A1427" s="2" t="str">
        <x:v>DE-CMP-01</x:v>
      </x:c>
      <x:c r="B1427" s="2" t="str">
        <x:v>CFG-C01</x:v>
      </x:c>
      <x:c r="C1427" s="2" t="n">
        <x:v>46227.70238086805</x:v>
      </x:c>
      <x:c r="D1427" s="2" t="str">
        <x:v>os_cfar</x:v>
      </x:c>
      <x:c r="E1427" s="2" t="str">
        <x:v>monte_carlo</x:v>
      </x:c>
      <x:c r="F1427" s="2" t="str">
        <x:v>713</x:v>
      </x:c>
      <x:c r="G1427" s="2" t="str">
        <x:v>3174216</x:v>
      </x:c>
      <x:c r="H1427" s="2" t="str">
        <x:v>2048000.0</x:v>
      </x:c>
      <x:c r="I1427" s="2" t="str">
        <x:v>8192</x:v>
      </x:c>
      <x:c r="J1427" s="2" t="str">
        <x:v>250.0</x:v>
      </x:c>
      <x:c r="K1427" s="2" t="str">
        <x:v>3</x:v>
      </x:c>
      <x:c r="L1427" s="2" t="str">
        <x:v>3</x:v>
      </x:c>
      <x:c r="M1427" s="2" t="str">
        <x:v>3</x:v>
      </x:c>
      <x:c r="N1427" s="2" t="str">
        <x:v>0</x:v>
      </x:c>
      <x:c r="O1427" s="2" t="str">
        <x:v>0</x:v>
      </x:c>
      <x:c r="P1427" s="2" t="str">
        <x:v>false</x:v>
      </x:c>
      <x:c r="Q1427" s="2" t="str">
        <x:v>0.000000000;0.000000000;0.000000000</x:v>
      </x:c>
      <x:c r="R1427" s="2" t="str">
        <x:v>13.379666997934692</x:v>
      </x:c>
      <x:c r="S1427" s="2" t="str">
        <x:v>48.306714660710284</x:v>
      </x:c>
    </x:row>
    <x:row r="1428">
      <x:c r="A1428" s="2" t="str">
        <x:v>DE-CMP-01</x:v>
      </x:c>
      <x:c r="B1428" s="2" t="str">
        <x:v>CFG-C01</x:v>
      </x:c>
      <x:c r="C1428" s="2" t="n">
        <x:v>46227.70238086805</x:v>
      </x:c>
      <x:c r="D1428" s="2" t="str">
        <x:v>os_cfar</x:v>
      </x:c>
      <x:c r="E1428" s="2" t="str">
        <x:v>monte_carlo</x:v>
      </x:c>
      <x:c r="F1428" s="2" t="str">
        <x:v>714</x:v>
      </x:c>
      <x:c r="G1428" s="2" t="str">
        <x:v>3174217</x:v>
      </x:c>
      <x:c r="H1428" s="2" t="str">
        <x:v>2048000.0</x:v>
      </x:c>
      <x:c r="I1428" s="2" t="str">
        <x:v>8192</x:v>
      </x:c>
      <x:c r="J1428" s="2" t="str">
        <x:v>250.0</x:v>
      </x:c>
      <x:c r="K1428" s="2" t="str">
        <x:v>0</x:v>
      </x:c>
      <x:c r="L1428" s="2" t="str">
        <x:v>3</x:v>
      </x:c>
      <x:c r="M1428" s="2" t="str">
        <x:v>0</x:v>
      </x:c>
      <x:c r="N1428" s="2" t="str">
        <x:v>3</x:v>
      </x:c>
      <x:c r="O1428" s="2" t="str">
        <x:v>0</x:v>
      </x:c>
      <x:c r="P1428" s="2" t="str">
        <x:v>true</x:v>
      </x:c>
      <x:c r="Q1428" s="2" t="str">
        <x:v>NA</x:v>
      </x:c>
      <x:c r="R1428" s="2" t="str">
        <x:v>13.563374988734722</x:v>
      </x:c>
      <x:c r="S1428" s="2" t="str">
        <x:v>48.23099607417213</x:v>
      </x:c>
    </x:row>
    <x:row r="1429">
      <x:c r="A1429" s="2" t="str">
        <x:v>DE-CMP-01</x:v>
      </x:c>
      <x:c r="B1429" s="2" t="str">
        <x:v>CFG-C01</x:v>
      </x:c>
      <x:c r="C1429" s="2" t="n">
        <x:v>46227.70238086805</x:v>
      </x:c>
      <x:c r="D1429" s="2" t="str">
        <x:v>adaptive</x:v>
      </x:c>
      <x:c r="E1429" s="2" t="str">
        <x:v>monte_carlo</x:v>
      </x:c>
      <x:c r="F1429" s="2" t="str">
        <x:v>714</x:v>
      </x:c>
      <x:c r="G1429" s="2" t="str">
        <x:v>3174217</x:v>
      </x:c>
      <x:c r="H1429" s="2" t="str">
        <x:v>2048000.0</x:v>
      </x:c>
      <x:c r="I1429" s="2" t="str">
        <x:v>8192</x:v>
      </x:c>
      <x:c r="J1429" s="2" t="str">
        <x:v>250.0</x:v>
      </x:c>
      <x:c r="K1429" s="2" t="str">
        <x:v>0</x:v>
      </x:c>
      <x:c r="L1429" s="2" t="str">
        <x:v>3</x:v>
      </x:c>
      <x:c r="M1429" s="2" t="str">
        <x:v>0</x:v>
      </x:c>
      <x:c r="N1429" s="2" t="str">
        <x:v>3</x:v>
      </x:c>
      <x:c r="O1429" s="2" t="str">
        <x:v>0</x:v>
      </x:c>
      <x:c r="P1429" s="2" t="str">
        <x:v>true</x:v>
      </x:c>
      <x:c r="Q1429" s="2" t="str">
        <x:v>NA</x:v>
      </x:c>
      <x:c r="R1429" s="2" t="str">
        <x:v>0.41774999408517033</x:v>
      </x:c>
      <x:c r="S1429" s="2" t="str">
        <x:v>46.4158357980912</x:v>
      </x:c>
    </x:row>
    <x:row r="1430">
      <x:c r="A1430" s="2" t="str">
        <x:v>DE-CMP-01</x:v>
      </x:c>
      <x:c r="B1430" s="2" t="str">
        <x:v>CFG-C01</x:v>
      </x:c>
      <x:c r="C1430" s="2" t="n">
        <x:v>46227.70238086805</x:v>
      </x:c>
      <x:c r="D1430" s="2" t="str">
        <x:v>adaptive</x:v>
      </x:c>
      <x:c r="E1430" s="2" t="str">
        <x:v>monte_carlo</x:v>
      </x:c>
      <x:c r="F1430" s="2" t="str">
        <x:v>715</x:v>
      </x:c>
      <x:c r="G1430" s="2" t="str">
        <x:v>3174218</x:v>
      </x:c>
      <x:c r="H1430" s="2" t="str">
        <x:v>2048000.0</x:v>
      </x:c>
      <x:c r="I1430" s="2" t="str">
        <x:v>8192</x:v>
      </x:c>
      <x:c r="J1430" s="2" t="str">
        <x:v>250.0</x:v>
      </x:c>
      <x:c r="K1430" s="2" t="str">
        <x:v>0</x:v>
      </x:c>
      <x:c r="L1430" s="2" t="str">
        <x:v>3</x:v>
      </x:c>
      <x:c r="M1430" s="2" t="str">
        <x:v>0</x:v>
      </x:c>
      <x:c r="N1430" s="2" t="str">
        <x:v>3</x:v>
      </x:c>
      <x:c r="O1430" s="2" t="str">
        <x:v>0</x:v>
      </x:c>
      <x:c r="P1430" s="2" t="str">
        <x:v>true</x:v>
      </x:c>
      <x:c r="Q1430" s="2" t="str">
        <x:v>NA</x:v>
      </x:c>
      <x:c r="R1430" s="2" t="str">
        <x:v>0.414249996538274</x:v>
      </x:c>
      <x:c r="S1430" s="2" t="str">
        <x:v>46.37738174546045</x:v>
      </x:c>
    </x:row>
    <x:row r="1431">
      <x:c r="A1431" s="2" t="str">
        <x:v>DE-CMP-01</x:v>
      </x:c>
      <x:c r="B1431" s="2" t="str">
        <x:v>CFG-C01</x:v>
      </x:c>
      <x:c r="C1431" s="2" t="n">
        <x:v>46227.70238086805</x:v>
      </x:c>
      <x:c r="D1431" s="2" t="str">
        <x:v>os_cfar</x:v>
      </x:c>
      <x:c r="E1431" s="2" t="str">
        <x:v>monte_carlo</x:v>
      </x:c>
      <x:c r="F1431" s="2" t="str">
        <x:v>715</x:v>
      </x:c>
      <x:c r="G1431" s="2" t="str">
        <x:v>3174218</x:v>
      </x:c>
      <x:c r="H1431" s="2" t="str">
        <x:v>2048000.0</x:v>
      </x:c>
      <x:c r="I1431" s="2" t="str">
        <x:v>8192</x:v>
      </x:c>
      <x:c r="J1431" s="2" t="str">
        <x:v>250.0</x:v>
      </x:c>
      <x:c r="K1431" s="2" t="str">
        <x:v>0</x:v>
      </x:c>
      <x:c r="L1431" s="2" t="str">
        <x:v>3</x:v>
      </x:c>
      <x:c r="M1431" s="2" t="str">
        <x:v>0</x:v>
      </x:c>
      <x:c r="N1431" s="2" t="str">
        <x:v>3</x:v>
      </x:c>
      <x:c r="O1431" s="2" t="str">
        <x:v>0</x:v>
      </x:c>
      <x:c r="P1431" s="2" t="str">
        <x:v>true</x:v>
      </x:c>
      <x:c r="Q1431" s="2" t="str">
        <x:v>NA</x:v>
      </x:c>
      <x:c r="R1431" s="2" t="str">
        <x:v>13.745707998168655</x:v>
      </x:c>
      <x:c r="S1431" s="2" t="str">
        <x:v>48.072698692543995</x:v>
      </x:c>
    </x:row>
    <x:row r="1432">
      <x:c r="A1432" s="2" t="str">
        <x:v>DE-CMP-01</x:v>
      </x:c>
      <x:c r="B1432" s="2" t="str">
        <x:v>CFG-C01</x:v>
      </x:c>
      <x:c r="C1432" s="2" t="n">
        <x:v>46227.70238086805</x:v>
      </x:c>
      <x:c r="D1432" s="2" t="str">
        <x:v>os_cfar</x:v>
      </x:c>
      <x:c r="E1432" s="2" t="str">
        <x:v>monte_carlo</x:v>
      </x:c>
      <x:c r="F1432" s="2" t="str">
        <x:v>716</x:v>
      </x:c>
      <x:c r="G1432" s="2" t="str">
        <x:v>3174219</x:v>
      </x:c>
      <x:c r="H1432" s="2" t="str">
        <x:v>2048000.0</x:v>
      </x:c>
      <x:c r="I1432" s="2" t="str">
        <x:v>8192</x:v>
      </x:c>
      <x:c r="J1432" s="2" t="str">
        <x:v>250.0</x:v>
      </x:c>
      <x:c r="K1432" s="2" t="str">
        <x:v>0</x:v>
      </x:c>
      <x:c r="L1432" s="2" t="str">
        <x:v>3</x:v>
      </x:c>
      <x:c r="M1432" s="2" t="str">
        <x:v>0</x:v>
      </x:c>
      <x:c r="N1432" s="2" t="str">
        <x:v>3</x:v>
      </x:c>
      <x:c r="O1432" s="2" t="str">
        <x:v>0</x:v>
      </x:c>
      <x:c r="P1432" s="2" t="str">
        <x:v>true</x:v>
      </x:c>
      <x:c r="Q1432" s="2" t="str">
        <x:v>NA</x:v>
      </x:c>
      <x:c r="R1432" s="2" t="str">
        <x:v>13.487958000041544</x:v>
      </x:c>
      <x:c r="S1432" s="2" t="str">
        <x:v>48.04700950693074</x:v>
      </x:c>
    </x:row>
    <x:row r="1433">
      <x:c r="A1433" s="2" t="str">
        <x:v>DE-CMP-01</x:v>
      </x:c>
      <x:c r="B1433" s="2" t="str">
        <x:v>CFG-C01</x:v>
      </x:c>
      <x:c r="C1433" s="2" t="n">
        <x:v>46227.70238086805</x:v>
      </x:c>
      <x:c r="D1433" s="2" t="str">
        <x:v>adaptive</x:v>
      </x:c>
      <x:c r="E1433" s="2" t="str">
        <x:v>monte_carlo</x:v>
      </x:c>
      <x:c r="F1433" s="2" t="str">
        <x:v>716</x:v>
      </x:c>
      <x:c r="G1433" s="2" t="str">
        <x:v>3174219</x:v>
      </x:c>
      <x:c r="H1433" s="2" t="str">
        <x:v>2048000.0</x:v>
      </x:c>
      <x:c r="I1433" s="2" t="str">
        <x:v>8192</x:v>
      </x:c>
      <x:c r="J1433" s="2" t="str">
        <x:v>250.0</x:v>
      </x:c>
      <x:c r="K1433" s="2" t="str">
        <x:v>0</x:v>
      </x:c>
      <x:c r="L1433" s="2" t="str">
        <x:v>3</x:v>
      </x:c>
      <x:c r="M1433" s="2" t="str">
        <x:v>0</x:v>
      </x:c>
      <x:c r="N1433" s="2" t="str">
        <x:v>3</x:v>
      </x:c>
      <x:c r="O1433" s="2" t="str">
        <x:v>0</x:v>
      </x:c>
      <x:c r="P1433" s="2" t="str">
        <x:v>true</x:v>
      </x:c>
      <x:c r="Q1433" s="2" t="str">
        <x:v>NA</x:v>
      </x:c>
      <x:c r="R1433" s="2" t="str">
        <x:v>0.42366600246168673</x:v>
      </x:c>
      <x:c r="S1433" s="2" t="str">
        <x:v>46.325631007278446</x:v>
      </x:c>
    </x:row>
    <x:row r="1434">
      <x:c r="A1434" s="2" t="str">
        <x:v>DE-CMP-01</x:v>
      </x:c>
      <x:c r="B1434" s="2" t="str">
        <x:v>CFG-C01</x:v>
      </x:c>
      <x:c r="C1434" s="2" t="n">
        <x:v>46227.70238086805</x:v>
      </x:c>
      <x:c r="D1434" s="2" t="str">
        <x:v>adaptive</x:v>
      </x:c>
      <x:c r="E1434" s="2" t="str">
        <x:v>monte_carlo</x:v>
      </x:c>
      <x:c r="F1434" s="2" t="str">
        <x:v>717</x:v>
      </x:c>
      <x:c r="G1434" s="2" t="str">
        <x:v>3174220</x:v>
      </x:c>
      <x:c r="H1434" s="2" t="str">
        <x:v>2048000.0</x:v>
      </x:c>
      <x:c r="I1434" s="2" t="str">
        <x:v>8192</x:v>
      </x:c>
      <x:c r="J1434" s="2" t="str">
        <x:v>250.0</x:v>
      </x:c>
      <x:c r="K1434" s="2" t="str">
        <x:v>3</x:v>
      </x:c>
      <x:c r="L1434" s="2" t="str">
        <x:v>3</x:v>
      </x:c>
      <x:c r="M1434" s="2" t="str">
        <x:v>3</x:v>
      </x:c>
      <x:c r="N1434" s="2" t="str">
        <x:v>0</x:v>
      </x:c>
      <x:c r="O1434" s="2" t="str">
        <x:v>0</x:v>
      </x:c>
      <x:c r="P1434" s="2" t="str">
        <x:v>false</x:v>
      </x:c>
      <x:c r="Q1434" s="2" t="str">
        <x:v>0.000000000;0.000000000;0.000000000</x:v>
      </x:c>
      <x:c r="R1434" s="2" t="str">
        <x:v>0.41649999911896884</x:v>
      </x:c>
      <x:c r="S1434" s="2" t="str">
        <x:v>46.404269006574616</x:v>
      </x:c>
    </x:row>
    <x:row r="1435">
      <x:c r="A1435" s="2" t="str">
        <x:v>DE-CMP-01</x:v>
      </x:c>
      <x:c r="B1435" s="2" t="str">
        <x:v>CFG-C01</x:v>
      </x:c>
      <x:c r="C1435" s="2" t="n">
        <x:v>46227.70238086805</x:v>
      </x:c>
      <x:c r="D1435" s="2" t="str">
        <x:v>os_cfar</x:v>
      </x:c>
      <x:c r="E1435" s="2" t="str">
        <x:v>monte_carlo</x:v>
      </x:c>
      <x:c r="F1435" s="2" t="str">
        <x:v>717</x:v>
      </x:c>
      <x:c r="G1435" s="2" t="str">
        <x:v>3174220</x:v>
      </x:c>
      <x:c r="H1435" s="2" t="str">
        <x:v>2048000.0</x:v>
      </x:c>
      <x:c r="I1435" s="2" t="str">
        <x:v>8192</x:v>
      </x:c>
      <x:c r="J1435" s="2" t="str">
        <x:v>250.0</x:v>
      </x:c>
      <x:c r="K1435" s="2" t="str">
        <x:v>3</x:v>
      </x:c>
      <x:c r="L1435" s="2" t="str">
        <x:v>3</x:v>
      </x:c>
      <x:c r="M1435" s="2" t="str">
        <x:v>3</x:v>
      </x:c>
      <x:c r="N1435" s="2" t="str">
        <x:v>0</x:v>
      </x:c>
      <x:c r="O1435" s="2" t="str">
        <x:v>0</x:v>
      </x:c>
      <x:c r="P1435" s="2" t="str">
        <x:v>false</x:v>
      </x:c>
      <x:c r="Q1435" s="2" t="str">
        <x:v>0.000000000;0.000000000;0.000000000</x:v>
      </x:c>
      <x:c r="R1435" s="2" t="str">
        <x:v>13.50570798967965</x:v>
      </x:c>
      <x:c r="S1435" s="2" t="str">
        <x:v>48.23367452294228</x:v>
      </x:c>
    </x:row>
    <x:row r="1436">
      <x:c r="A1436" s="2" t="str">
        <x:v>DE-CMP-01</x:v>
      </x:c>
      <x:c r="B1436" s="2" t="str">
        <x:v>CFG-C01</x:v>
      </x:c>
      <x:c r="C1436" s="2" t="n">
        <x:v>46227.70238086805</x:v>
      </x:c>
      <x:c r="D1436" s="2" t="str">
        <x:v>os_cfar</x:v>
      </x:c>
      <x:c r="E1436" s="2" t="str">
        <x:v>monte_carlo</x:v>
      </x:c>
      <x:c r="F1436" s="2" t="str">
        <x:v>718</x:v>
      </x:c>
      <x:c r="G1436" s="2" t="str">
        <x:v>3174221</x:v>
      </x:c>
      <x:c r="H1436" s="2" t="str">
        <x:v>2048000.0</x:v>
      </x:c>
      <x:c r="I1436" s="2" t="str">
        <x:v>8192</x:v>
      </x:c>
      <x:c r="J1436" s="2" t="str">
        <x:v>250.0</x:v>
      </x:c>
      <x:c r="K1436" s="2" t="str">
        <x:v>2</x:v>
      </x:c>
      <x:c r="L1436" s="2" t="str">
        <x:v>3</x:v>
      </x:c>
      <x:c r="M1436" s="2" t="str">
        <x:v>2</x:v>
      </x:c>
      <x:c r="N1436" s="2" t="str">
        <x:v>1</x:v>
      </x:c>
      <x:c r="O1436" s="2" t="str">
        <x:v>0</x:v>
      </x:c>
      <x:c r="P1436" s="2" t="str">
        <x:v>true</x:v>
      </x:c>
      <x:c r="Q1436" s="2" t="str">
        <x:v>0.000000000;0.000000000</x:v>
      </x:c>
      <x:c r="R1436" s="2" t="str">
        <x:v>13.60529099474661</x:v>
      </x:c>
      <x:c r="S1436" s="2" t="str">
        <x:v>48.262839107480424</x:v>
      </x:c>
    </x:row>
    <x:row r="1437">
      <x:c r="A1437" s="2" t="str">
        <x:v>DE-CMP-01</x:v>
      </x:c>
      <x:c r="B1437" s="2" t="str">
        <x:v>CFG-C01</x:v>
      </x:c>
      <x:c r="C1437" s="2" t="n">
        <x:v>46227.70238086805</x:v>
      </x:c>
      <x:c r="D1437" s="2" t="str">
        <x:v>adaptive</x:v>
      </x:c>
      <x:c r="E1437" s="2" t="str">
        <x:v>monte_carlo</x:v>
      </x:c>
      <x:c r="F1437" s="2" t="str">
        <x:v>718</x:v>
      </x:c>
      <x:c r="G1437" s="2" t="str">
        <x:v>3174221</x:v>
      </x:c>
      <x:c r="H1437" s="2" t="str">
        <x:v>2048000.0</x:v>
      </x:c>
      <x:c r="I1437" s="2" t="str">
        <x:v>8192</x:v>
      </x:c>
      <x:c r="J1437" s="2" t="str">
        <x:v>250.0</x:v>
      </x:c>
      <x:c r="K1437" s="2" t="str">
        <x:v>2</x:v>
      </x:c>
      <x:c r="L1437" s="2" t="str">
        <x:v>3</x:v>
      </x:c>
      <x:c r="M1437" s="2" t="str">
        <x:v>2</x:v>
      </x:c>
      <x:c r="N1437" s="2" t="str">
        <x:v>1</x:v>
      </x:c>
      <x:c r="O1437" s="2" t="str">
        <x:v>0</x:v>
      </x:c>
      <x:c r="P1437" s="2" t="str">
        <x:v>true</x:v>
      </x:c>
      <x:c r="Q1437" s="2" t="str">
        <x:v>0.000000000;0.000000000</x:v>
      </x:c>
      <x:c r="R1437" s="2" t="str">
        <x:v>0.43737499800045043</x:v>
      </x:c>
      <x:c r="S1437" s="2" t="str">
        <x:v>46.39653049806398</x:v>
      </x:c>
    </x:row>
    <x:row r="1438">
      <x:c r="A1438" s="2" t="str">
        <x:v>DE-CMP-01</x:v>
      </x:c>
      <x:c r="B1438" s="2" t="str">
        <x:v>CFG-C01</x:v>
      </x:c>
      <x:c r="C1438" s="2" t="n">
        <x:v>46227.70238086805</x:v>
      </x:c>
      <x:c r="D1438" s="2" t="str">
        <x:v>adaptive</x:v>
      </x:c>
      <x:c r="E1438" s="2" t="str">
        <x:v>monte_carlo</x:v>
      </x:c>
      <x:c r="F1438" s="2" t="str">
        <x:v>719</x:v>
      </x:c>
      <x:c r="G1438" s="2" t="str">
        <x:v>3174222</x:v>
      </x:c>
      <x:c r="H1438" s="2" t="str">
        <x:v>2048000.0</x:v>
      </x:c>
      <x:c r="I1438" s="2" t="str">
        <x:v>8192</x:v>
      </x:c>
      <x:c r="J1438" s="2" t="str">
        <x:v>250.0</x:v>
      </x:c>
      <x:c r="K1438" s="2" t="str">
        <x:v>0</x:v>
      </x:c>
      <x:c r="L1438" s="2" t="str">
        <x:v>3</x:v>
      </x:c>
      <x:c r="M1438" s="2" t="str">
        <x:v>0</x:v>
      </x:c>
      <x:c r="N1438" s="2" t="str">
        <x:v>3</x:v>
      </x:c>
      <x:c r="O1438" s="2" t="str">
        <x:v>0</x:v>
      </x:c>
      <x:c r="P1438" s="2" t="str">
        <x:v>true</x:v>
      </x:c>
      <x:c r="Q1438" s="2" t="str">
        <x:v>NA</x:v>
      </x:c>
      <x:c r="R1438" s="2" t="str">
        <x:v>0.38208298792596906</x:v>
      </x:c>
      <x:c r="S1438" s="2" t="str">
        <x:v>46.69985312103551</x:v>
      </x:c>
    </x:row>
    <x:row r="1439">
      <x:c r="A1439" s="2" t="str">
        <x:v>DE-CMP-01</x:v>
      </x:c>
      <x:c r="B1439" s="2" t="str">
        <x:v>CFG-C01</x:v>
      </x:c>
      <x:c r="C1439" s="2" t="n">
        <x:v>46227.70238086805</x:v>
      </x:c>
      <x:c r="D1439" s="2" t="str">
        <x:v>os_cfar</x:v>
      </x:c>
      <x:c r="E1439" s="2" t="str">
        <x:v>monte_carlo</x:v>
      </x:c>
      <x:c r="F1439" s="2" t="str">
        <x:v>719</x:v>
      </x:c>
      <x:c r="G1439" s="2" t="str">
        <x:v>3174222</x:v>
      </x:c>
      <x:c r="H1439" s="2" t="str">
        <x:v>2048000.0</x:v>
      </x:c>
      <x:c r="I1439" s="2" t="str">
        <x:v>8192</x:v>
      </x:c>
      <x:c r="J1439" s="2" t="str">
        <x:v>250.0</x:v>
      </x:c>
      <x:c r="K1439" s="2" t="str">
        <x:v>0</x:v>
      </x:c>
      <x:c r="L1439" s="2" t="str">
        <x:v>3</x:v>
      </x:c>
      <x:c r="M1439" s="2" t="str">
        <x:v>0</x:v>
      </x:c>
      <x:c r="N1439" s="2" t="str">
        <x:v>3</x:v>
      </x:c>
      <x:c r="O1439" s="2" t="str">
        <x:v>0</x:v>
      </x:c>
      <x:c r="P1439" s="2" t="str">
        <x:v>true</x:v>
      </x:c>
      <x:c r="Q1439" s="2" t="str">
        <x:v>NA</x:v>
      </x:c>
      <x:c r="R1439" s="2" t="str">
        <x:v>13.67450000543613</x:v>
      </x:c>
      <x:c r="S1439" s="2" t="str">
        <x:v>48.35429103446693</x:v>
      </x:c>
    </x:row>
    <x:row r="1440">
      <x:c r="A1440" s="2" t="str">
        <x:v>DE-CMP-01</x:v>
      </x:c>
      <x:c r="B1440" s="2" t="str">
        <x:v>CFG-C01</x:v>
      </x:c>
      <x:c r="C1440" s="2" t="n">
        <x:v>46227.70238086805</x:v>
      </x:c>
      <x:c r="D1440" s="2" t="str">
        <x:v>os_cfar</x:v>
      </x:c>
      <x:c r="E1440" s="2" t="str">
        <x:v>monte_carlo</x:v>
      </x:c>
      <x:c r="F1440" s="2" t="str">
        <x:v>720</x:v>
      </x:c>
      <x:c r="G1440" s="2" t="str">
        <x:v>3174223</x:v>
      </x:c>
      <x:c r="H1440" s="2" t="str">
        <x:v>2048000.0</x:v>
      </x:c>
      <x:c r="I1440" s="2" t="str">
        <x:v>8192</x:v>
      </x:c>
      <x:c r="J1440" s="2" t="str">
        <x:v>250.0</x:v>
      </x:c>
      <x:c r="K1440" s="2" t="str">
        <x:v>3</x:v>
      </x:c>
      <x:c r="L1440" s="2" t="str">
        <x:v>3</x:v>
      </x:c>
      <x:c r="M1440" s="2" t="str">
        <x:v>3</x:v>
      </x:c>
      <x:c r="N1440" s="2" t="str">
        <x:v>0</x:v>
      </x:c>
      <x:c r="O1440" s="2" t="str">
        <x:v>0</x:v>
      </x:c>
      <x:c r="P1440" s="2" t="str">
        <x:v>false</x:v>
      </x:c>
      <x:c r="Q1440" s="2" t="str">
        <x:v>0.000000000;0.000000000;0.000000000</x:v>
      </x:c>
      <x:c r="R1440" s="2" t="str">
        <x:v>13.659208008903079</x:v>
      </x:c>
      <x:c r="S1440" s="2" t="str">
        <x:v>48.11301117472341</x:v>
      </x:c>
    </x:row>
    <x:row r="1441">
      <x:c r="A1441" s="2" t="str">
        <x:v>DE-CMP-01</x:v>
      </x:c>
      <x:c r="B1441" s="2" t="str">
        <x:v>CFG-C01</x:v>
      </x:c>
      <x:c r="C1441" s="2" t="n">
        <x:v>46227.70238086805</x:v>
      </x:c>
      <x:c r="D1441" s="2" t="str">
        <x:v>adaptive</x:v>
      </x:c>
      <x:c r="E1441" s="2" t="str">
        <x:v>monte_carlo</x:v>
      </x:c>
      <x:c r="F1441" s="2" t="str">
        <x:v>720</x:v>
      </x:c>
      <x:c r="G1441" s="2" t="str">
        <x:v>3174223</x:v>
      </x:c>
      <x:c r="H1441" s="2" t="str">
        <x:v>2048000.0</x:v>
      </x:c>
      <x:c r="I1441" s="2" t="str">
        <x:v>8192</x:v>
      </x:c>
      <x:c r="J1441" s="2" t="str">
        <x:v>250.0</x:v>
      </x:c>
      <x:c r="K1441" s="2" t="str">
        <x:v>3</x:v>
      </x:c>
      <x:c r="L1441" s="2" t="str">
        <x:v>3</x:v>
      </x:c>
      <x:c r="M1441" s="2" t="str">
        <x:v>3</x:v>
      </x:c>
      <x:c r="N1441" s="2" t="str">
        <x:v>0</x:v>
      </x:c>
      <x:c r="O1441" s="2" t="str">
        <x:v>0</x:v>
      </x:c>
      <x:c r="P1441" s="2" t="str">
        <x:v>false</x:v>
      </x:c>
      <x:c r="Q1441" s="2" t="str">
        <x:v>0.000000000;0.000000000;0.000000000</x:v>
      </x:c>
      <x:c r="R1441" s="2" t="str">
        <x:v>0.4231249913573265</x:v>
      </x:c>
      <x:c r="S1441" s="2" t="str">
        <x:v>46.34551385239058</x:v>
      </x:c>
    </x:row>
    <x:row r="1442">
      <x:c r="A1442" s="2" t="str">
        <x:v>DE-CMP-01</x:v>
      </x:c>
      <x:c r="B1442" s="2" t="str">
        <x:v>CFG-C01</x:v>
      </x:c>
      <x:c r="C1442" s="2" t="n">
        <x:v>46227.70238086805</x:v>
      </x:c>
      <x:c r="D1442" s="2" t="str">
        <x:v>adaptive</x:v>
      </x:c>
      <x:c r="E1442" s="2" t="str">
        <x:v>monte_carlo</x:v>
      </x:c>
      <x:c r="F1442" s="2" t="str">
        <x:v>721</x:v>
      </x:c>
      <x:c r="G1442" s="2" t="str">
        <x:v>3174224</x:v>
      </x:c>
      <x:c r="H1442" s="2" t="str">
        <x:v>2048000.0</x:v>
      </x:c>
      <x:c r="I1442" s="2" t="str">
        <x:v>8192</x:v>
      </x:c>
      <x:c r="J1442" s="2" t="str">
        <x:v>250.0</x:v>
      </x:c>
      <x:c r="K1442" s="2" t="str">
        <x:v>0</x:v>
      </x:c>
      <x:c r="L1442" s="2" t="str">
        <x:v>3</x:v>
      </x:c>
      <x:c r="M1442" s="2" t="str">
        <x:v>0</x:v>
      </x:c>
      <x:c r="N1442" s="2" t="str">
        <x:v>3</x:v>
      </x:c>
      <x:c r="O1442" s="2" t="str">
        <x:v>0</x:v>
      </x:c>
      <x:c r="P1442" s="2" t="str">
        <x:v>true</x:v>
      </x:c>
      <x:c r="Q1442" s="2" t="str">
        <x:v>NA</x:v>
      </x:c>
      <x:c r="R1442" s="2" t="str">
        <x:v>0.42054199730046093</x:v>
      </x:c>
      <x:c r="S1442" s="2" t="str">
        <x:v>46.49652071970273</x:v>
      </x:c>
    </x:row>
    <x:row r="1443">
      <x:c r="A1443" s="2" t="str">
        <x:v>DE-CMP-01</x:v>
      </x:c>
      <x:c r="B1443" s="2" t="str">
        <x:v>CFG-C01</x:v>
      </x:c>
      <x:c r="C1443" s="2" t="n">
        <x:v>46227.70238086805</x:v>
      </x:c>
      <x:c r="D1443" s="2" t="str">
        <x:v>os_cfar</x:v>
      </x:c>
      <x:c r="E1443" s="2" t="str">
        <x:v>monte_carlo</x:v>
      </x:c>
      <x:c r="F1443" s="2" t="str">
        <x:v>721</x:v>
      </x:c>
      <x:c r="G1443" s="2" t="str">
        <x:v>3174224</x:v>
      </x:c>
      <x:c r="H1443" s="2" t="str">
        <x:v>2048000.0</x:v>
      </x:c>
      <x:c r="I1443" s="2" t="str">
        <x:v>8192</x:v>
      </x:c>
      <x:c r="J1443" s="2" t="str">
        <x:v>250.0</x:v>
      </x:c>
      <x:c r="K1443" s="2" t="str">
        <x:v>0</x:v>
      </x:c>
      <x:c r="L1443" s="2" t="str">
        <x:v>3</x:v>
      </x:c>
      <x:c r="M1443" s="2" t="str">
        <x:v>0</x:v>
      </x:c>
      <x:c r="N1443" s="2" t="str">
        <x:v>3</x:v>
      </x:c>
      <x:c r="O1443" s="2" t="str">
        <x:v>0</x:v>
      </x:c>
      <x:c r="P1443" s="2" t="str">
        <x:v>true</x:v>
      </x:c>
      <x:c r="Q1443" s="2" t="str">
        <x:v>NA</x:v>
      </x:c>
      <x:c r="R1443" s="2" t="str">
        <x:v>13.794541999232024</x:v>
      </x:c>
      <x:c r="S1443" s="2" t="str">
        <x:v>48.331945415423675</x:v>
      </x:c>
    </x:row>
    <x:row r="1444">
      <x:c r="A1444" s="2" t="str">
        <x:v>DE-CMP-01</x:v>
      </x:c>
      <x:c r="B1444" s="2" t="str">
        <x:v>CFG-C01</x:v>
      </x:c>
      <x:c r="C1444" s="2" t="n">
        <x:v>46227.70238086805</x:v>
      </x:c>
      <x:c r="D1444" s="2" t="str">
        <x:v>os_cfar</x:v>
      </x:c>
      <x:c r="E1444" s="2" t="str">
        <x:v>monte_carlo</x:v>
      </x:c>
      <x:c r="F1444" s="2" t="str">
        <x:v>722</x:v>
      </x:c>
      <x:c r="G1444" s="2" t="str">
        <x:v>3174225</x:v>
      </x:c>
      <x:c r="H1444" s="2" t="str">
        <x:v>2048000.0</x:v>
      </x:c>
      <x:c r="I1444" s="2" t="str">
        <x:v>8192</x:v>
      </x:c>
      <x:c r="J1444" s="2" t="str">
        <x:v>250.0</x:v>
      </x:c>
      <x:c r="K1444" s="2" t="str">
        <x:v>3</x:v>
      </x:c>
      <x:c r="L1444" s="2" t="str">
        <x:v>3</x:v>
      </x:c>
      <x:c r="M1444" s="2" t="str">
        <x:v>3</x:v>
      </x:c>
      <x:c r="N1444" s="2" t="str">
        <x:v>0</x:v>
      </x:c>
      <x:c r="O1444" s="2" t="str">
        <x:v>0</x:v>
      </x:c>
      <x:c r="P1444" s="2" t="str">
        <x:v>false</x:v>
      </x:c>
      <x:c r="Q1444" s="2" t="str">
        <x:v>0.000000000;0.000000000;0.000000000</x:v>
      </x:c>
      <x:c r="R1444" s="2" t="str">
        <x:v>13.679875002708286</x:v>
      </x:c>
      <x:c r="S1444" s="2" t="str">
        <x:v>48.299968102149236</x:v>
      </x:c>
    </x:row>
    <x:row r="1445">
      <x:c r="A1445" s="2" t="str">
        <x:v>DE-CMP-01</x:v>
      </x:c>
      <x:c r="B1445" s="2" t="str">
        <x:v>CFG-C01</x:v>
      </x:c>
      <x:c r="C1445" s="2" t="n">
        <x:v>46227.70238086805</x:v>
      </x:c>
      <x:c r="D1445" s="2" t="str">
        <x:v>adaptive</x:v>
      </x:c>
      <x:c r="E1445" s="2" t="str">
        <x:v>monte_carlo</x:v>
      </x:c>
      <x:c r="F1445" s="2" t="str">
        <x:v>722</x:v>
      </x:c>
      <x:c r="G1445" s="2" t="str">
        <x:v>3174225</x:v>
      </x:c>
      <x:c r="H1445" s="2" t="str">
        <x:v>2048000.0</x:v>
      </x:c>
      <x:c r="I1445" s="2" t="str">
        <x:v>8192</x:v>
      </x:c>
      <x:c r="J1445" s="2" t="str">
        <x:v>250.0</x:v>
      </x:c>
      <x:c r="K1445" s="2" t="str">
        <x:v>3</x:v>
      </x:c>
      <x:c r="L1445" s="2" t="str">
        <x:v>3</x:v>
      </x:c>
      <x:c r="M1445" s="2" t="str">
        <x:v>3</x:v>
      </x:c>
      <x:c r="N1445" s="2" t="str">
        <x:v>0</x:v>
      </x:c>
      <x:c r="O1445" s="2" t="str">
        <x:v>0</x:v>
      </x:c>
      <x:c r="P1445" s="2" t="str">
        <x:v>false</x:v>
      </x:c>
      <x:c r="Q1445" s="2" t="str">
        <x:v>0.000000000;0.000000000;0.000000000</x:v>
      </x:c>
      <x:c r="R1445" s="2" t="str">
        <x:v>0.41958301153499633</x:v>
      </x:c>
      <x:c r="S1445" s="2" t="str">
        <x:v>46.47803483586853</x:v>
      </x:c>
    </x:row>
    <x:row r="1446">
      <x:c r="A1446" s="2" t="str">
        <x:v>DE-CMP-01</x:v>
      </x:c>
      <x:c r="B1446" s="2" t="str">
        <x:v>CFG-C01</x:v>
      </x:c>
      <x:c r="C1446" s="2" t="n">
        <x:v>46227.70238086805</x:v>
      </x:c>
      <x:c r="D1446" s="2" t="str">
        <x:v>adaptive</x:v>
      </x:c>
      <x:c r="E1446" s="2" t="str">
        <x:v>monte_carlo</x:v>
      </x:c>
      <x:c r="F1446" s="2" t="str">
        <x:v>723</x:v>
      </x:c>
      <x:c r="G1446" s="2" t="str">
        <x:v>3174226</x:v>
      </x:c>
      <x:c r="H1446" s="2" t="str">
        <x:v>2048000.0</x:v>
      </x:c>
      <x:c r="I1446" s="2" t="str">
        <x:v>8192</x:v>
      </x:c>
      <x:c r="J1446" s="2" t="str">
        <x:v>250.0</x:v>
      </x:c>
      <x:c r="K1446" s="2" t="str">
        <x:v>3</x:v>
      </x:c>
      <x:c r="L1446" s="2" t="str">
        <x:v>3</x:v>
      </x:c>
      <x:c r="M1446" s="2" t="str">
        <x:v>3</x:v>
      </x:c>
      <x:c r="N1446" s="2" t="str">
        <x:v>0</x:v>
      </x:c>
      <x:c r="O1446" s="2" t="str">
        <x:v>0</x:v>
      </x:c>
      <x:c r="P1446" s="2" t="str">
        <x:v>false</x:v>
      </x:c>
      <x:c r="Q1446" s="2" t="str">
        <x:v>0.000000000;0.000000000;0.000000000</x:v>
      </x:c>
      <x:c r="R1446" s="2" t="str">
        <x:v>0.4149579908698797</x:v>
      </x:c>
      <x:c r="S1446" s="2" t="str">
        <x:v>46.357259204102135</x:v>
      </x:c>
    </x:row>
    <x:row r="1447">
      <x:c r="A1447" s="2" t="str">
        <x:v>DE-CMP-01</x:v>
      </x:c>
      <x:c r="B1447" s="2" t="str">
        <x:v>CFG-C01</x:v>
      </x:c>
      <x:c r="C1447" s="2" t="n">
        <x:v>46227.70238086805</x:v>
      </x:c>
      <x:c r="D1447" s="2" t="str">
        <x:v>os_cfar</x:v>
      </x:c>
      <x:c r="E1447" s="2" t="str">
        <x:v>monte_carlo</x:v>
      </x:c>
      <x:c r="F1447" s="2" t="str">
        <x:v>723</x:v>
      </x:c>
      <x:c r="G1447" s="2" t="str">
        <x:v>3174226</x:v>
      </x:c>
      <x:c r="H1447" s="2" t="str">
        <x:v>2048000.0</x:v>
      </x:c>
      <x:c r="I1447" s="2" t="str">
        <x:v>8192</x:v>
      </x:c>
      <x:c r="J1447" s="2" t="str">
        <x:v>250.0</x:v>
      </x:c>
      <x:c r="K1447" s="2" t="str">
        <x:v>3</x:v>
      </x:c>
      <x:c r="L1447" s="2" t="str">
        <x:v>3</x:v>
      </x:c>
      <x:c r="M1447" s="2" t="str">
        <x:v>3</x:v>
      </x:c>
      <x:c r="N1447" s="2" t="str">
        <x:v>0</x:v>
      </x:c>
      <x:c r="O1447" s="2" t="str">
        <x:v>0</x:v>
      </x:c>
      <x:c r="P1447" s="2" t="str">
        <x:v>false</x:v>
      </x:c>
      <x:c r="Q1447" s="2" t="str">
        <x:v>0.000000000;0.000000000;0.000000000</x:v>
      </x:c>
      <x:c r="R1447" s="2" t="str">
        <x:v>13.658000010764226</x:v>
      </x:c>
      <x:c r="S1447" s="2" t="str">
        <x:v>48.21998492229892</x:v>
      </x:c>
    </x:row>
    <x:row r="1448">
      <x:c r="A1448" s="2" t="str">
        <x:v>DE-CMP-01</x:v>
      </x:c>
      <x:c r="B1448" s="2" t="str">
        <x:v>CFG-C01</x:v>
      </x:c>
      <x:c r="C1448" s="2" t="n">
        <x:v>46227.70238086805</x:v>
      </x:c>
      <x:c r="D1448" s="2" t="str">
        <x:v>os_cfar</x:v>
      </x:c>
      <x:c r="E1448" s="2" t="str">
        <x:v>monte_carlo</x:v>
      </x:c>
      <x:c r="F1448" s="2" t="str">
        <x:v>724</x:v>
      </x:c>
      <x:c r="G1448" s="2" t="str">
        <x:v>3174227</x:v>
      </x:c>
      <x:c r="H1448" s="2" t="str">
        <x:v>2048000.0</x:v>
      </x:c>
      <x:c r="I1448" s="2" t="str">
        <x:v>8192</x:v>
      </x:c>
      <x:c r="J1448" s="2" t="str">
        <x:v>250.0</x:v>
      </x:c>
      <x:c r="K1448" s="2" t="str">
        <x:v>0</x:v>
      </x:c>
      <x:c r="L1448" s="2" t="str">
        <x:v>3</x:v>
      </x:c>
      <x:c r="M1448" s="2" t="str">
        <x:v>0</x:v>
      </x:c>
      <x:c r="N1448" s="2" t="str">
        <x:v>3</x:v>
      </x:c>
      <x:c r="O1448" s="2" t="str">
        <x:v>0</x:v>
      </x:c>
      <x:c r="P1448" s="2" t="str">
        <x:v>true</x:v>
      </x:c>
      <x:c r="Q1448" s="2" t="str">
        <x:v>NA</x:v>
      </x:c>
      <x:c r="R1448" s="2" t="str">
        <x:v>13.792541998554952</x:v>
      </x:c>
      <x:c r="S1448" s="2" t="str">
        <x:v>48.19861205590826</x:v>
      </x:c>
    </x:row>
    <x:row r="1449">
      <x:c r="A1449" s="2" t="str">
        <x:v>DE-CMP-01</x:v>
      </x:c>
      <x:c r="B1449" s="2" t="str">
        <x:v>CFG-C01</x:v>
      </x:c>
      <x:c r="C1449" s="2" t="n">
        <x:v>46227.70238086805</x:v>
      </x:c>
      <x:c r="D1449" s="2" t="str">
        <x:v>adaptive</x:v>
      </x:c>
      <x:c r="E1449" s="2" t="str">
        <x:v>monte_carlo</x:v>
      </x:c>
      <x:c r="F1449" s="2" t="str">
        <x:v>724</x:v>
      </x:c>
      <x:c r="G1449" s="2" t="str">
        <x:v>3174227</x:v>
      </x:c>
      <x:c r="H1449" s="2" t="str">
        <x:v>2048000.0</x:v>
      </x:c>
      <x:c r="I1449" s="2" t="str">
        <x:v>8192</x:v>
      </x:c>
      <x:c r="J1449" s="2" t="str">
        <x:v>250.0</x:v>
      </x:c>
      <x:c r="K1449" s="2" t="str">
        <x:v>0</x:v>
      </x:c>
      <x:c r="L1449" s="2" t="str">
        <x:v>3</x:v>
      </x:c>
      <x:c r="M1449" s="2" t="str">
        <x:v>0</x:v>
      </x:c>
      <x:c r="N1449" s="2" t="str">
        <x:v>3</x:v>
      </x:c>
      <x:c r="O1449" s="2" t="str">
        <x:v>0</x:v>
      </x:c>
      <x:c r="P1449" s="2" t="str">
        <x:v>true</x:v>
      </x:c>
      <x:c r="Q1449" s="2" t="str">
        <x:v>NA</x:v>
      </x:c>
      <x:c r="R1449" s="2" t="str">
        <x:v>0.4132910107728094</x:v>
      </x:c>
      <x:c r="S1449" s="2" t="str">
        <x:v>46.37084189188523</x:v>
      </x:c>
    </x:row>
    <x:row r="1450">
      <x:c r="A1450" s="2" t="str">
        <x:v>DE-CMP-01</x:v>
      </x:c>
      <x:c r="B1450" s="2" t="str">
        <x:v>CFG-C01</x:v>
      </x:c>
      <x:c r="C1450" s="2" t="n">
        <x:v>46227.70238086805</x:v>
      </x:c>
      <x:c r="D1450" s="2" t="str">
        <x:v>adaptive</x:v>
      </x:c>
      <x:c r="E1450" s="2" t="str">
        <x:v>monte_carlo</x:v>
      </x:c>
      <x:c r="F1450" s="2" t="str">
        <x:v>725</x:v>
      </x:c>
      <x:c r="G1450" s="2" t="str">
        <x:v>3174228</x:v>
      </x:c>
      <x:c r="H1450" s="2" t="str">
        <x:v>2048000.0</x:v>
      </x:c>
      <x:c r="I1450" s="2" t="str">
        <x:v>8192</x:v>
      </x:c>
      <x:c r="J1450" s="2" t="str">
        <x:v>250.0</x:v>
      </x:c>
      <x:c r="K1450" s="2" t="str">
        <x:v>3</x:v>
      </x:c>
      <x:c r="L1450" s="2" t="str">
        <x:v>3</x:v>
      </x:c>
      <x:c r="M1450" s="2" t="str">
        <x:v>3</x:v>
      </x:c>
      <x:c r="N1450" s="2" t="str">
        <x:v>0</x:v>
      </x:c>
      <x:c r="O1450" s="2" t="str">
        <x:v>0</x:v>
      </x:c>
      <x:c r="P1450" s="2" t="str">
        <x:v>false</x:v>
      </x:c>
      <x:c r="Q1450" s="2" t="str">
        <x:v>0.000000000;0.000000000;0.000000000</x:v>
      </x:c>
      <x:c r="R1450" s="2" t="str">
        <x:v>0.39404099516104907</x:v>
      </x:c>
      <x:c r="S1450" s="2" t="str">
        <x:v>46.503370400870935</x:v>
      </x:c>
    </x:row>
    <x:row r="1451">
      <x:c r="A1451" s="2" t="str">
        <x:v>DE-CMP-01</x:v>
      </x:c>
      <x:c r="B1451" s="2" t="str">
        <x:v>CFG-C01</x:v>
      </x:c>
      <x:c r="C1451" s="2" t="n">
        <x:v>46227.70238086805</x:v>
      </x:c>
      <x:c r="D1451" s="2" t="str">
        <x:v>os_cfar</x:v>
      </x:c>
      <x:c r="E1451" s="2" t="str">
        <x:v>monte_carlo</x:v>
      </x:c>
      <x:c r="F1451" s="2" t="str">
        <x:v>725</x:v>
      </x:c>
      <x:c r="G1451" s="2" t="str">
        <x:v>3174228</x:v>
      </x:c>
      <x:c r="H1451" s="2" t="str">
        <x:v>2048000.0</x:v>
      </x:c>
      <x:c r="I1451" s="2" t="str">
        <x:v>8192</x:v>
      </x:c>
      <x:c r="J1451" s="2" t="str">
        <x:v>250.0</x:v>
      </x:c>
      <x:c r="K1451" s="2" t="str">
        <x:v>3</x:v>
      </x:c>
      <x:c r="L1451" s="2" t="str">
        <x:v>3</x:v>
      </x:c>
      <x:c r="M1451" s="2" t="str">
        <x:v>3</x:v>
      </x:c>
      <x:c r="N1451" s="2" t="str">
        <x:v>0</x:v>
      </x:c>
      <x:c r="O1451" s="2" t="str">
        <x:v>0</x:v>
      </x:c>
      <x:c r="P1451" s="2" t="str">
        <x:v>false</x:v>
      </x:c>
      <x:c r="Q1451" s="2" t="str">
        <x:v>0.000000000;0.000000000;0.000000000</x:v>
      </x:c>
      <x:c r="R1451" s="2" t="str">
        <x:v>13.636125004268251</x:v>
      </x:c>
      <x:c r="S1451" s="2" t="str">
        <x:v>48.22666515704934</x:v>
      </x:c>
    </x:row>
    <x:row r="1452">
      <x:c r="A1452" s="2" t="str">
        <x:v>DE-CMP-01</x:v>
      </x:c>
      <x:c r="B1452" s="2" t="str">
        <x:v>CFG-C01</x:v>
      </x:c>
      <x:c r="C1452" s="2" t="n">
        <x:v>46227.70238086805</x:v>
      </x:c>
      <x:c r="D1452" s="2" t="str">
        <x:v>os_cfar</x:v>
      </x:c>
      <x:c r="E1452" s="2" t="str">
        <x:v>monte_carlo</x:v>
      </x:c>
      <x:c r="F1452" s="2" t="str">
        <x:v>726</x:v>
      </x:c>
      <x:c r="G1452" s="2" t="str">
        <x:v>3174229</x:v>
      </x:c>
      <x:c r="H1452" s="2" t="str">
        <x:v>2048000.0</x:v>
      </x:c>
      <x:c r="I1452" s="2" t="str">
        <x:v>8192</x:v>
      </x:c>
      <x:c r="J1452" s="2" t="str">
        <x:v>250.0</x:v>
      </x:c>
      <x:c r="K1452" s="2" t="str">
        <x:v>0</x:v>
      </x:c>
      <x:c r="L1452" s="2" t="str">
        <x:v>3</x:v>
      </x:c>
      <x:c r="M1452" s="2" t="str">
        <x:v>0</x:v>
      </x:c>
      <x:c r="N1452" s="2" t="str">
        <x:v>3</x:v>
      </x:c>
      <x:c r="O1452" s="2" t="str">
        <x:v>0</x:v>
      </x:c>
      <x:c r="P1452" s="2" t="str">
        <x:v>true</x:v>
      </x:c>
      <x:c r="Q1452" s="2" t="str">
        <x:v>NA</x:v>
      </x:c>
      <x:c r="R1452" s="2" t="str">
        <x:v>13.620375000755303</x:v>
      </x:c>
      <x:c r="S1452" s="2" t="str">
        <x:v>48.186384448493094</x:v>
      </x:c>
    </x:row>
    <x:row r="1453">
      <x:c r="A1453" s="2" t="str">
        <x:v>DE-CMP-01</x:v>
      </x:c>
      <x:c r="B1453" s="2" t="str">
        <x:v>CFG-C01</x:v>
      </x:c>
      <x:c r="C1453" s="2" t="n">
        <x:v>46227.70238086805</x:v>
      </x:c>
      <x:c r="D1453" s="2" t="str">
        <x:v>adaptive</x:v>
      </x:c>
      <x:c r="E1453" s="2" t="str">
        <x:v>monte_carlo</x:v>
      </x:c>
      <x:c r="F1453" s="2" t="str">
        <x:v>726</x:v>
      </x:c>
      <x:c r="G1453" s="2" t="str">
        <x:v>3174229</x:v>
      </x:c>
      <x:c r="H1453" s="2" t="str">
        <x:v>2048000.0</x:v>
      </x:c>
      <x:c r="I1453" s="2" t="str">
        <x:v>8192</x:v>
      </x:c>
      <x:c r="J1453" s="2" t="str">
        <x:v>250.0</x:v>
      </x:c>
      <x:c r="K1453" s="2" t="str">
        <x:v>0</x:v>
      </x:c>
      <x:c r="L1453" s="2" t="str">
        <x:v>3</x:v>
      </x:c>
      <x:c r="M1453" s="2" t="str">
        <x:v>0</x:v>
      </x:c>
      <x:c r="N1453" s="2" t="str">
        <x:v>3</x:v>
      </x:c>
      <x:c r="O1453" s="2" t="str">
        <x:v>0</x:v>
      </x:c>
      <x:c r="P1453" s="2" t="str">
        <x:v>true</x:v>
      </x:c>
      <x:c r="Q1453" s="2" t="str">
        <x:v>NA</x:v>
      </x:c>
      <x:c r="R1453" s="2" t="str">
        <x:v>0.4396250005811453</x:v>
      </x:c>
      <x:c r="S1453" s="2" t="str">
        <x:v>46.30244764435183</x:v>
      </x:c>
    </x:row>
    <x:row r="1454">
      <x:c r="A1454" s="2" t="str">
        <x:v>DE-CMP-01</x:v>
      </x:c>
      <x:c r="B1454" s="2" t="str">
        <x:v>CFG-C01</x:v>
      </x:c>
      <x:c r="C1454" s="2" t="n">
        <x:v>46227.70238086805</x:v>
      </x:c>
      <x:c r="D1454" s="2" t="str">
        <x:v>adaptive</x:v>
      </x:c>
      <x:c r="E1454" s="2" t="str">
        <x:v>monte_carlo</x:v>
      </x:c>
      <x:c r="F1454" s="2" t="str">
        <x:v>727</x:v>
      </x:c>
      <x:c r="G1454" s="2" t="str">
        <x:v>3174230</x:v>
      </x:c>
      <x:c r="H1454" s="2" t="str">
        <x:v>2048000.0</x:v>
      </x:c>
      <x:c r="I1454" s="2" t="str">
        <x:v>8192</x:v>
      </x:c>
      <x:c r="J1454" s="2" t="str">
        <x:v>250.0</x:v>
      </x:c>
      <x:c r="K1454" s="2" t="str">
        <x:v>3</x:v>
      </x:c>
      <x:c r="L1454" s="2" t="str">
        <x:v>3</x:v>
      </x:c>
      <x:c r="M1454" s="2" t="str">
        <x:v>3</x:v>
      </x:c>
      <x:c r="N1454" s="2" t="str">
        <x:v>0</x:v>
      </x:c>
      <x:c r="O1454" s="2" t="str">
        <x:v>0</x:v>
      </x:c>
      <x:c r="P1454" s="2" t="str">
        <x:v>false</x:v>
      </x:c>
      <x:c r="Q1454" s="2" t="str">
        <x:v>0.000000000;0.000000000;0.000000000</x:v>
      </x:c>
      <x:c r="R1454" s="2" t="str">
        <x:v>0.4301250010030344</x:v>
      </x:c>
      <x:c r="S1454" s="2" t="str">
        <x:v>46.44000802764108</x:v>
      </x:c>
    </x:row>
    <x:row r="1455">
      <x:c r="A1455" s="2" t="str">
        <x:v>DE-CMP-01</x:v>
      </x:c>
      <x:c r="B1455" s="2" t="str">
        <x:v>CFG-C01</x:v>
      </x:c>
      <x:c r="C1455" s="2" t="n">
        <x:v>46227.70238086805</x:v>
      </x:c>
      <x:c r="D1455" s="2" t="str">
        <x:v>os_cfar</x:v>
      </x:c>
      <x:c r="E1455" s="2" t="str">
        <x:v>monte_carlo</x:v>
      </x:c>
      <x:c r="F1455" s="2" t="str">
        <x:v>727</x:v>
      </x:c>
      <x:c r="G1455" s="2" t="str">
        <x:v>3174230</x:v>
      </x:c>
      <x:c r="H1455" s="2" t="str">
        <x:v>2048000.0</x:v>
      </x:c>
      <x:c r="I1455" s="2" t="str">
        <x:v>8192</x:v>
      </x:c>
      <x:c r="J1455" s="2" t="str">
        <x:v>250.0</x:v>
      </x:c>
      <x:c r="K1455" s="2" t="str">
        <x:v>3</x:v>
      </x:c>
      <x:c r="L1455" s="2" t="str">
        <x:v>3</x:v>
      </x:c>
      <x:c r="M1455" s="2" t="str">
        <x:v>3</x:v>
      </x:c>
      <x:c r="N1455" s="2" t="str">
        <x:v>0</x:v>
      </x:c>
      <x:c r="O1455" s="2" t="str">
        <x:v>0</x:v>
      </x:c>
      <x:c r="P1455" s="2" t="str">
        <x:v>false</x:v>
      </x:c>
      <x:c r="Q1455" s="2" t="str">
        <x:v>0.000000000;0.000000000;0.000000000</x:v>
      </x:c>
      <x:c r="R1455" s="2" t="str">
        <x:v>13.568957991083153</x:v>
      </x:c>
      <x:c r="S1455" s="2" t="str">
        <x:v>48.175518388470906</x:v>
      </x:c>
    </x:row>
    <x:row r="1456">
      <x:c r="A1456" s="2" t="str">
        <x:v>DE-CMP-01</x:v>
      </x:c>
      <x:c r="B1456" s="2" t="str">
        <x:v>CFG-C01</x:v>
      </x:c>
      <x:c r="C1456" s="2" t="n">
        <x:v>46227.70238086805</x:v>
      </x:c>
      <x:c r="D1456" s="2" t="str">
        <x:v>os_cfar</x:v>
      </x:c>
      <x:c r="E1456" s="2" t="str">
        <x:v>monte_carlo</x:v>
      </x:c>
      <x:c r="F1456" s="2" t="str">
        <x:v>728</x:v>
      </x:c>
      <x:c r="G1456" s="2" t="str">
        <x:v>3174231</x:v>
      </x:c>
      <x:c r="H1456" s="2" t="str">
        <x:v>2048000.0</x:v>
      </x:c>
      <x:c r="I1456" s="2" t="str">
        <x:v>8192</x:v>
      </x:c>
      <x:c r="J1456" s="2" t="str">
        <x:v>250.0</x:v>
      </x:c>
      <x:c r="K1456" s="2" t="str">
        <x:v>0</x:v>
      </x:c>
      <x:c r="L1456" s="2" t="str">
        <x:v>3</x:v>
      </x:c>
      <x:c r="M1456" s="2" t="str">
        <x:v>0</x:v>
      </x:c>
      <x:c r="N1456" s="2" t="str">
        <x:v>3</x:v>
      </x:c>
      <x:c r="O1456" s="2" t="str">
        <x:v>0</x:v>
      </x:c>
      <x:c r="P1456" s="2" t="str">
        <x:v>true</x:v>
      </x:c>
      <x:c r="Q1456" s="2" t="str">
        <x:v>NA</x:v>
      </x:c>
      <x:c r="R1456" s="2" t="str">
        <x:v>13.609499990707263</x:v>
      </x:c>
      <x:c r="S1456" s="2" t="str">
        <x:v>48.31172129535765</x:v>
      </x:c>
    </x:row>
    <x:row r="1457">
      <x:c r="A1457" s="2" t="str">
        <x:v>DE-CMP-01</x:v>
      </x:c>
      <x:c r="B1457" s="2" t="str">
        <x:v>CFG-C01</x:v>
      </x:c>
      <x:c r="C1457" s="2" t="n">
        <x:v>46227.70238086805</x:v>
      </x:c>
      <x:c r="D1457" s="2" t="str">
        <x:v>adaptive</x:v>
      </x:c>
      <x:c r="E1457" s="2" t="str">
        <x:v>monte_carlo</x:v>
      </x:c>
      <x:c r="F1457" s="2" t="str">
        <x:v>728</x:v>
      </x:c>
      <x:c r="G1457" s="2" t="str">
        <x:v>3174231</x:v>
      </x:c>
      <x:c r="H1457" s="2" t="str">
        <x:v>2048000.0</x:v>
      </x:c>
      <x:c r="I1457" s="2" t="str">
        <x:v>8192</x:v>
      </x:c>
      <x:c r="J1457" s="2" t="str">
        <x:v>250.0</x:v>
      </x:c>
      <x:c r="K1457" s="2" t="str">
        <x:v>0</x:v>
      </x:c>
      <x:c r="L1457" s="2" t="str">
        <x:v>3</x:v>
      </x:c>
      <x:c r="M1457" s="2" t="str">
        <x:v>0</x:v>
      </x:c>
      <x:c r="N1457" s="2" t="str">
        <x:v>3</x:v>
      </x:c>
      <x:c r="O1457" s="2" t="str">
        <x:v>0</x:v>
      </x:c>
      <x:c r="P1457" s="2" t="str">
        <x:v>true</x:v>
      </x:c>
      <x:c r="Q1457" s="2" t="str">
        <x:v>NA</x:v>
      </x:c>
      <x:c r="R1457" s="2" t="str">
        <x:v>0.4089159920113161</x:v>
      </x:c>
      <x:c r="S1457" s="2" t="str">
        <x:v>46.581607759309705</x:v>
      </x:c>
    </x:row>
    <x:row r="1458">
      <x:c r="A1458" s="2" t="str">
        <x:v>DE-CMP-01</x:v>
      </x:c>
      <x:c r="B1458" s="2" t="str">
        <x:v>CFG-C01</x:v>
      </x:c>
      <x:c r="C1458" s="2" t="n">
        <x:v>46227.70238086805</x:v>
      </x:c>
      <x:c r="D1458" s="2" t="str">
        <x:v>adaptive</x:v>
      </x:c>
      <x:c r="E1458" s="2" t="str">
        <x:v>monte_carlo</x:v>
      </x:c>
      <x:c r="F1458" s="2" t="str">
        <x:v>729</x:v>
      </x:c>
      <x:c r="G1458" s="2" t="str">
        <x:v>3174232</x:v>
      </x:c>
      <x:c r="H1458" s="2" t="str">
        <x:v>2048000.0</x:v>
      </x:c>
      <x:c r="I1458" s="2" t="str">
        <x:v>8192</x:v>
      </x:c>
      <x:c r="J1458" s="2" t="str">
        <x:v>250.0</x:v>
      </x:c>
      <x:c r="K1458" s="2" t="str">
        <x:v>0</x:v>
      </x:c>
      <x:c r="L1458" s="2" t="str">
        <x:v>3</x:v>
      </x:c>
      <x:c r="M1458" s="2" t="str">
        <x:v>0</x:v>
      </x:c>
      <x:c r="N1458" s="2" t="str">
        <x:v>3</x:v>
      </x:c>
      <x:c r="O1458" s="2" t="str">
        <x:v>0</x:v>
      </x:c>
      <x:c r="P1458" s="2" t="str">
        <x:v>true</x:v>
      </x:c>
      <x:c r="Q1458" s="2" t="str">
        <x:v>NA</x:v>
      </x:c>
      <x:c r="R1458" s="2" t="str">
        <x:v>0.4100420046597719</x:v>
      </x:c>
      <x:c r="S1458" s="2" t="str">
        <x:v>46.56394260872355</x:v>
      </x:c>
    </x:row>
    <x:row r="1459">
      <x:c r="A1459" s="2" t="str">
        <x:v>DE-CMP-01</x:v>
      </x:c>
      <x:c r="B1459" s="2" t="str">
        <x:v>CFG-C01</x:v>
      </x:c>
      <x:c r="C1459" s="2" t="n">
        <x:v>46227.70238086805</x:v>
      </x:c>
      <x:c r="D1459" s="2" t="str">
        <x:v>os_cfar</x:v>
      </x:c>
      <x:c r="E1459" s="2" t="str">
        <x:v>monte_carlo</x:v>
      </x:c>
      <x:c r="F1459" s="2" t="str">
        <x:v>729</x:v>
      </x:c>
      <x:c r="G1459" s="2" t="str">
        <x:v>3174232</x:v>
      </x:c>
      <x:c r="H1459" s="2" t="str">
        <x:v>2048000.0</x:v>
      </x:c>
      <x:c r="I1459" s="2" t="str">
        <x:v>8192</x:v>
      </x:c>
      <x:c r="J1459" s="2" t="str">
        <x:v>250.0</x:v>
      </x:c>
      <x:c r="K1459" s="2" t="str">
        <x:v>0</x:v>
      </x:c>
      <x:c r="L1459" s="2" t="str">
        <x:v>3</x:v>
      </x:c>
      <x:c r="M1459" s="2" t="str">
        <x:v>0</x:v>
      </x:c>
      <x:c r="N1459" s="2" t="str">
        <x:v>3</x:v>
      </x:c>
      <x:c r="O1459" s="2" t="str">
        <x:v>0</x:v>
      </x:c>
      <x:c r="P1459" s="2" t="str">
        <x:v>true</x:v>
      </x:c>
      <x:c r="Q1459" s="2" t="str">
        <x:v>NA</x:v>
      </x:c>
      <x:c r="R1459" s="2" t="str">
        <x:v>13.49395900615491</x:v>
      </x:c>
      <x:c r="S1459" s="2" t="str">
        <x:v>48.24659466241657</x:v>
      </x:c>
    </x:row>
    <x:row r="1460">
      <x:c r="A1460" s="2" t="str">
        <x:v>DE-CMP-01</x:v>
      </x:c>
      <x:c r="B1460" s="2" t="str">
        <x:v>CFG-C01</x:v>
      </x:c>
      <x:c r="C1460" s="2" t="n">
        <x:v>46227.70238086805</x:v>
      </x:c>
      <x:c r="D1460" s="2" t="str">
        <x:v>os_cfar</x:v>
      </x:c>
      <x:c r="E1460" s="2" t="str">
        <x:v>monte_carlo</x:v>
      </x:c>
      <x:c r="F1460" s="2" t="str">
        <x:v>730</x:v>
      </x:c>
      <x:c r="G1460" s="2" t="str">
        <x:v>3174233</x:v>
      </x:c>
      <x:c r="H1460" s="2" t="str">
        <x:v>2048000.0</x:v>
      </x:c>
      <x:c r="I1460" s="2" t="str">
        <x:v>8192</x:v>
      </x:c>
      <x:c r="J1460" s="2" t="str">
        <x:v>250.0</x:v>
      </x:c>
      <x:c r="K1460" s="2" t="str">
        <x:v>1</x:v>
      </x:c>
      <x:c r="L1460" s="2" t="str">
        <x:v>3</x:v>
      </x:c>
      <x:c r="M1460" s="2" t="str">
        <x:v>1</x:v>
      </x:c>
      <x:c r="N1460" s="2" t="str">
        <x:v>2</x:v>
      </x:c>
      <x:c r="O1460" s="2" t="str">
        <x:v>0</x:v>
      </x:c>
      <x:c r="P1460" s="2" t="str">
        <x:v>true</x:v>
      </x:c>
      <x:c r="Q1460" s="2" t="str">
        <x:v>0.000000000</x:v>
      </x:c>
      <x:c r="R1460" s="2" t="str">
        <x:v>13.79058299062308</x:v>
      </x:c>
      <x:c r="S1460" s="2" t="str">
        <x:v>48.21704217324238</x:v>
      </x:c>
    </x:row>
    <x:row r="1461">
      <x:c r="A1461" s="2" t="str">
        <x:v>DE-CMP-01</x:v>
      </x:c>
      <x:c r="B1461" s="2" t="str">
        <x:v>CFG-C01</x:v>
      </x:c>
      <x:c r="C1461" s="2" t="n">
        <x:v>46227.70238086805</x:v>
      </x:c>
      <x:c r="D1461" s="2" t="str">
        <x:v>adaptive</x:v>
      </x:c>
      <x:c r="E1461" s="2" t="str">
        <x:v>monte_carlo</x:v>
      </x:c>
      <x:c r="F1461" s="2" t="str">
        <x:v>730</x:v>
      </x:c>
      <x:c r="G1461" s="2" t="str">
        <x:v>3174233</x:v>
      </x:c>
      <x:c r="H1461" s="2" t="str">
        <x:v>2048000.0</x:v>
      </x:c>
      <x:c r="I1461" s="2" t="str">
        <x:v>8192</x:v>
      </x:c>
      <x:c r="J1461" s="2" t="str">
        <x:v>250.0</x:v>
      </x:c>
      <x:c r="K1461" s="2" t="str">
        <x:v>1</x:v>
      </x:c>
      <x:c r="L1461" s="2" t="str">
        <x:v>3</x:v>
      </x:c>
      <x:c r="M1461" s="2" t="str">
        <x:v>1</x:v>
      </x:c>
      <x:c r="N1461" s="2" t="str">
        <x:v>2</x:v>
      </x:c>
      <x:c r="O1461" s="2" t="str">
        <x:v>0</x:v>
      </x:c>
      <x:c r="P1461" s="2" t="str">
        <x:v>true</x:v>
      </x:c>
      <x:c r="Q1461" s="2" t="str">
        <x:v>0.000000000</x:v>
      </x:c>
      <x:c r="R1461" s="2" t="str">
        <x:v>0.42987499909941107</x:v>
      </x:c>
      <x:c r="S1461" s="2" t="str">
        <x:v>46.52479775245692</x:v>
      </x:c>
    </x:row>
    <x:row r="1462">
      <x:c r="A1462" s="2" t="str">
        <x:v>DE-CMP-01</x:v>
      </x:c>
      <x:c r="B1462" s="2" t="str">
        <x:v>CFG-C01</x:v>
      </x:c>
      <x:c r="C1462" s="2" t="n">
        <x:v>46227.70238086805</x:v>
      </x:c>
      <x:c r="D1462" s="2" t="str">
        <x:v>adaptive</x:v>
      </x:c>
      <x:c r="E1462" s="2" t="str">
        <x:v>monte_carlo</x:v>
      </x:c>
      <x:c r="F1462" s="2" t="str">
        <x:v>731</x:v>
      </x:c>
      <x:c r="G1462" s="2" t="str">
        <x:v>3174234</x:v>
      </x:c>
      <x:c r="H1462" s="2" t="str">
        <x:v>2048000.0</x:v>
      </x:c>
      <x:c r="I1462" s="2" t="str">
        <x:v>8192</x:v>
      </x:c>
      <x:c r="J1462" s="2" t="str">
        <x:v>250.0</x:v>
      </x:c>
      <x:c r="K1462" s="2" t="str">
        <x:v>1</x:v>
      </x:c>
      <x:c r="L1462" s="2" t="str">
        <x:v>3</x:v>
      </x:c>
      <x:c r="M1462" s="2" t="str">
        <x:v>1</x:v>
      </x:c>
      <x:c r="N1462" s="2" t="str">
        <x:v>2</x:v>
      </x:c>
      <x:c r="O1462" s="2" t="str">
        <x:v>0</x:v>
      </x:c>
      <x:c r="P1462" s="2" t="str">
        <x:v>true</x:v>
      </x:c>
      <x:c r="Q1462" s="2" t="str">
        <x:v>0.000000000</x:v>
      </x:c>
      <x:c r="R1462" s="2" t="str">
        <x:v>0.42058400867972523</x:v>
      </x:c>
      <x:c r="S1462" s="2" t="str">
        <x:v>46.33671637944652</x:v>
      </x:c>
    </x:row>
    <x:row r="1463">
      <x:c r="A1463" s="2" t="str">
        <x:v>DE-CMP-01</x:v>
      </x:c>
      <x:c r="B1463" s="2" t="str">
        <x:v>CFG-C01</x:v>
      </x:c>
      <x:c r="C1463" s="2" t="n">
        <x:v>46227.70238086805</x:v>
      </x:c>
      <x:c r="D1463" s="2" t="str">
        <x:v>os_cfar</x:v>
      </x:c>
      <x:c r="E1463" s="2" t="str">
        <x:v>monte_carlo</x:v>
      </x:c>
      <x:c r="F1463" s="2" t="str">
        <x:v>731</x:v>
      </x:c>
      <x:c r="G1463" s="2" t="str">
        <x:v>3174234</x:v>
      </x:c>
      <x:c r="H1463" s="2" t="str">
        <x:v>2048000.0</x:v>
      </x:c>
      <x:c r="I1463" s="2" t="str">
        <x:v>8192</x:v>
      </x:c>
      <x:c r="J1463" s="2" t="str">
        <x:v>250.0</x:v>
      </x:c>
      <x:c r="K1463" s="2" t="str">
        <x:v>1</x:v>
      </x:c>
      <x:c r="L1463" s="2" t="str">
        <x:v>3</x:v>
      </x:c>
      <x:c r="M1463" s="2" t="str">
        <x:v>1</x:v>
      </x:c>
      <x:c r="N1463" s="2" t="str">
        <x:v>2</x:v>
      </x:c>
      <x:c r="O1463" s="2" t="str">
        <x:v>0</x:v>
      </x:c>
      <x:c r="P1463" s="2" t="str">
        <x:v>true</x:v>
      </x:c>
      <x:c r="Q1463" s="2" t="str">
        <x:v>0.000000000</x:v>
      </x:c>
      <x:c r="R1463" s="2" t="str">
        <x:v>13.647957995999604</x:v>
      </x:c>
      <x:c r="S1463" s="2" t="str">
        <x:v>48.2922804782509</x:v>
      </x:c>
    </x:row>
    <x:row r="1464">
      <x:c r="A1464" s="2" t="str">
        <x:v>DE-CMP-01</x:v>
      </x:c>
      <x:c r="B1464" s="2" t="str">
        <x:v>CFG-C01</x:v>
      </x:c>
      <x:c r="C1464" s="2" t="n">
        <x:v>46227.70238086805</x:v>
      </x:c>
      <x:c r="D1464" s="2" t="str">
        <x:v>os_cfar</x:v>
      </x:c>
      <x:c r="E1464" s="2" t="str">
        <x:v>monte_carlo</x:v>
      </x:c>
      <x:c r="F1464" s="2" t="str">
        <x:v>732</x:v>
      </x:c>
      <x:c r="G1464" s="2" t="str">
        <x:v>3174235</x:v>
      </x:c>
      <x:c r="H1464" s="2" t="str">
        <x:v>2048000.0</x:v>
      </x:c>
      <x:c r="I1464" s="2" t="str">
        <x:v>8192</x:v>
      </x:c>
      <x:c r="J1464" s="2" t="str">
        <x:v>250.0</x:v>
      </x:c>
      <x:c r="K1464" s="2" t="str">
        <x:v>0</x:v>
      </x:c>
      <x:c r="L1464" s="2" t="str">
        <x:v>3</x:v>
      </x:c>
      <x:c r="M1464" s="2" t="str">
        <x:v>0</x:v>
      </x:c>
      <x:c r="N1464" s="2" t="str">
        <x:v>3</x:v>
      </x:c>
      <x:c r="O1464" s="2" t="str">
        <x:v>0</x:v>
      </x:c>
      <x:c r="P1464" s="2" t="str">
        <x:v>true</x:v>
      </x:c>
      <x:c r="Q1464" s="2" t="str">
        <x:v>NA</x:v>
      </x:c>
      <x:c r="R1464" s="2" t="str">
        <x:v>13.637707990710624</x:v>
      </x:c>
      <x:c r="S1464" s="2" t="str">
        <x:v>48.145298722885606</x:v>
      </x:c>
    </x:row>
    <x:row r="1465">
      <x:c r="A1465" s="2" t="str">
        <x:v>DE-CMP-01</x:v>
      </x:c>
      <x:c r="B1465" s="2" t="str">
        <x:v>CFG-C01</x:v>
      </x:c>
      <x:c r="C1465" s="2" t="n">
        <x:v>46227.70238086805</x:v>
      </x:c>
      <x:c r="D1465" s="2" t="str">
        <x:v>adaptive</x:v>
      </x:c>
      <x:c r="E1465" s="2" t="str">
        <x:v>monte_carlo</x:v>
      </x:c>
      <x:c r="F1465" s="2" t="str">
        <x:v>732</x:v>
      </x:c>
      <x:c r="G1465" s="2" t="str">
        <x:v>3174235</x:v>
      </x:c>
      <x:c r="H1465" s="2" t="str">
        <x:v>2048000.0</x:v>
      </x:c>
      <x:c r="I1465" s="2" t="str">
        <x:v>8192</x:v>
      </x:c>
      <x:c r="J1465" s="2" t="str">
        <x:v>250.0</x:v>
      </x:c>
      <x:c r="K1465" s="2" t="str">
        <x:v>0</x:v>
      </x:c>
      <x:c r="L1465" s="2" t="str">
        <x:v>3</x:v>
      </x:c>
      <x:c r="M1465" s="2" t="str">
        <x:v>0</x:v>
      </x:c>
      <x:c r="N1465" s="2" t="str">
        <x:v>3</x:v>
      </x:c>
      <x:c r="O1465" s="2" t="str">
        <x:v>0</x:v>
      </x:c>
      <x:c r="P1465" s="2" t="str">
        <x:v>true</x:v>
      </x:c>
      <x:c r="Q1465" s="2" t="str">
        <x:v>NA</x:v>
      </x:c>
      <x:c r="R1465" s="2" t="str">
        <x:v>0.440332994912751</x:v>
      </x:c>
      <x:c r="S1465" s="2" t="str">
        <x:v>46.3573397234626</x:v>
      </x:c>
    </x:row>
    <x:row r="1466">
      <x:c r="A1466" s="2" t="str">
        <x:v>DE-CMP-01</x:v>
      </x:c>
      <x:c r="B1466" s="2" t="str">
        <x:v>CFG-C01</x:v>
      </x:c>
      <x:c r="C1466" s="2" t="n">
        <x:v>46227.70238086805</x:v>
      </x:c>
      <x:c r="D1466" s="2" t="str">
        <x:v>adaptive</x:v>
      </x:c>
      <x:c r="E1466" s="2" t="str">
        <x:v>monte_carlo</x:v>
      </x:c>
      <x:c r="F1466" s="2" t="str">
        <x:v>733</x:v>
      </x:c>
      <x:c r="G1466" s="2" t="str">
        <x:v>3174236</x:v>
      </x:c>
      <x:c r="H1466" s="2" t="str">
        <x:v>2048000.0</x:v>
      </x:c>
      <x:c r="I1466" s="2" t="str">
        <x:v>8192</x:v>
      </x:c>
      <x:c r="J1466" s="2" t="str">
        <x:v>250.0</x:v>
      </x:c>
      <x:c r="K1466" s="2" t="str">
        <x:v>2</x:v>
      </x:c>
      <x:c r="L1466" s="2" t="str">
        <x:v>3</x:v>
      </x:c>
      <x:c r="M1466" s="2" t="str">
        <x:v>2</x:v>
      </x:c>
      <x:c r="N1466" s="2" t="str">
        <x:v>1</x:v>
      </x:c>
      <x:c r="O1466" s="2" t="str">
        <x:v>0</x:v>
      </x:c>
      <x:c r="P1466" s="2" t="str">
        <x:v>true</x:v>
      </x:c>
      <x:c r="Q1466" s="2" t="str">
        <x:v>0.000000000;0.000000000</x:v>
      </x:c>
      <x:c r="R1466" s="2" t="str">
        <x:v>0.4123329999856651</x:v>
      </x:c>
      <x:c r="S1466" s="2" t="str">
        <x:v>46.432497840126956</x:v>
      </x:c>
    </x:row>
    <x:row r="1467">
      <x:c r="A1467" s="2" t="str">
        <x:v>DE-CMP-01</x:v>
      </x:c>
      <x:c r="B1467" s="2" t="str">
        <x:v>CFG-C01</x:v>
      </x:c>
      <x:c r="C1467" s="2" t="n">
        <x:v>46227.70238086805</x:v>
      </x:c>
      <x:c r="D1467" s="2" t="str">
        <x:v>os_cfar</x:v>
      </x:c>
      <x:c r="E1467" s="2" t="str">
        <x:v>monte_carlo</x:v>
      </x:c>
      <x:c r="F1467" s="2" t="str">
        <x:v>733</x:v>
      </x:c>
      <x:c r="G1467" s="2" t="str">
        <x:v>3174236</x:v>
      </x:c>
      <x:c r="H1467" s="2" t="str">
        <x:v>2048000.0</x:v>
      </x:c>
      <x:c r="I1467" s="2" t="str">
        <x:v>8192</x:v>
      </x:c>
      <x:c r="J1467" s="2" t="str">
        <x:v>250.0</x:v>
      </x:c>
      <x:c r="K1467" s="2" t="str">
        <x:v>2</x:v>
      </x:c>
      <x:c r="L1467" s="2" t="str">
        <x:v>3</x:v>
      </x:c>
      <x:c r="M1467" s="2" t="str">
        <x:v>2</x:v>
      </x:c>
      <x:c r="N1467" s="2" t="str">
        <x:v>1</x:v>
      </x:c>
      <x:c r="O1467" s="2" t="str">
        <x:v>0</x:v>
      </x:c>
      <x:c r="P1467" s="2" t="str">
        <x:v>true</x:v>
      </x:c>
      <x:c r="Q1467" s="2" t="str">
        <x:v>0.000000000;0.000000000</x:v>
      </x:c>
      <x:c r="R1467" s="2" t="str">
        <x:v>13.628290995256975</x:v>
      </x:c>
      <x:c r="S1467" s="2" t="str">
        <x:v>48.101920440890154</x:v>
      </x:c>
    </x:row>
    <x:row r="1468">
      <x:c r="A1468" s="2" t="str">
        <x:v>DE-CMP-01</x:v>
      </x:c>
      <x:c r="B1468" s="2" t="str">
        <x:v>CFG-C01</x:v>
      </x:c>
      <x:c r="C1468" s="2" t="n">
        <x:v>46227.70238086805</x:v>
      </x:c>
      <x:c r="D1468" s="2" t="str">
        <x:v>os_cfar</x:v>
      </x:c>
      <x:c r="E1468" s="2" t="str">
        <x:v>monte_carlo</x:v>
      </x:c>
      <x:c r="F1468" s="2" t="str">
        <x:v>734</x:v>
      </x:c>
      <x:c r="G1468" s="2" t="str">
        <x:v>3174237</x:v>
      </x:c>
      <x:c r="H1468" s="2" t="str">
        <x:v>2048000.0</x:v>
      </x:c>
      <x:c r="I1468" s="2" t="str">
        <x:v>8192</x:v>
      </x:c>
      <x:c r="J1468" s="2" t="str">
        <x:v>250.0</x:v>
      </x:c>
      <x:c r="K1468" s="2" t="str">
        <x:v>2</x:v>
      </x:c>
      <x:c r="L1468" s="2" t="str">
        <x:v>3</x:v>
      </x:c>
      <x:c r="M1468" s="2" t="str">
        <x:v>2</x:v>
      </x:c>
      <x:c r="N1468" s="2" t="str">
        <x:v>1</x:v>
      </x:c>
      <x:c r="O1468" s="2" t="str">
        <x:v>0</x:v>
      </x:c>
      <x:c r="P1468" s="2" t="str">
        <x:v>true</x:v>
      </x:c>
      <x:c r="Q1468" s="2" t="str">
        <x:v>0.000000000;0.000000000</x:v>
      </x:c>
      <x:c r="R1468" s="2" t="str">
        <x:v>13.705375007702969</x:v>
      </x:c>
      <x:c r="S1468" s="2" t="str">
        <x:v>48.29403549519866</x:v>
      </x:c>
    </x:row>
    <x:row r="1469">
      <x:c r="A1469" s="2" t="str">
        <x:v>DE-CMP-01</x:v>
      </x:c>
      <x:c r="B1469" s="2" t="str">
        <x:v>CFG-C01</x:v>
      </x:c>
      <x:c r="C1469" s="2" t="n">
        <x:v>46227.70238086805</x:v>
      </x:c>
      <x:c r="D1469" s="2" t="str">
        <x:v>adaptive</x:v>
      </x:c>
      <x:c r="E1469" s="2" t="str">
        <x:v>monte_carlo</x:v>
      </x:c>
      <x:c r="F1469" s="2" t="str">
        <x:v>734</x:v>
      </x:c>
      <x:c r="G1469" s="2" t="str">
        <x:v>3174237</x:v>
      </x:c>
      <x:c r="H1469" s="2" t="str">
        <x:v>2048000.0</x:v>
      </x:c>
      <x:c r="I1469" s="2" t="str">
        <x:v>8192</x:v>
      </x:c>
      <x:c r="J1469" s="2" t="str">
        <x:v>250.0</x:v>
      </x:c>
      <x:c r="K1469" s="2" t="str">
        <x:v>2</x:v>
      </x:c>
      <x:c r="L1469" s="2" t="str">
        <x:v>3</x:v>
      </x:c>
      <x:c r="M1469" s="2" t="str">
        <x:v>2</x:v>
      </x:c>
      <x:c r="N1469" s="2" t="str">
        <x:v>1</x:v>
      </x:c>
      <x:c r="O1469" s="2" t="str">
        <x:v>0</x:v>
      </x:c>
      <x:c r="P1469" s="2" t="str">
        <x:v>true</x:v>
      </x:c>
      <x:c r="Q1469" s="2" t="str">
        <x:v>0.000000000;0.000000000</x:v>
      </x:c>
      <x:c r="R1469" s="2" t="str">
        <x:v>0.4038330080220476</x:v>
      </x:c>
      <x:c r="S1469" s="2" t="str">
        <x:v>46.50045206338981</x:v>
      </x:c>
    </x:row>
    <x:row r="1470">
      <x:c r="A1470" s="2" t="str">
        <x:v>DE-CMP-01</x:v>
      </x:c>
      <x:c r="B1470" s="2" t="str">
        <x:v>CFG-C01</x:v>
      </x:c>
      <x:c r="C1470" s="2" t="n">
        <x:v>46227.70238086805</x:v>
      </x:c>
      <x:c r="D1470" s="2" t="str">
        <x:v>adaptive</x:v>
      </x:c>
      <x:c r="E1470" s="2" t="str">
        <x:v>monte_carlo</x:v>
      </x:c>
      <x:c r="F1470" s="2" t="str">
        <x:v>735</x:v>
      </x:c>
      <x:c r="G1470" s="2" t="str">
        <x:v>3174238</x:v>
      </x:c>
      <x:c r="H1470" s="2" t="str">
        <x:v>2048000.0</x:v>
      </x:c>
      <x:c r="I1470" s="2" t="str">
        <x:v>8192</x:v>
      </x:c>
      <x:c r="J1470" s="2" t="str">
        <x:v>250.0</x:v>
      </x:c>
      <x:c r="K1470" s="2" t="str">
        <x:v>2</x:v>
      </x:c>
      <x:c r="L1470" s="2" t="str">
        <x:v>3</x:v>
      </x:c>
      <x:c r="M1470" s="2" t="str">
        <x:v>2</x:v>
      </x:c>
      <x:c r="N1470" s="2" t="str">
        <x:v>1</x:v>
      </x:c>
      <x:c r="O1470" s="2" t="str">
        <x:v>0</x:v>
      </x:c>
      <x:c r="P1470" s="2" t="str">
        <x:v>true</x:v>
      </x:c>
      <x:c r="Q1470" s="2" t="str">
        <x:v>0.000000000;0.000000000</x:v>
      </x:c>
      <x:c r="R1470" s="2" t="str">
        <x:v>0.41074999899137765</x:v>
      </x:c>
      <x:c r="S1470" s="2" t="str">
        <x:v>46.4706595498664</x:v>
      </x:c>
    </x:row>
    <x:row r="1471">
      <x:c r="A1471" s="2" t="str">
        <x:v>DE-CMP-01</x:v>
      </x:c>
      <x:c r="B1471" s="2" t="str">
        <x:v>CFG-C01</x:v>
      </x:c>
      <x:c r="C1471" s="2" t="n">
        <x:v>46227.70238086805</x:v>
      </x:c>
      <x:c r="D1471" s="2" t="str">
        <x:v>os_cfar</x:v>
      </x:c>
      <x:c r="E1471" s="2" t="str">
        <x:v>monte_carlo</x:v>
      </x:c>
      <x:c r="F1471" s="2" t="str">
        <x:v>735</x:v>
      </x:c>
      <x:c r="G1471" s="2" t="str">
        <x:v>3174238</x:v>
      </x:c>
      <x:c r="H1471" s="2" t="str">
        <x:v>2048000.0</x:v>
      </x:c>
      <x:c r="I1471" s="2" t="str">
        <x:v>8192</x:v>
      </x:c>
      <x:c r="J1471" s="2" t="str">
        <x:v>250.0</x:v>
      </x:c>
      <x:c r="K1471" s="2" t="str">
        <x:v>2</x:v>
      </x:c>
      <x:c r="L1471" s="2" t="str">
        <x:v>3</x:v>
      </x:c>
      <x:c r="M1471" s="2" t="str">
        <x:v>2</x:v>
      </x:c>
      <x:c r="N1471" s="2" t="str">
        <x:v>1</x:v>
      </x:c>
      <x:c r="O1471" s="2" t="str">
        <x:v>0</x:v>
      </x:c>
      <x:c r="P1471" s="2" t="str">
        <x:v>true</x:v>
      </x:c>
      <x:c r="Q1471" s="2" t="str">
        <x:v>0.000000000;0.000000000</x:v>
      </x:c>
      <x:c r="R1471" s="2" t="str">
        <x:v>13.61712500511203</x:v>
      </x:c>
      <x:c r="S1471" s="2" t="str">
        <x:v>48.26773676529915</x:v>
      </x:c>
    </x:row>
    <x:row r="1472">
      <x:c r="A1472" s="2" t="str">
        <x:v>DE-CMP-01</x:v>
      </x:c>
      <x:c r="B1472" s="2" t="str">
        <x:v>CFG-C01</x:v>
      </x:c>
      <x:c r="C1472" s="2" t="n">
        <x:v>46227.70238086805</x:v>
      </x:c>
      <x:c r="D1472" s="2" t="str">
        <x:v>os_cfar</x:v>
      </x:c>
      <x:c r="E1472" s="2" t="str">
        <x:v>monte_carlo</x:v>
      </x:c>
      <x:c r="F1472" s="2" t="str">
        <x:v>736</x:v>
      </x:c>
      <x:c r="G1472" s="2" t="str">
        <x:v>3174239</x:v>
      </x:c>
      <x:c r="H1472" s="2" t="str">
        <x:v>2048000.0</x:v>
      </x:c>
      <x:c r="I1472" s="2" t="str">
        <x:v>8192</x:v>
      </x:c>
      <x:c r="J1472" s="2" t="str">
        <x:v>250.0</x:v>
      </x:c>
      <x:c r="K1472" s="2" t="str">
        <x:v>0</x:v>
      </x:c>
      <x:c r="L1472" s="2" t="str">
        <x:v>3</x:v>
      </x:c>
      <x:c r="M1472" s="2" t="str">
        <x:v>0</x:v>
      </x:c>
      <x:c r="N1472" s="2" t="str">
        <x:v>3</x:v>
      </x:c>
      <x:c r="O1472" s="2" t="str">
        <x:v>0</x:v>
      </x:c>
      <x:c r="P1472" s="2" t="str">
        <x:v>true</x:v>
      </x:c>
      <x:c r="Q1472" s="2" t="str">
        <x:v>NA</x:v>
      </x:c>
      <x:c r="R1472" s="2" t="str">
        <x:v>13.609208006528206</x:v>
      </x:c>
      <x:c r="S1472" s="2" t="str">
        <x:v>48.26894200256496</x:v>
      </x:c>
    </x:row>
    <x:row r="1473">
      <x:c r="A1473" s="2" t="str">
        <x:v>DE-CMP-01</x:v>
      </x:c>
      <x:c r="B1473" s="2" t="str">
        <x:v>CFG-C01</x:v>
      </x:c>
      <x:c r="C1473" s="2" t="n">
        <x:v>46227.70238086805</x:v>
      </x:c>
      <x:c r="D1473" s="2" t="str">
        <x:v>adaptive</x:v>
      </x:c>
      <x:c r="E1473" s="2" t="str">
        <x:v>monte_carlo</x:v>
      </x:c>
      <x:c r="F1473" s="2" t="str">
        <x:v>736</x:v>
      </x:c>
      <x:c r="G1473" s="2" t="str">
        <x:v>3174239</x:v>
      </x:c>
      <x:c r="H1473" s="2" t="str">
        <x:v>2048000.0</x:v>
      </x:c>
      <x:c r="I1473" s="2" t="str">
        <x:v>8192</x:v>
      </x:c>
      <x:c r="J1473" s="2" t="str">
        <x:v>250.0</x:v>
      </x:c>
      <x:c r="K1473" s="2" t="str">
        <x:v>0</x:v>
      </x:c>
      <x:c r="L1473" s="2" t="str">
        <x:v>3</x:v>
      </x:c>
      <x:c r="M1473" s="2" t="str">
        <x:v>0</x:v>
      </x:c>
      <x:c r="N1473" s="2" t="str">
        <x:v>3</x:v>
      </x:c>
      <x:c r="O1473" s="2" t="str">
        <x:v>0</x:v>
      </x:c>
      <x:c r="P1473" s="2" t="str">
        <x:v>true</x:v>
      </x:c>
      <x:c r="Q1473" s="2" t="str">
        <x:v>NA</x:v>
      </x:c>
      <x:c r="R1473" s="2" t="str">
        <x:v>0.3734170022653416</x:v>
      </x:c>
      <x:c r="S1473" s="2" t="str">
        <x:v>46.5002019138312</x:v>
      </x:c>
    </x:row>
    <x:row r="1474">
      <x:c r="A1474" s="2" t="str">
        <x:v>DE-CMP-01</x:v>
      </x:c>
      <x:c r="B1474" s="2" t="str">
        <x:v>CFG-C01</x:v>
      </x:c>
      <x:c r="C1474" s="2" t="n">
        <x:v>46227.70238086805</x:v>
      </x:c>
      <x:c r="D1474" s="2" t="str">
        <x:v>adaptive</x:v>
      </x:c>
      <x:c r="E1474" s="2" t="str">
        <x:v>monte_carlo</x:v>
      </x:c>
      <x:c r="F1474" s="2" t="str">
        <x:v>737</x:v>
      </x:c>
      <x:c r="G1474" s="2" t="str">
        <x:v>3174240</x:v>
      </x:c>
      <x:c r="H1474" s="2" t="str">
        <x:v>2048000.0</x:v>
      </x:c>
      <x:c r="I1474" s="2" t="str">
        <x:v>8192</x:v>
      </x:c>
      <x:c r="J1474" s="2" t="str">
        <x:v>250.0</x:v>
      </x:c>
      <x:c r="K1474" s="2" t="str">
        <x:v>3</x:v>
      </x:c>
      <x:c r="L1474" s="2" t="str">
        <x:v>3</x:v>
      </x:c>
      <x:c r="M1474" s="2" t="str">
        <x:v>3</x:v>
      </x:c>
      <x:c r="N1474" s="2" t="str">
        <x:v>0</x:v>
      </x:c>
      <x:c r="O1474" s="2" t="str">
        <x:v>0</x:v>
      </x:c>
      <x:c r="P1474" s="2" t="str">
        <x:v>false</x:v>
      </x:c>
      <x:c r="Q1474" s="2" t="str">
        <x:v>0.000000000;0.000000000;0.000000000</x:v>
      </x:c>
      <x:c r="R1474" s="2" t="str">
        <x:v>0.40570899727754295</x:v>
      </x:c>
      <x:c r="S1474" s="2" t="str">
        <x:v>46.48383395663128</x:v>
      </x:c>
    </x:row>
    <x:row r="1475">
      <x:c r="A1475" s="2" t="str">
        <x:v>DE-CMP-01</x:v>
      </x:c>
      <x:c r="B1475" s="2" t="str">
        <x:v>CFG-C01</x:v>
      </x:c>
      <x:c r="C1475" s="2" t="n">
        <x:v>46227.70238086805</x:v>
      </x:c>
      <x:c r="D1475" s="2" t="str">
        <x:v>os_cfar</x:v>
      </x:c>
      <x:c r="E1475" s="2" t="str">
        <x:v>monte_carlo</x:v>
      </x:c>
      <x:c r="F1475" s="2" t="str">
        <x:v>737</x:v>
      </x:c>
      <x:c r="G1475" s="2" t="str">
        <x:v>3174240</x:v>
      </x:c>
      <x:c r="H1475" s="2" t="str">
        <x:v>2048000.0</x:v>
      </x:c>
      <x:c r="I1475" s="2" t="str">
        <x:v>8192</x:v>
      </x:c>
      <x:c r="J1475" s="2" t="str">
        <x:v>250.0</x:v>
      </x:c>
      <x:c r="K1475" s="2" t="str">
        <x:v>3</x:v>
      </x:c>
      <x:c r="L1475" s="2" t="str">
        <x:v>3</x:v>
      </x:c>
      <x:c r="M1475" s="2" t="str">
        <x:v>3</x:v>
      </x:c>
      <x:c r="N1475" s="2" t="str">
        <x:v>0</x:v>
      </x:c>
      <x:c r="O1475" s="2" t="str">
        <x:v>0</x:v>
      </x:c>
      <x:c r="P1475" s="2" t="str">
        <x:v>false</x:v>
      </x:c>
      <x:c r="Q1475" s="2" t="str">
        <x:v>0.000000000;0.000000000;0.000000000</x:v>
      </x:c>
      <x:c r="R1475" s="2" t="str">
        <x:v>13.530833006370813</x:v>
      </x:c>
      <x:c r="S1475" s="2" t="str">
        <x:v>48.200939523543695</x:v>
      </x:c>
    </x:row>
    <x:row r="1476">
      <x:c r="A1476" s="2" t="str">
        <x:v>DE-CMP-01</x:v>
      </x:c>
      <x:c r="B1476" s="2" t="str">
        <x:v>CFG-C01</x:v>
      </x:c>
      <x:c r="C1476" s="2" t="n">
        <x:v>46227.70238086805</x:v>
      </x:c>
      <x:c r="D1476" s="2" t="str">
        <x:v>os_cfar</x:v>
      </x:c>
      <x:c r="E1476" s="2" t="str">
        <x:v>monte_carlo</x:v>
      </x:c>
      <x:c r="F1476" s="2" t="str">
        <x:v>738</x:v>
      </x:c>
      <x:c r="G1476" s="2" t="str">
        <x:v>3174241</x:v>
      </x:c>
      <x:c r="H1476" s="2" t="str">
        <x:v>2048000.0</x:v>
      </x:c>
      <x:c r="I1476" s="2" t="str">
        <x:v>8192</x:v>
      </x:c>
      <x:c r="J1476" s="2" t="str">
        <x:v>250.0</x:v>
      </x:c>
      <x:c r="K1476" s="2" t="str">
        <x:v>0</x:v>
      </x:c>
      <x:c r="L1476" s="2" t="str">
        <x:v>3</x:v>
      </x:c>
      <x:c r="M1476" s="2" t="str">
        <x:v>0</x:v>
      </x:c>
      <x:c r="N1476" s="2" t="str">
        <x:v>3</x:v>
      </x:c>
      <x:c r="O1476" s="2" t="str">
        <x:v>0</x:v>
      </x:c>
      <x:c r="P1476" s="2" t="str">
        <x:v>true</x:v>
      </x:c>
      <x:c r="Q1476" s="2" t="str">
        <x:v>NA</x:v>
      </x:c>
      <x:c r="R1476" s="2" t="str">
        <x:v>13.632709000376053</x:v>
      </x:c>
      <x:c r="S1476" s="2" t="str">
        <x:v>48.154834543659774</x:v>
      </x:c>
    </x:row>
    <x:row r="1477">
      <x:c r="A1477" s="2" t="str">
        <x:v>DE-CMP-01</x:v>
      </x:c>
      <x:c r="B1477" s="2" t="str">
        <x:v>CFG-C01</x:v>
      </x:c>
      <x:c r="C1477" s="2" t="n">
        <x:v>46227.70238086805</x:v>
      </x:c>
      <x:c r="D1477" s="2" t="str">
        <x:v>adaptive</x:v>
      </x:c>
      <x:c r="E1477" s="2" t="str">
        <x:v>monte_carlo</x:v>
      </x:c>
      <x:c r="F1477" s="2" t="str">
        <x:v>738</x:v>
      </x:c>
      <x:c r="G1477" s="2" t="str">
        <x:v>3174241</x:v>
      </x:c>
      <x:c r="H1477" s="2" t="str">
        <x:v>2048000.0</x:v>
      </x:c>
      <x:c r="I1477" s="2" t="str">
        <x:v>8192</x:v>
      </x:c>
      <x:c r="J1477" s="2" t="str">
        <x:v>250.0</x:v>
      </x:c>
      <x:c r="K1477" s="2" t="str">
        <x:v>0</x:v>
      </x:c>
      <x:c r="L1477" s="2" t="str">
        <x:v>3</x:v>
      </x:c>
      <x:c r="M1477" s="2" t="str">
        <x:v>0</x:v>
      </x:c>
      <x:c r="N1477" s="2" t="str">
        <x:v>3</x:v>
      </x:c>
      <x:c r="O1477" s="2" t="str">
        <x:v>0</x:v>
      </x:c>
      <x:c r="P1477" s="2" t="str">
        <x:v>true</x:v>
      </x:c>
      <x:c r="Q1477" s="2" t="str">
        <x:v>NA</x:v>
      </x:c>
      <x:c r="R1477" s="2" t="str">
        <x:v>0.47454099694732577</x:v>
      </x:c>
      <x:c r="S1477" s="2" t="str">
        <x:v>46.455780634454946</x:v>
      </x:c>
    </x:row>
    <x:row r="1478">
      <x:c r="A1478" s="2" t="str">
        <x:v>DE-CMP-01</x:v>
      </x:c>
      <x:c r="B1478" s="2" t="str">
        <x:v>CFG-C01</x:v>
      </x:c>
      <x:c r="C1478" s="2" t="n">
        <x:v>46227.70238086805</x:v>
      </x:c>
      <x:c r="D1478" s="2" t="str">
        <x:v>adaptive</x:v>
      </x:c>
      <x:c r="E1478" s="2" t="str">
        <x:v>monte_carlo</x:v>
      </x:c>
      <x:c r="F1478" s="2" t="str">
        <x:v>739</x:v>
      </x:c>
      <x:c r="G1478" s="2" t="str">
        <x:v>3174242</x:v>
      </x:c>
      <x:c r="H1478" s="2" t="str">
        <x:v>2048000.0</x:v>
      </x:c>
      <x:c r="I1478" s="2" t="str">
        <x:v>8192</x:v>
      </x:c>
      <x:c r="J1478" s="2" t="str">
        <x:v>250.0</x:v>
      </x:c>
      <x:c r="K1478" s="2" t="str">
        <x:v>1</x:v>
      </x:c>
      <x:c r="L1478" s="2" t="str">
        <x:v>3</x:v>
      </x:c>
      <x:c r="M1478" s="2" t="str">
        <x:v>1</x:v>
      </x:c>
      <x:c r="N1478" s="2" t="str">
        <x:v>2</x:v>
      </x:c>
      <x:c r="O1478" s="2" t="str">
        <x:v>0</x:v>
      </x:c>
      <x:c r="P1478" s="2" t="str">
        <x:v>true</x:v>
      </x:c>
      <x:c r="Q1478" s="2" t="str">
        <x:v>0.000000000</x:v>
      </x:c>
      <x:c r="R1478" s="2" t="str">
        <x:v>0.41725000482983887</x:v>
      </x:c>
      <x:c r="S1478" s="2" t="str">
        <x:v>46.37713850567528</x:v>
      </x:c>
    </x:row>
    <x:row r="1479">
      <x:c r="A1479" s="2" t="str">
        <x:v>DE-CMP-01</x:v>
      </x:c>
      <x:c r="B1479" s="2" t="str">
        <x:v>CFG-C01</x:v>
      </x:c>
      <x:c r="C1479" s="2" t="n">
        <x:v>46227.70238086805</x:v>
      </x:c>
      <x:c r="D1479" s="2" t="str">
        <x:v>os_cfar</x:v>
      </x:c>
      <x:c r="E1479" s="2" t="str">
        <x:v>monte_carlo</x:v>
      </x:c>
      <x:c r="F1479" s="2" t="str">
        <x:v>739</x:v>
      </x:c>
      <x:c r="G1479" s="2" t="str">
        <x:v>3174242</x:v>
      </x:c>
      <x:c r="H1479" s="2" t="str">
        <x:v>2048000.0</x:v>
      </x:c>
      <x:c r="I1479" s="2" t="str">
        <x:v>8192</x:v>
      </x:c>
      <x:c r="J1479" s="2" t="str">
        <x:v>250.0</x:v>
      </x:c>
      <x:c r="K1479" s="2" t="str">
        <x:v>1</x:v>
      </x:c>
      <x:c r="L1479" s="2" t="str">
        <x:v>3</x:v>
      </x:c>
      <x:c r="M1479" s="2" t="str">
        <x:v>1</x:v>
      </x:c>
      <x:c r="N1479" s="2" t="str">
        <x:v>2</x:v>
      </x:c>
      <x:c r="O1479" s="2" t="str">
        <x:v>0</x:v>
      </x:c>
      <x:c r="P1479" s="2" t="str">
        <x:v>true</x:v>
      </x:c>
      <x:c r="Q1479" s="2" t="str">
        <x:v>0.000000000</x:v>
      </x:c>
      <x:c r="R1479" s="2" t="str">
        <x:v>13.35037499666214</x:v>
      </x:c>
      <x:c r="S1479" s="2" t="str">
        <x:v>48.29340125208698</x:v>
      </x:c>
    </x:row>
    <x:row r="1480">
      <x:c r="A1480" s="2" t="str">
        <x:v>DE-CMP-01</x:v>
      </x:c>
      <x:c r="B1480" s="2" t="str">
        <x:v>CFG-C01</x:v>
      </x:c>
      <x:c r="C1480" s="2" t="n">
        <x:v>46227.70238086805</x:v>
      </x:c>
      <x:c r="D1480" s="2" t="str">
        <x:v>os_cfar</x:v>
      </x:c>
      <x:c r="E1480" s="2" t="str">
        <x:v>monte_carlo</x:v>
      </x:c>
      <x:c r="F1480" s="2" t="str">
        <x:v>740</x:v>
      </x:c>
      <x:c r="G1480" s="2" t="str">
        <x:v>3174243</x:v>
      </x:c>
      <x:c r="H1480" s="2" t="str">
        <x:v>2048000.0</x:v>
      </x:c>
      <x:c r="I1480" s="2" t="str">
        <x:v>8192</x:v>
      </x:c>
      <x:c r="J1480" s="2" t="str">
        <x:v>250.0</x:v>
      </x:c>
      <x:c r="K1480" s="2" t="str">
        <x:v>2</x:v>
      </x:c>
      <x:c r="L1480" s="2" t="str">
        <x:v>3</x:v>
      </x:c>
      <x:c r="M1480" s="2" t="str">
        <x:v>2</x:v>
      </x:c>
      <x:c r="N1480" s="2" t="str">
        <x:v>1</x:v>
      </x:c>
      <x:c r="O1480" s="2" t="str">
        <x:v>0</x:v>
      </x:c>
      <x:c r="P1480" s="2" t="str">
        <x:v>true</x:v>
      </x:c>
      <x:c r="Q1480" s="2" t="str">
        <x:v>0.000000000;0.000000000</x:v>
      </x:c>
      <x:c r="R1480" s="2" t="str">
        <x:v>13.545791007345542</x:v>
      </x:c>
      <x:c r="S1480" s="2" t="str">
        <x:v>48.304737221774516</x:v>
      </x:c>
    </x:row>
    <x:row r="1481">
      <x:c r="A1481" s="2" t="str">
        <x:v>DE-CMP-01</x:v>
      </x:c>
      <x:c r="B1481" s="2" t="str">
        <x:v>CFG-C01</x:v>
      </x:c>
      <x:c r="C1481" s="2" t="n">
        <x:v>46227.70238086805</x:v>
      </x:c>
      <x:c r="D1481" s="2" t="str">
        <x:v>adaptive</x:v>
      </x:c>
      <x:c r="E1481" s="2" t="str">
        <x:v>monte_carlo</x:v>
      </x:c>
      <x:c r="F1481" s="2" t="str">
        <x:v>740</x:v>
      </x:c>
      <x:c r="G1481" s="2" t="str">
        <x:v>3174243</x:v>
      </x:c>
      <x:c r="H1481" s="2" t="str">
        <x:v>2048000.0</x:v>
      </x:c>
      <x:c r="I1481" s="2" t="str">
        <x:v>8192</x:v>
      </x:c>
      <x:c r="J1481" s="2" t="str">
        <x:v>250.0</x:v>
      </x:c>
      <x:c r="K1481" s="2" t="str">
        <x:v>2</x:v>
      </x:c>
      <x:c r="L1481" s="2" t="str">
        <x:v>3</x:v>
      </x:c>
      <x:c r="M1481" s="2" t="str">
        <x:v>2</x:v>
      </x:c>
      <x:c r="N1481" s="2" t="str">
        <x:v>1</x:v>
      </x:c>
      <x:c r="O1481" s="2" t="str">
        <x:v>0</x:v>
      </x:c>
      <x:c r="P1481" s="2" t="str">
        <x:v>true</x:v>
      </x:c>
      <x:c r="Q1481" s="2" t="str">
        <x:v>0.000000000;0.000000000</x:v>
      </x:c>
      <x:c r="R1481" s="2" t="str">
        <x:v>0.42991699592676014</x:v>
      </x:c>
      <x:c r="S1481" s="2" t="str">
        <x:v>46.55957010712913</x:v>
      </x:c>
    </x:row>
    <x:row r="1482">
      <x:c r="A1482" s="2" t="str">
        <x:v>DE-CMP-01</x:v>
      </x:c>
      <x:c r="B1482" s="2" t="str">
        <x:v>CFG-C01</x:v>
      </x:c>
      <x:c r="C1482" s="2" t="n">
        <x:v>46227.70238086805</x:v>
      </x:c>
      <x:c r="D1482" s="2" t="str">
        <x:v>adaptive</x:v>
      </x:c>
      <x:c r="E1482" s="2" t="str">
        <x:v>monte_carlo</x:v>
      </x:c>
      <x:c r="F1482" s="2" t="str">
        <x:v>741</x:v>
      </x:c>
      <x:c r="G1482" s="2" t="str">
        <x:v>3174244</x:v>
      </x:c>
      <x:c r="H1482" s="2" t="str">
        <x:v>2048000.0</x:v>
      </x:c>
      <x:c r="I1482" s="2" t="str">
        <x:v>8192</x:v>
      </x:c>
      <x:c r="J1482" s="2" t="str">
        <x:v>250.0</x:v>
      </x:c>
      <x:c r="K1482" s="2" t="str">
        <x:v>0</x:v>
      </x:c>
      <x:c r="L1482" s="2" t="str">
        <x:v>3</x:v>
      </x:c>
      <x:c r="M1482" s="2" t="str">
        <x:v>0</x:v>
      </x:c>
      <x:c r="N1482" s="2" t="str">
        <x:v>3</x:v>
      </x:c>
      <x:c r="O1482" s="2" t="str">
        <x:v>0</x:v>
      </x:c>
      <x:c r="P1482" s="2" t="str">
        <x:v>true</x:v>
      </x:c>
      <x:c r="Q1482" s="2" t="str">
        <x:v>NA</x:v>
      </x:c>
      <x:c r="R1482" s="2" t="str">
        <x:v>0.42683300853241235</x:v>
      </x:c>
      <x:c r="S1482" s="2" t="str">
        <x:v>46.374398101898734</x:v>
      </x:c>
    </x:row>
    <x:row r="1483">
      <x:c r="A1483" s="2" t="str">
        <x:v>DE-CMP-01</x:v>
      </x:c>
      <x:c r="B1483" s="2" t="str">
        <x:v>CFG-C01</x:v>
      </x:c>
      <x:c r="C1483" s="2" t="n">
        <x:v>46227.70238086805</x:v>
      </x:c>
      <x:c r="D1483" s="2" t="str">
        <x:v>os_cfar</x:v>
      </x:c>
      <x:c r="E1483" s="2" t="str">
        <x:v>monte_carlo</x:v>
      </x:c>
      <x:c r="F1483" s="2" t="str">
        <x:v>741</x:v>
      </x:c>
      <x:c r="G1483" s="2" t="str">
        <x:v>3174244</x:v>
      </x:c>
      <x:c r="H1483" s="2" t="str">
        <x:v>2048000.0</x:v>
      </x:c>
      <x:c r="I1483" s="2" t="str">
        <x:v>8192</x:v>
      </x:c>
      <x:c r="J1483" s="2" t="str">
        <x:v>250.0</x:v>
      </x:c>
      <x:c r="K1483" s="2" t="str">
        <x:v>0</x:v>
      </x:c>
      <x:c r="L1483" s="2" t="str">
        <x:v>3</x:v>
      </x:c>
      <x:c r="M1483" s="2" t="str">
        <x:v>0</x:v>
      </x:c>
      <x:c r="N1483" s="2" t="str">
        <x:v>3</x:v>
      </x:c>
      <x:c r="O1483" s="2" t="str">
        <x:v>0</x:v>
      </x:c>
      <x:c r="P1483" s="2" t="str">
        <x:v>true</x:v>
      </x:c>
      <x:c r="Q1483" s="2" t="str">
        <x:v>NA</x:v>
      </x:c>
      <x:c r="R1483" s="2" t="str">
        <x:v>13.620166995679028</x:v>
      </x:c>
      <x:c r="S1483" s="2" t="str">
        <x:v>48.32280951886419</x:v>
      </x:c>
    </x:row>
    <x:row r="1484">
      <x:c r="A1484" s="2" t="str">
        <x:v>DE-CMP-01</x:v>
      </x:c>
      <x:c r="B1484" s="2" t="str">
        <x:v>CFG-C01</x:v>
      </x:c>
      <x:c r="C1484" s="2" t="n">
        <x:v>46227.70238086805</x:v>
      </x:c>
      <x:c r="D1484" s="2" t="str">
        <x:v>os_cfar</x:v>
      </x:c>
      <x:c r="E1484" s="2" t="str">
        <x:v>monte_carlo</x:v>
      </x:c>
      <x:c r="F1484" s="2" t="str">
        <x:v>742</x:v>
      </x:c>
      <x:c r="G1484" s="2" t="str">
        <x:v>3174245</x:v>
      </x:c>
      <x:c r="H1484" s="2" t="str">
        <x:v>2048000.0</x:v>
      </x:c>
      <x:c r="I1484" s="2" t="str">
        <x:v>8192</x:v>
      </x:c>
      <x:c r="J1484" s="2" t="str">
        <x:v>250.0</x:v>
      </x:c>
      <x:c r="K1484" s="2" t="str">
        <x:v>3</x:v>
      </x:c>
      <x:c r="L1484" s="2" t="str">
        <x:v>3</x:v>
      </x:c>
      <x:c r="M1484" s="2" t="str">
        <x:v>3</x:v>
      </x:c>
      <x:c r="N1484" s="2" t="str">
        <x:v>0</x:v>
      </x:c>
      <x:c r="O1484" s="2" t="str">
        <x:v>0</x:v>
      </x:c>
      <x:c r="P1484" s="2" t="str">
        <x:v>false</x:v>
      </x:c>
      <x:c r="Q1484" s="2" t="str">
        <x:v>0.000000000;0.000000000;0.000000000</x:v>
      </x:c>
      <x:c r="R1484" s="2" t="str">
        <x:v>13.578208003309555</x:v>
      </x:c>
      <x:c r="S1484" s="2" t="str">
        <x:v>48.32087789231028</x:v>
      </x:c>
    </x:row>
    <x:row r="1485">
      <x:c r="A1485" s="2" t="str">
        <x:v>DE-CMP-01</x:v>
      </x:c>
      <x:c r="B1485" s="2" t="str">
        <x:v>CFG-C01</x:v>
      </x:c>
      <x:c r="C1485" s="2" t="n">
        <x:v>46227.70238086805</x:v>
      </x:c>
      <x:c r="D1485" s="2" t="str">
        <x:v>adaptive</x:v>
      </x:c>
      <x:c r="E1485" s="2" t="str">
        <x:v>monte_carlo</x:v>
      </x:c>
      <x:c r="F1485" s="2" t="str">
        <x:v>742</x:v>
      </x:c>
      <x:c r="G1485" s="2" t="str">
        <x:v>3174245</x:v>
      </x:c>
      <x:c r="H1485" s="2" t="str">
        <x:v>2048000.0</x:v>
      </x:c>
      <x:c r="I1485" s="2" t="str">
        <x:v>8192</x:v>
      </x:c>
      <x:c r="J1485" s="2" t="str">
        <x:v>250.0</x:v>
      </x:c>
      <x:c r="K1485" s="2" t="str">
        <x:v>3</x:v>
      </x:c>
      <x:c r="L1485" s="2" t="str">
        <x:v>3</x:v>
      </x:c>
      <x:c r="M1485" s="2" t="str">
        <x:v>3</x:v>
      </x:c>
      <x:c r="N1485" s="2" t="str">
        <x:v>0</x:v>
      </x:c>
      <x:c r="O1485" s="2" t="str">
        <x:v>0</x:v>
      </x:c>
      <x:c r="P1485" s="2" t="str">
        <x:v>false</x:v>
      </x:c>
      <x:c r="Q1485" s="2" t="str">
        <x:v>0.000000000;0.000000000;0.000000000</x:v>
      </x:c>
      <x:c r="R1485" s="2" t="str">
        <x:v>0.40862499736249447</x:v>
      </x:c>
      <x:c r="S1485" s="2" t="str">
        <x:v>46.40128508852995</x:v>
      </x:c>
    </x:row>
    <x:row r="1486">
      <x:c r="A1486" s="2" t="str">
        <x:v>DE-CMP-01</x:v>
      </x:c>
      <x:c r="B1486" s="2" t="str">
        <x:v>CFG-C01</x:v>
      </x:c>
      <x:c r="C1486" s="2" t="n">
        <x:v>46227.70238086805</x:v>
      </x:c>
      <x:c r="D1486" s="2" t="str">
        <x:v>adaptive</x:v>
      </x:c>
      <x:c r="E1486" s="2" t="str">
        <x:v>monte_carlo</x:v>
      </x:c>
      <x:c r="F1486" s="2" t="str">
        <x:v>743</x:v>
      </x:c>
      <x:c r="G1486" s="2" t="str">
        <x:v>3174246</x:v>
      </x:c>
      <x:c r="H1486" s="2" t="str">
        <x:v>2048000.0</x:v>
      </x:c>
      <x:c r="I1486" s="2" t="str">
        <x:v>8192</x:v>
      </x:c>
      <x:c r="J1486" s="2" t="str">
        <x:v>250.0</x:v>
      </x:c>
      <x:c r="K1486" s="2" t="str">
        <x:v>0</x:v>
      </x:c>
      <x:c r="L1486" s="2" t="str">
        <x:v>3</x:v>
      </x:c>
      <x:c r="M1486" s="2" t="str">
        <x:v>0</x:v>
      </x:c>
      <x:c r="N1486" s="2" t="str">
        <x:v>3</x:v>
      </x:c>
      <x:c r="O1486" s="2" t="str">
        <x:v>0</x:v>
      </x:c>
      <x:c r="P1486" s="2" t="str">
        <x:v>true</x:v>
      </x:c>
      <x:c r="Q1486" s="2" t="str">
        <x:v>NA</x:v>
      </x:c>
      <x:c r="R1486" s="2" t="str">
        <x:v>0.4035419988213107</x:v>
      </x:c>
      <x:c r="S1486" s="2" t="str">
        <x:v>46.513562715945</x:v>
      </x:c>
    </x:row>
    <x:row r="1487">
      <x:c r="A1487" s="2" t="str">
        <x:v>DE-CMP-01</x:v>
      </x:c>
      <x:c r="B1487" s="2" t="str">
        <x:v>CFG-C01</x:v>
      </x:c>
      <x:c r="C1487" s="2" t="n">
        <x:v>46227.70238086805</x:v>
      </x:c>
      <x:c r="D1487" s="2" t="str">
        <x:v>os_cfar</x:v>
      </x:c>
      <x:c r="E1487" s="2" t="str">
        <x:v>monte_carlo</x:v>
      </x:c>
      <x:c r="F1487" s="2" t="str">
        <x:v>743</x:v>
      </x:c>
      <x:c r="G1487" s="2" t="str">
        <x:v>3174246</x:v>
      </x:c>
      <x:c r="H1487" s="2" t="str">
        <x:v>2048000.0</x:v>
      </x:c>
      <x:c r="I1487" s="2" t="str">
        <x:v>8192</x:v>
      </x:c>
      <x:c r="J1487" s="2" t="str">
        <x:v>250.0</x:v>
      </x:c>
      <x:c r="K1487" s="2" t="str">
        <x:v>0</x:v>
      </x:c>
      <x:c r="L1487" s="2" t="str">
        <x:v>3</x:v>
      </x:c>
      <x:c r="M1487" s="2" t="str">
        <x:v>0</x:v>
      </x:c>
      <x:c r="N1487" s="2" t="str">
        <x:v>3</x:v>
      </x:c>
      <x:c r="O1487" s="2" t="str">
        <x:v>0</x:v>
      </x:c>
      <x:c r="P1487" s="2" t="str">
        <x:v>true</x:v>
      </x:c>
      <x:c r="Q1487" s="2" t="str">
        <x:v>NA</x:v>
      </x:c>
      <x:c r="R1487" s="2" t="str">
        <x:v>13.587415989604779</x:v>
      </x:c>
      <x:c r="S1487" s="2" t="str">
        <x:v>48.151696952700675</x:v>
      </x:c>
    </x:row>
    <x:row r="1488">
      <x:c r="A1488" s="2" t="str">
        <x:v>DE-CMP-01</x:v>
      </x:c>
      <x:c r="B1488" s="2" t="str">
        <x:v>CFG-C01</x:v>
      </x:c>
      <x:c r="C1488" s="2" t="n">
        <x:v>46227.70238086805</x:v>
      </x:c>
      <x:c r="D1488" s="2" t="str">
        <x:v>os_cfar</x:v>
      </x:c>
      <x:c r="E1488" s="2" t="str">
        <x:v>monte_carlo</x:v>
      </x:c>
      <x:c r="F1488" s="2" t="str">
        <x:v>744</x:v>
      </x:c>
      <x:c r="G1488" s="2" t="str">
        <x:v>3174247</x:v>
      </x:c>
      <x:c r="H1488" s="2" t="str">
        <x:v>2048000.0</x:v>
      </x:c>
      <x:c r="I1488" s="2" t="str">
        <x:v>8192</x:v>
      </x:c>
      <x:c r="J1488" s="2" t="str">
        <x:v>250.0</x:v>
      </x:c>
      <x:c r="K1488" s="2" t="str">
        <x:v>1</x:v>
      </x:c>
      <x:c r="L1488" s="2" t="str">
        <x:v>3</x:v>
      </x:c>
      <x:c r="M1488" s="2" t="str">
        <x:v>1</x:v>
      </x:c>
      <x:c r="N1488" s="2" t="str">
        <x:v>2</x:v>
      </x:c>
      <x:c r="O1488" s="2" t="str">
        <x:v>0</x:v>
      </x:c>
      <x:c r="P1488" s="2" t="str">
        <x:v>true</x:v>
      </x:c>
      <x:c r="Q1488" s="2" t="str">
        <x:v>0.000000000</x:v>
      </x:c>
      <x:c r="R1488" s="2" t="str">
        <x:v>13.583958003437147</x:v>
      </x:c>
      <x:c r="S1488" s="2" t="str">
        <x:v>48.244665551240296</x:v>
      </x:c>
    </x:row>
    <x:row r="1489">
      <x:c r="A1489" s="2" t="str">
        <x:v>DE-CMP-01</x:v>
      </x:c>
      <x:c r="B1489" s="2" t="str">
        <x:v>CFG-C01</x:v>
      </x:c>
      <x:c r="C1489" s="2" t="n">
        <x:v>46227.70238086805</x:v>
      </x:c>
      <x:c r="D1489" s="2" t="str">
        <x:v>adaptive</x:v>
      </x:c>
      <x:c r="E1489" s="2" t="str">
        <x:v>monte_carlo</x:v>
      </x:c>
      <x:c r="F1489" s="2" t="str">
        <x:v>744</x:v>
      </x:c>
      <x:c r="G1489" s="2" t="str">
        <x:v>3174247</x:v>
      </x:c>
      <x:c r="H1489" s="2" t="str">
        <x:v>2048000.0</x:v>
      </x:c>
      <x:c r="I1489" s="2" t="str">
        <x:v>8192</x:v>
      </x:c>
      <x:c r="J1489" s="2" t="str">
        <x:v>250.0</x:v>
      </x:c>
      <x:c r="K1489" s="2" t="str">
        <x:v>1</x:v>
      </x:c>
      <x:c r="L1489" s="2" t="str">
        <x:v>3</x:v>
      </x:c>
      <x:c r="M1489" s="2" t="str">
        <x:v>1</x:v>
      </x:c>
      <x:c r="N1489" s="2" t="str">
        <x:v>2</x:v>
      </x:c>
      <x:c r="O1489" s="2" t="str">
        <x:v>0</x:v>
      </x:c>
      <x:c r="P1489" s="2" t="str">
        <x:v>true</x:v>
      </x:c>
      <x:c r="Q1489" s="2" t="str">
        <x:v>0.000000000</x:v>
      </x:c>
      <x:c r="R1489" s="2" t="str">
        <x:v>0.3979169996455312</x:v>
      </x:c>
      <x:c r="S1489" s="2" t="str">
        <x:v>46.3049760678029</x:v>
      </x:c>
    </x:row>
    <x:row r="1490">
      <x:c r="A1490" s="2" t="str">
        <x:v>DE-CMP-01</x:v>
      </x:c>
      <x:c r="B1490" s="2" t="str">
        <x:v>CFG-C01</x:v>
      </x:c>
      <x:c r="C1490" s="2" t="n">
        <x:v>46227.70238086805</x:v>
      </x:c>
      <x:c r="D1490" s="2" t="str">
        <x:v>adaptive</x:v>
      </x:c>
      <x:c r="E1490" s="2" t="str">
        <x:v>monte_carlo</x:v>
      </x:c>
      <x:c r="F1490" s="2" t="str">
        <x:v>745</x:v>
      </x:c>
      <x:c r="G1490" s="2" t="str">
        <x:v>3174248</x:v>
      </x:c>
      <x:c r="H1490" s="2" t="str">
        <x:v>2048000.0</x:v>
      </x:c>
      <x:c r="I1490" s="2" t="str">
        <x:v>8192</x:v>
      </x:c>
      <x:c r="J1490" s="2" t="str">
        <x:v>250.0</x:v>
      </x:c>
      <x:c r="K1490" s="2" t="str">
        <x:v>1</x:v>
      </x:c>
      <x:c r="L1490" s="2" t="str">
        <x:v>3</x:v>
      </x:c>
      <x:c r="M1490" s="2" t="str">
        <x:v>1</x:v>
      </x:c>
      <x:c r="N1490" s="2" t="str">
        <x:v>2</x:v>
      </x:c>
      <x:c r="O1490" s="2" t="str">
        <x:v>0</x:v>
      </x:c>
      <x:c r="P1490" s="2" t="str">
        <x:v>true</x:v>
      </x:c>
      <x:c r="Q1490" s="2" t="str">
        <x:v>0.000000000</x:v>
      </x:c>
      <x:c r="R1490" s="2" t="str">
        <x:v>0.3840830031549558</x:v>
      </x:c>
      <x:c r="S1490" s="2" t="str">
        <x:v>46.330190435304004</x:v>
      </x:c>
    </x:row>
    <x:row r="1491">
      <x:c r="A1491" s="2" t="str">
        <x:v>DE-CMP-01</x:v>
      </x:c>
      <x:c r="B1491" s="2" t="str">
        <x:v>CFG-C01</x:v>
      </x:c>
      <x:c r="C1491" s="2" t="n">
        <x:v>46227.70238086805</x:v>
      </x:c>
      <x:c r="D1491" s="2" t="str">
        <x:v>os_cfar</x:v>
      </x:c>
      <x:c r="E1491" s="2" t="str">
        <x:v>monte_carlo</x:v>
      </x:c>
      <x:c r="F1491" s="2" t="str">
        <x:v>745</x:v>
      </x:c>
      <x:c r="G1491" s="2" t="str">
        <x:v>3174248</x:v>
      </x:c>
      <x:c r="H1491" s="2" t="str">
        <x:v>2048000.0</x:v>
      </x:c>
      <x:c r="I1491" s="2" t="str">
        <x:v>8192</x:v>
      </x:c>
      <x:c r="J1491" s="2" t="str">
        <x:v>250.0</x:v>
      </x:c>
      <x:c r="K1491" s="2" t="str">
        <x:v>1</x:v>
      </x:c>
      <x:c r="L1491" s="2" t="str">
        <x:v>3</x:v>
      </x:c>
      <x:c r="M1491" s="2" t="str">
        <x:v>1</x:v>
      </x:c>
      <x:c r="N1491" s="2" t="str">
        <x:v>2</x:v>
      </x:c>
      <x:c r="O1491" s="2" t="str">
        <x:v>0</x:v>
      </x:c>
      <x:c r="P1491" s="2" t="str">
        <x:v>true</x:v>
      </x:c>
      <x:c r="Q1491" s="2" t="str">
        <x:v>0.000000000</x:v>
      </x:c>
      <x:c r="R1491" s="2" t="str">
        <x:v>13.57616699533537</x:v>
      </x:c>
      <x:c r="S1491" s="2" t="str">
        <x:v>48.40186337305529</x:v>
      </x:c>
    </x:row>
    <x:row r="1492">
      <x:c r="A1492" s="2" t="str">
        <x:v>DE-CMP-01</x:v>
      </x:c>
      <x:c r="B1492" s="2" t="str">
        <x:v>CFG-C01</x:v>
      </x:c>
      <x:c r="C1492" s="2" t="n">
        <x:v>46227.70238086805</x:v>
      </x:c>
      <x:c r="D1492" s="2" t="str">
        <x:v>os_cfar</x:v>
      </x:c>
      <x:c r="E1492" s="2" t="str">
        <x:v>monte_carlo</x:v>
      </x:c>
      <x:c r="F1492" s="2" t="str">
        <x:v>746</x:v>
      </x:c>
      <x:c r="G1492" s="2" t="str">
        <x:v>3174249</x:v>
      </x:c>
      <x:c r="H1492" s="2" t="str">
        <x:v>2048000.0</x:v>
      </x:c>
      <x:c r="I1492" s="2" t="str">
        <x:v>8192</x:v>
      </x:c>
      <x:c r="J1492" s="2" t="str">
        <x:v>250.0</x:v>
      </x:c>
      <x:c r="K1492" s="2" t="str">
        <x:v>3</x:v>
      </x:c>
      <x:c r="L1492" s="2" t="str">
        <x:v>3</x:v>
      </x:c>
      <x:c r="M1492" s="2" t="str">
        <x:v>3</x:v>
      </x:c>
      <x:c r="N1492" s="2" t="str">
        <x:v>0</x:v>
      </x:c>
      <x:c r="O1492" s="2" t="str">
        <x:v>0</x:v>
      </x:c>
      <x:c r="P1492" s="2" t="str">
        <x:v>false</x:v>
      </x:c>
      <x:c r="Q1492" s="2" t="str">
        <x:v>0.000000000;0.000000000;0.000000000</x:v>
      </x:c>
      <x:c r="R1492" s="2" t="str">
        <x:v>13.668833009433001</x:v>
      </x:c>
      <x:c r="S1492" s="2" t="str">
        <x:v>48.34419110958106</x:v>
      </x:c>
    </x:row>
    <x:row r="1493">
      <x:c r="A1493" s="2" t="str">
        <x:v>DE-CMP-01</x:v>
      </x:c>
      <x:c r="B1493" s="2" t="str">
        <x:v>CFG-C01</x:v>
      </x:c>
      <x:c r="C1493" s="2" t="n">
        <x:v>46227.70238086805</x:v>
      </x:c>
      <x:c r="D1493" s="2" t="str">
        <x:v>adaptive</x:v>
      </x:c>
      <x:c r="E1493" s="2" t="str">
        <x:v>monte_carlo</x:v>
      </x:c>
      <x:c r="F1493" s="2" t="str">
        <x:v>746</x:v>
      </x:c>
      <x:c r="G1493" s="2" t="str">
        <x:v>3174249</x:v>
      </x:c>
      <x:c r="H1493" s="2" t="str">
        <x:v>2048000.0</x:v>
      </x:c>
      <x:c r="I1493" s="2" t="str">
        <x:v>8192</x:v>
      </x:c>
      <x:c r="J1493" s="2" t="str">
        <x:v>250.0</x:v>
      </x:c>
      <x:c r="K1493" s="2" t="str">
        <x:v>3</x:v>
      </x:c>
      <x:c r="L1493" s="2" t="str">
        <x:v>3</x:v>
      </x:c>
      <x:c r="M1493" s="2" t="str">
        <x:v>3</x:v>
      </x:c>
      <x:c r="N1493" s="2" t="str">
        <x:v>0</x:v>
      </x:c>
      <x:c r="O1493" s="2" t="str">
        <x:v>0</x:v>
      </x:c>
      <x:c r="P1493" s="2" t="str">
        <x:v>false</x:v>
      </x:c>
      <x:c r="Q1493" s="2" t="str">
        <x:v>0.000000000;0.000000000;0.000000000</x:v>
      </x:c>
      <x:c r="R1493" s="2" t="str">
        <x:v>0.45087499893270433</x:v>
      </x:c>
      <x:c r="S1493" s="2" t="str">
        <x:v>46.46454519904452</x:v>
      </x:c>
    </x:row>
    <x:row r="1494">
      <x:c r="A1494" s="2" t="str">
        <x:v>DE-CMP-01</x:v>
      </x:c>
      <x:c r="B1494" s="2" t="str">
        <x:v>CFG-C01</x:v>
      </x:c>
      <x:c r="C1494" s="2" t="n">
        <x:v>46227.70238086805</x:v>
      </x:c>
      <x:c r="D1494" s="2" t="str">
        <x:v>adaptive</x:v>
      </x:c>
      <x:c r="E1494" s="2" t="str">
        <x:v>monte_carlo</x:v>
      </x:c>
      <x:c r="F1494" s="2" t="str">
        <x:v>747</x:v>
      </x:c>
      <x:c r="G1494" s="2" t="str">
        <x:v>3174250</x:v>
      </x:c>
      <x:c r="H1494" s="2" t="str">
        <x:v>2048000.0</x:v>
      </x:c>
      <x:c r="I1494" s="2" t="str">
        <x:v>8192</x:v>
      </x:c>
      <x:c r="J1494" s="2" t="str">
        <x:v>250.0</x:v>
      </x:c>
      <x:c r="K1494" s="2" t="str">
        <x:v>1</x:v>
      </x:c>
      <x:c r="L1494" s="2" t="str">
        <x:v>3</x:v>
      </x:c>
      <x:c r="M1494" s="2" t="str">
        <x:v>1</x:v>
      </x:c>
      <x:c r="N1494" s="2" t="str">
        <x:v>2</x:v>
      </x:c>
      <x:c r="O1494" s="2" t="str">
        <x:v>0</x:v>
      </x:c>
      <x:c r="P1494" s="2" t="str">
        <x:v>true</x:v>
      </x:c>
      <x:c r="Q1494" s="2" t="str">
        <x:v>0.000000000</x:v>
      </x:c>
      <x:c r="R1494" s="2" t="str">
        <x:v>0.43295801151543856</x:v>
      </x:c>
      <x:c r="S1494" s="2" t="str">
        <x:v>46.36895320155268</x:v>
      </x:c>
    </x:row>
    <x:row r="1495">
      <x:c r="A1495" s="2" t="str">
        <x:v>DE-CMP-01</x:v>
      </x:c>
      <x:c r="B1495" s="2" t="str">
        <x:v>CFG-C01</x:v>
      </x:c>
      <x:c r="C1495" s="2" t="n">
        <x:v>46227.70238086805</x:v>
      </x:c>
      <x:c r="D1495" s="2" t="str">
        <x:v>os_cfar</x:v>
      </x:c>
      <x:c r="E1495" s="2" t="str">
        <x:v>monte_carlo</x:v>
      </x:c>
      <x:c r="F1495" s="2" t="str">
        <x:v>747</x:v>
      </x:c>
      <x:c r="G1495" s="2" t="str">
        <x:v>3174250</x:v>
      </x:c>
      <x:c r="H1495" s="2" t="str">
        <x:v>2048000.0</x:v>
      </x:c>
      <x:c r="I1495" s="2" t="str">
        <x:v>8192</x:v>
      </x:c>
      <x:c r="J1495" s="2" t="str">
        <x:v>250.0</x:v>
      </x:c>
      <x:c r="K1495" s="2" t="str">
        <x:v>1</x:v>
      </x:c>
      <x:c r="L1495" s="2" t="str">
        <x:v>3</x:v>
      </x:c>
      <x:c r="M1495" s="2" t="str">
        <x:v>1</x:v>
      </x:c>
      <x:c r="N1495" s="2" t="str">
        <x:v>2</x:v>
      </x:c>
      <x:c r="O1495" s="2" t="str">
        <x:v>0</x:v>
      </x:c>
      <x:c r="P1495" s="2" t="str">
        <x:v>true</x:v>
      </x:c>
      <x:c r="Q1495" s="2" t="str">
        <x:v>0.000000000</x:v>
      </x:c>
      <x:c r="R1495" s="2" t="str">
        <x:v>13.591374998213723</x:v>
      </x:c>
      <x:c r="S1495" s="2" t="str">
        <x:v>48.05091093921159</x:v>
      </x:c>
    </x:row>
    <x:row r="1496">
      <x:c r="A1496" s="2" t="str">
        <x:v>DE-CMP-01</x:v>
      </x:c>
      <x:c r="B1496" s="2" t="str">
        <x:v>CFG-C01</x:v>
      </x:c>
      <x:c r="C1496" s="2" t="n">
        <x:v>46227.70238086805</x:v>
      </x:c>
      <x:c r="D1496" s="2" t="str">
        <x:v>os_cfar</x:v>
      </x:c>
      <x:c r="E1496" s="2" t="str">
        <x:v>monte_carlo</x:v>
      </x:c>
      <x:c r="F1496" s="2" t="str">
        <x:v>748</x:v>
      </x:c>
      <x:c r="G1496" s="2" t="str">
        <x:v>3174251</x:v>
      </x:c>
      <x:c r="H1496" s="2" t="str">
        <x:v>2048000.0</x:v>
      </x:c>
      <x:c r="I1496" s="2" t="str">
        <x:v>8192</x:v>
      </x:c>
      <x:c r="J1496" s="2" t="str">
        <x:v>250.0</x:v>
      </x:c>
      <x:c r="K1496" s="2" t="str">
        <x:v>2</x:v>
      </x:c>
      <x:c r="L1496" s="2" t="str">
        <x:v>3</x:v>
      </x:c>
      <x:c r="M1496" s="2" t="str">
        <x:v>2</x:v>
      </x:c>
      <x:c r="N1496" s="2" t="str">
        <x:v>1</x:v>
      </x:c>
      <x:c r="O1496" s="2" t="str">
        <x:v>0</x:v>
      </x:c>
      <x:c r="P1496" s="2" t="str">
        <x:v>true</x:v>
      </x:c>
      <x:c r="Q1496" s="2" t="str">
        <x:v>0.000000000;0.000000000</x:v>
      </x:c>
      <x:c r="R1496" s="2" t="str">
        <x:v>13.579791993834078</x:v>
      </x:c>
      <x:c r="S1496" s="2" t="str">
        <x:v>48.198997532217376</x:v>
      </x:c>
    </x:row>
    <x:row r="1497">
      <x:c r="A1497" s="2" t="str">
        <x:v>DE-CMP-01</x:v>
      </x:c>
      <x:c r="B1497" s="2" t="str">
        <x:v>CFG-C01</x:v>
      </x:c>
      <x:c r="C1497" s="2" t="n">
        <x:v>46227.70238086805</x:v>
      </x:c>
      <x:c r="D1497" s="2" t="str">
        <x:v>adaptive</x:v>
      </x:c>
      <x:c r="E1497" s="2" t="str">
        <x:v>monte_carlo</x:v>
      </x:c>
      <x:c r="F1497" s="2" t="str">
        <x:v>748</x:v>
      </x:c>
      <x:c r="G1497" s="2" t="str">
        <x:v>3174251</x:v>
      </x:c>
      <x:c r="H1497" s="2" t="str">
        <x:v>2048000.0</x:v>
      </x:c>
      <x:c r="I1497" s="2" t="str">
        <x:v>8192</x:v>
      </x:c>
      <x:c r="J1497" s="2" t="str">
        <x:v>250.0</x:v>
      </x:c>
      <x:c r="K1497" s="2" t="str">
        <x:v>2</x:v>
      </x:c>
      <x:c r="L1497" s="2" t="str">
        <x:v>3</x:v>
      </x:c>
      <x:c r="M1497" s="2" t="str">
        <x:v>2</x:v>
      </x:c>
      <x:c r="N1497" s="2" t="str">
        <x:v>1</x:v>
      </x:c>
      <x:c r="O1497" s="2" t="str">
        <x:v>0</x:v>
      </x:c>
      <x:c r="P1497" s="2" t="str">
        <x:v>true</x:v>
      </x:c>
      <x:c r="Q1497" s="2" t="str">
        <x:v>0.000000000;0.000000000</x:v>
      </x:c>
      <x:c r="R1497" s="2" t="str">
        <x:v>0.4219999973429367</x:v>
      </x:c>
      <x:c r="S1497" s="2" t="str">
        <x:v>46.301015733765006</x:v>
      </x:c>
    </x:row>
    <x:row r="1498">
      <x:c r="A1498" s="2" t="str">
        <x:v>DE-CMP-01</x:v>
      </x:c>
      <x:c r="B1498" s="2" t="str">
        <x:v>CFG-C01</x:v>
      </x:c>
      <x:c r="C1498" s="2" t="n">
        <x:v>46227.70238086805</x:v>
      </x:c>
      <x:c r="D1498" s="2" t="str">
        <x:v>adaptive</x:v>
      </x:c>
      <x:c r="E1498" s="2" t="str">
        <x:v>monte_carlo</x:v>
      </x:c>
      <x:c r="F1498" s="2" t="str">
        <x:v>749</x:v>
      </x:c>
      <x:c r="G1498" s="2" t="str">
        <x:v>3174252</x:v>
      </x:c>
      <x:c r="H1498" s="2" t="str">
        <x:v>2048000.0</x:v>
      </x:c>
      <x:c r="I1498" s="2" t="str">
        <x:v>8192</x:v>
      </x:c>
      <x:c r="J1498" s="2" t="str">
        <x:v>250.0</x:v>
      </x:c>
      <x:c r="K1498" s="2" t="str">
        <x:v>3</x:v>
      </x:c>
      <x:c r="L1498" s="2" t="str">
        <x:v>3</x:v>
      </x:c>
      <x:c r="M1498" s="2" t="str">
        <x:v>3</x:v>
      </x:c>
      <x:c r="N1498" s="2" t="str">
        <x:v>0</x:v>
      </x:c>
      <x:c r="O1498" s="2" t="str">
        <x:v>0</x:v>
      </x:c>
      <x:c r="P1498" s="2" t="str">
        <x:v>false</x:v>
      </x:c>
      <x:c r="Q1498" s="2" t="str">
        <x:v>0.000000000;0.000000000;0.000000000</x:v>
      </x:c>
      <x:c r="R1498" s="2" t="str">
        <x:v>0.4167500010225922</x:v>
      </x:c>
      <x:c r="S1498" s="2" t="str">
        <x:v>46.49077099562018</x:v>
      </x:c>
    </x:row>
    <x:row r="1499">
      <x:c r="A1499" s="2" t="str">
        <x:v>DE-CMP-01</x:v>
      </x:c>
      <x:c r="B1499" s="2" t="str">
        <x:v>CFG-C01</x:v>
      </x:c>
      <x:c r="C1499" s="2" t="n">
        <x:v>46227.70238086805</x:v>
      </x:c>
      <x:c r="D1499" s="2" t="str">
        <x:v>os_cfar</x:v>
      </x:c>
      <x:c r="E1499" s="2" t="str">
        <x:v>monte_carlo</x:v>
      </x:c>
      <x:c r="F1499" s="2" t="str">
        <x:v>749</x:v>
      </x:c>
      <x:c r="G1499" s="2" t="str">
        <x:v>3174252</x:v>
      </x:c>
      <x:c r="H1499" s="2" t="str">
        <x:v>2048000.0</x:v>
      </x:c>
      <x:c r="I1499" s="2" t="str">
        <x:v>8192</x:v>
      </x:c>
      <x:c r="J1499" s="2" t="str">
        <x:v>250.0</x:v>
      </x:c>
      <x:c r="K1499" s="2" t="str">
        <x:v>3</x:v>
      </x:c>
      <x:c r="L1499" s="2" t="str">
        <x:v>3</x:v>
      </x:c>
      <x:c r="M1499" s="2" t="str">
        <x:v>3</x:v>
      </x:c>
      <x:c r="N1499" s="2" t="str">
        <x:v>0</x:v>
      </x:c>
      <x:c r="O1499" s="2" t="str">
        <x:v>0</x:v>
      </x:c>
      <x:c r="P1499" s="2" t="str">
        <x:v>false</x:v>
      </x:c>
      <x:c r="Q1499" s="2" t="str">
        <x:v>0.000000000;0.000000000;0.000000000</x:v>
      </x:c>
      <x:c r="R1499" s="2" t="str">
        <x:v>13.525041998946108</x:v>
      </x:c>
      <x:c r="S1499" s="2" t="str">
        <x:v>48.30813239448038</x:v>
      </x:c>
    </x:row>
    <x:row r="1500">
      <x:c r="A1500" s="2" t="str">
        <x:v>DE-CMP-01</x:v>
      </x:c>
      <x:c r="B1500" s="2" t="str">
        <x:v>CFG-C01</x:v>
      </x:c>
      <x:c r="C1500" s="2" t="n">
        <x:v>46227.70238086805</x:v>
      </x:c>
      <x:c r="D1500" s="2" t="str">
        <x:v>os_cfar</x:v>
      </x:c>
      <x:c r="E1500" s="2" t="str">
        <x:v>monte_carlo</x:v>
      </x:c>
      <x:c r="F1500" s="2" t="str">
        <x:v>750</x:v>
      </x:c>
      <x:c r="G1500" s="2" t="str">
        <x:v>3174253</x:v>
      </x:c>
      <x:c r="H1500" s="2" t="str">
        <x:v>2048000.0</x:v>
      </x:c>
      <x:c r="I1500" s="2" t="str">
        <x:v>8192</x:v>
      </x:c>
      <x:c r="J1500" s="2" t="str">
        <x:v>250.0</x:v>
      </x:c>
      <x:c r="K1500" s="2" t="str">
        <x:v>1</x:v>
      </x:c>
      <x:c r="L1500" s="2" t="str">
        <x:v>3</x:v>
      </x:c>
      <x:c r="M1500" s="2" t="str">
        <x:v>1</x:v>
      </x:c>
      <x:c r="N1500" s="2" t="str">
        <x:v>2</x:v>
      </x:c>
      <x:c r="O1500" s="2" t="str">
        <x:v>0</x:v>
      </x:c>
      <x:c r="P1500" s="2" t="str">
        <x:v>true</x:v>
      </x:c>
      <x:c r="Q1500" s="2" t="str">
        <x:v>0.000000000</x:v>
      </x:c>
      <x:c r="R1500" s="2" t="str">
        <x:v>13.644125006976537</x:v>
      </x:c>
      <x:c r="S1500" s="2" t="str">
        <x:v>48.12242521608755</x:v>
      </x:c>
    </x:row>
    <x:row r="1501">
      <x:c r="A1501" s="2" t="str">
        <x:v>DE-CMP-01</x:v>
      </x:c>
      <x:c r="B1501" s="2" t="str">
        <x:v>CFG-C01</x:v>
      </x:c>
      <x:c r="C1501" s="2" t="n">
        <x:v>46227.70238086805</x:v>
      </x:c>
      <x:c r="D1501" s="2" t="str">
        <x:v>adaptive</x:v>
      </x:c>
      <x:c r="E1501" s="2" t="str">
        <x:v>monte_carlo</x:v>
      </x:c>
      <x:c r="F1501" s="2" t="str">
        <x:v>750</x:v>
      </x:c>
      <x:c r="G1501" s="2" t="str">
        <x:v>3174253</x:v>
      </x:c>
      <x:c r="H1501" s="2" t="str">
        <x:v>2048000.0</x:v>
      </x:c>
      <x:c r="I1501" s="2" t="str">
        <x:v>8192</x:v>
      </x:c>
      <x:c r="J1501" s="2" t="str">
        <x:v>250.0</x:v>
      </x:c>
      <x:c r="K1501" s="2" t="str">
        <x:v>1</x:v>
      </x:c>
      <x:c r="L1501" s="2" t="str">
        <x:v>3</x:v>
      </x:c>
      <x:c r="M1501" s="2" t="str">
        <x:v>1</x:v>
      </x:c>
      <x:c r="N1501" s="2" t="str">
        <x:v>2</x:v>
      </x:c>
      <x:c r="O1501" s="2" t="str">
        <x:v>0</x:v>
      </x:c>
      <x:c r="P1501" s="2" t="str">
        <x:v>true</x:v>
      </x:c>
      <x:c r="Q1501" s="2" t="str">
        <x:v>0.000000000</x:v>
      </x:c>
      <x:c r="R1501" s="2" t="str">
        <x:v>0.4093329916941002</x:v>
      </x:c>
      <x:c r="S1501" s="2" t="str">
        <x:v>46.285500953487016</x:v>
      </x:c>
    </x:row>
    <x:row r="1502">
      <x:c r="A1502" s="2" t="str">
        <x:v>DE-CMP-01</x:v>
      </x:c>
      <x:c r="B1502" s="2" t="str">
        <x:v>CFG-C01</x:v>
      </x:c>
      <x:c r="C1502" s="2" t="n">
        <x:v>46227.70238086805</x:v>
      </x:c>
      <x:c r="D1502" s="2" t="str">
        <x:v>adaptive</x:v>
      </x:c>
      <x:c r="E1502" s="2" t="str">
        <x:v>monte_carlo</x:v>
      </x:c>
      <x:c r="F1502" s="2" t="str">
        <x:v>751</x:v>
      </x:c>
      <x:c r="G1502" s="2" t="str">
        <x:v>3174254</x:v>
      </x:c>
      <x:c r="H1502" s="2" t="str">
        <x:v>2048000.0</x:v>
      </x:c>
      <x:c r="I1502" s="2" t="str">
        <x:v>8192</x:v>
      </x:c>
      <x:c r="J1502" s="2" t="str">
        <x:v>250.0</x:v>
      </x:c>
      <x:c r="K1502" s="2" t="str">
        <x:v>2</x:v>
      </x:c>
      <x:c r="L1502" s="2" t="str">
        <x:v>3</x:v>
      </x:c>
      <x:c r="M1502" s="2" t="str">
        <x:v>2</x:v>
      </x:c>
      <x:c r="N1502" s="2" t="str">
        <x:v>1</x:v>
      </x:c>
      <x:c r="O1502" s="2" t="str">
        <x:v>0</x:v>
      </x:c>
      <x:c r="P1502" s="2" t="str">
        <x:v>true</x:v>
      </x:c>
      <x:c r="Q1502" s="2" t="str">
        <x:v>0.000000000;0.000000000</x:v>
      </x:c>
      <x:c r="R1502" s="2" t="str">
        <x:v>0.41700000292621553</x:v>
      </x:c>
      <x:c r="S1502" s="2" t="str">
        <x:v>46.29693853649516</x:v>
      </x:c>
    </x:row>
    <x:row r="1503">
      <x:c r="A1503" s="2" t="str">
        <x:v>DE-CMP-01</x:v>
      </x:c>
      <x:c r="B1503" s="2" t="str">
        <x:v>CFG-C01</x:v>
      </x:c>
      <x:c r="C1503" s="2" t="n">
        <x:v>46227.70238086805</x:v>
      </x:c>
      <x:c r="D1503" s="2" t="str">
        <x:v>os_cfar</x:v>
      </x:c>
      <x:c r="E1503" s="2" t="str">
        <x:v>monte_carlo</x:v>
      </x:c>
      <x:c r="F1503" s="2" t="str">
        <x:v>751</x:v>
      </x:c>
      <x:c r="G1503" s="2" t="str">
        <x:v>3174254</x:v>
      </x:c>
      <x:c r="H1503" s="2" t="str">
        <x:v>2048000.0</x:v>
      </x:c>
      <x:c r="I1503" s="2" t="str">
        <x:v>8192</x:v>
      </x:c>
      <x:c r="J1503" s="2" t="str">
        <x:v>250.0</x:v>
      </x:c>
      <x:c r="K1503" s="2" t="str">
        <x:v>2</x:v>
      </x:c>
      <x:c r="L1503" s="2" t="str">
        <x:v>3</x:v>
      </x:c>
      <x:c r="M1503" s="2" t="str">
        <x:v>2</x:v>
      </x:c>
      <x:c r="N1503" s="2" t="str">
        <x:v>1</x:v>
      </x:c>
      <x:c r="O1503" s="2" t="str">
        <x:v>0</x:v>
      </x:c>
      <x:c r="P1503" s="2" t="str">
        <x:v>true</x:v>
      </x:c>
      <x:c r="Q1503" s="2" t="str">
        <x:v>0.000000000;0.000000000</x:v>
      </x:c>
      <x:c r="R1503" s="2" t="str">
        <x:v>14.139541002805345</x:v>
      </x:c>
      <x:c r="S1503" s="2" t="str">
        <x:v>48.185805634452755</x:v>
      </x:c>
    </x:row>
    <x:row r="1504">
      <x:c r="A1504" s="2" t="str">
        <x:v>DE-CMP-01</x:v>
      </x:c>
      <x:c r="B1504" s="2" t="str">
        <x:v>CFG-C01</x:v>
      </x:c>
      <x:c r="C1504" s="2" t="n">
        <x:v>46227.70238086805</x:v>
      </x:c>
      <x:c r="D1504" s="2" t="str">
        <x:v>os_cfar</x:v>
      </x:c>
      <x:c r="E1504" s="2" t="str">
        <x:v>monte_carlo</x:v>
      </x:c>
      <x:c r="F1504" s="2" t="str">
        <x:v>752</x:v>
      </x:c>
      <x:c r="G1504" s="2" t="str">
        <x:v>3174255</x:v>
      </x:c>
      <x:c r="H1504" s="2" t="str">
        <x:v>2048000.0</x:v>
      </x:c>
      <x:c r="I1504" s="2" t="str">
        <x:v>8192</x:v>
      </x:c>
      <x:c r="J1504" s="2" t="str">
        <x:v>250.0</x:v>
      </x:c>
      <x:c r="K1504" s="2" t="str">
        <x:v>3</x:v>
      </x:c>
      <x:c r="L1504" s="2" t="str">
        <x:v>3</x:v>
      </x:c>
      <x:c r="M1504" s="2" t="str">
        <x:v>3</x:v>
      </x:c>
      <x:c r="N1504" s="2" t="str">
        <x:v>0</x:v>
      </x:c>
      <x:c r="O1504" s="2" t="str">
        <x:v>0</x:v>
      </x:c>
      <x:c r="P1504" s="2" t="str">
        <x:v>false</x:v>
      </x:c>
      <x:c r="Q1504" s="2" t="str">
        <x:v>0.000000000;0.000000000;0.000000000</x:v>
      </x:c>
      <x:c r="R1504" s="2" t="str">
        <x:v>13.931124994996935</x:v>
      </x:c>
      <x:c r="S1504" s="2" t="str">
        <x:v>48.08987416224831</x:v>
      </x:c>
    </x:row>
    <x:row r="1505">
      <x:c r="A1505" s="2" t="str">
        <x:v>DE-CMP-01</x:v>
      </x:c>
      <x:c r="B1505" s="2" t="str">
        <x:v>CFG-C01</x:v>
      </x:c>
      <x:c r="C1505" s="2" t="n">
        <x:v>46227.70238086805</x:v>
      </x:c>
      <x:c r="D1505" s="2" t="str">
        <x:v>adaptive</x:v>
      </x:c>
      <x:c r="E1505" s="2" t="str">
        <x:v>monte_carlo</x:v>
      </x:c>
      <x:c r="F1505" s="2" t="str">
        <x:v>752</x:v>
      </x:c>
      <x:c r="G1505" s="2" t="str">
        <x:v>3174255</x:v>
      </x:c>
      <x:c r="H1505" s="2" t="str">
        <x:v>2048000.0</x:v>
      </x:c>
      <x:c r="I1505" s="2" t="str">
        <x:v>8192</x:v>
      </x:c>
      <x:c r="J1505" s="2" t="str">
        <x:v>250.0</x:v>
      </x:c>
      <x:c r="K1505" s="2" t="str">
        <x:v>3</x:v>
      </x:c>
      <x:c r="L1505" s="2" t="str">
        <x:v>3</x:v>
      </x:c>
      <x:c r="M1505" s="2" t="str">
        <x:v>3</x:v>
      </x:c>
      <x:c r="N1505" s="2" t="str">
        <x:v>0</x:v>
      </x:c>
      <x:c r="O1505" s="2" t="str">
        <x:v>0</x:v>
      </x:c>
      <x:c r="P1505" s="2" t="str">
        <x:v>false</x:v>
      </x:c>
      <x:c r="Q1505" s="2" t="str">
        <x:v>0.000000000;0.000000000;0.000000000</x:v>
      </x:c>
      <x:c r="R1505" s="2" t="str">
        <x:v>0.4461250064196065</x:v>
      </x:c>
      <x:c r="S1505" s="2" t="str">
        <x:v>46.45186123960522</x:v>
      </x:c>
    </x:row>
    <x:row r="1506">
      <x:c r="A1506" s="2" t="str">
        <x:v>DE-CMP-01</x:v>
      </x:c>
      <x:c r="B1506" s="2" t="str">
        <x:v>CFG-C01</x:v>
      </x:c>
      <x:c r="C1506" s="2" t="n">
        <x:v>46227.70238086805</x:v>
      </x:c>
      <x:c r="D1506" s="2" t="str">
        <x:v>adaptive</x:v>
      </x:c>
      <x:c r="E1506" s="2" t="str">
        <x:v>monte_carlo</x:v>
      </x:c>
      <x:c r="F1506" s="2" t="str">
        <x:v>753</x:v>
      </x:c>
      <x:c r="G1506" s="2" t="str">
        <x:v>3174256</x:v>
      </x:c>
      <x:c r="H1506" s="2" t="str">
        <x:v>2048000.0</x:v>
      </x:c>
      <x:c r="I1506" s="2" t="str">
        <x:v>8192</x:v>
      </x:c>
      <x:c r="J1506" s="2" t="str">
        <x:v>250.0</x:v>
      </x:c>
      <x:c r="K1506" s="2" t="str">
        <x:v>3</x:v>
      </x:c>
      <x:c r="L1506" s="2" t="str">
        <x:v>3</x:v>
      </x:c>
      <x:c r="M1506" s="2" t="str">
        <x:v>3</x:v>
      </x:c>
      <x:c r="N1506" s="2" t="str">
        <x:v>0</x:v>
      </x:c>
      <x:c r="O1506" s="2" t="str">
        <x:v>0</x:v>
      </x:c>
      <x:c r="P1506" s="2" t="str">
        <x:v>false</x:v>
      </x:c>
      <x:c r="Q1506" s="2" t="str">
        <x:v>0.000000000;0.000000000;0.000000000</x:v>
      </x:c>
      <x:c r="R1506" s="2" t="str">
        <x:v>0.4228329926263541</x:v>
      </x:c>
      <x:c r="S1506" s="2" t="str">
        <x:v>46.25015322279351</x:v>
      </x:c>
    </x:row>
    <x:row r="1507">
      <x:c r="A1507" s="2" t="str">
        <x:v>DE-CMP-01</x:v>
      </x:c>
      <x:c r="B1507" s="2" t="str">
        <x:v>CFG-C01</x:v>
      </x:c>
      <x:c r="C1507" s="2" t="n">
        <x:v>46227.70238086805</x:v>
      </x:c>
      <x:c r="D1507" s="2" t="str">
        <x:v>os_cfar</x:v>
      </x:c>
      <x:c r="E1507" s="2" t="str">
        <x:v>monte_carlo</x:v>
      </x:c>
      <x:c r="F1507" s="2" t="str">
        <x:v>753</x:v>
      </x:c>
      <x:c r="G1507" s="2" t="str">
        <x:v>3174256</x:v>
      </x:c>
      <x:c r="H1507" s="2" t="str">
        <x:v>2048000.0</x:v>
      </x:c>
      <x:c r="I1507" s="2" t="str">
        <x:v>8192</x:v>
      </x:c>
      <x:c r="J1507" s="2" t="str">
        <x:v>250.0</x:v>
      </x:c>
      <x:c r="K1507" s="2" t="str">
        <x:v>3</x:v>
      </x:c>
      <x:c r="L1507" s="2" t="str">
        <x:v>3</x:v>
      </x:c>
      <x:c r="M1507" s="2" t="str">
        <x:v>3</x:v>
      </x:c>
      <x:c r="N1507" s="2" t="str">
        <x:v>0</x:v>
      </x:c>
      <x:c r="O1507" s="2" t="str">
        <x:v>0</x:v>
      </x:c>
      <x:c r="P1507" s="2" t="str">
        <x:v>false</x:v>
      </x:c>
      <x:c r="Q1507" s="2" t="str">
        <x:v>0.000000000;0.000000000;0.000000000</x:v>
      </x:c>
      <x:c r="R1507" s="2" t="str">
        <x:v>13.74458298960235</x:v>
      </x:c>
      <x:c r="S1507" s="2" t="str">
        <x:v>48.19962696036933</x:v>
      </x:c>
    </x:row>
    <x:row r="1508">
      <x:c r="A1508" s="2" t="str">
        <x:v>DE-CMP-01</x:v>
      </x:c>
      <x:c r="B1508" s="2" t="str">
        <x:v>CFG-C01</x:v>
      </x:c>
      <x:c r="C1508" s="2" t="n">
        <x:v>46227.70238086805</x:v>
      </x:c>
      <x:c r="D1508" s="2" t="str">
        <x:v>os_cfar</x:v>
      </x:c>
      <x:c r="E1508" s="2" t="str">
        <x:v>monte_carlo</x:v>
      </x:c>
      <x:c r="F1508" s="2" t="str">
        <x:v>754</x:v>
      </x:c>
      <x:c r="G1508" s="2" t="str">
        <x:v>3174257</x:v>
      </x:c>
      <x:c r="H1508" s="2" t="str">
        <x:v>2048000.0</x:v>
      </x:c>
      <x:c r="I1508" s="2" t="str">
        <x:v>8192</x:v>
      </x:c>
      <x:c r="J1508" s="2" t="str">
        <x:v>250.0</x:v>
      </x:c>
      <x:c r="K1508" s="2" t="str">
        <x:v>2</x:v>
      </x:c>
      <x:c r="L1508" s="2" t="str">
        <x:v>3</x:v>
      </x:c>
      <x:c r="M1508" s="2" t="str">
        <x:v>2</x:v>
      </x:c>
      <x:c r="N1508" s="2" t="str">
        <x:v>1</x:v>
      </x:c>
      <x:c r="O1508" s="2" t="str">
        <x:v>0</x:v>
      </x:c>
      <x:c r="P1508" s="2" t="str">
        <x:v>true</x:v>
      </x:c>
      <x:c r="Q1508" s="2" t="str">
        <x:v>0.000000000;0.000000000</x:v>
      </x:c>
      <x:c r="R1508" s="2" t="str">
        <x:v>13.864833003026433</x:v>
      </x:c>
      <x:c r="S1508" s="2" t="str">
        <x:v>48.22783737974737</x:v>
      </x:c>
    </x:row>
    <x:row r="1509">
      <x:c r="A1509" s="2" t="str">
        <x:v>DE-CMP-01</x:v>
      </x:c>
      <x:c r="B1509" s="2" t="str">
        <x:v>CFG-C01</x:v>
      </x:c>
      <x:c r="C1509" s="2" t="n">
        <x:v>46227.70238086805</x:v>
      </x:c>
      <x:c r="D1509" s="2" t="str">
        <x:v>adaptive</x:v>
      </x:c>
      <x:c r="E1509" s="2" t="str">
        <x:v>monte_carlo</x:v>
      </x:c>
      <x:c r="F1509" s="2" t="str">
        <x:v>754</x:v>
      </x:c>
      <x:c r="G1509" s="2" t="str">
        <x:v>3174257</x:v>
      </x:c>
      <x:c r="H1509" s="2" t="str">
        <x:v>2048000.0</x:v>
      </x:c>
      <x:c r="I1509" s="2" t="str">
        <x:v>8192</x:v>
      </x:c>
      <x:c r="J1509" s="2" t="str">
        <x:v>250.0</x:v>
      </x:c>
      <x:c r="K1509" s="2" t="str">
        <x:v>2</x:v>
      </x:c>
      <x:c r="L1509" s="2" t="str">
        <x:v>3</x:v>
      </x:c>
      <x:c r="M1509" s="2" t="str">
        <x:v>2</x:v>
      </x:c>
      <x:c r="N1509" s="2" t="str">
        <x:v>1</x:v>
      </x:c>
      <x:c r="O1509" s="2" t="str">
        <x:v>0</x:v>
      </x:c>
      <x:c r="P1509" s="2" t="str">
        <x:v>true</x:v>
      </x:c>
      <x:c r="Q1509" s="2" t="str">
        <x:v>0.000000000;0.000000000</x:v>
      </x:c>
      <x:c r="R1509" s="2" t="str">
        <x:v>0.4265000025043264</x:v>
      </x:c>
      <x:c r="S1509" s="2" t="str">
        <x:v>46.55465512476309</x:v>
      </x:c>
    </x:row>
    <x:row r="1510">
      <x:c r="A1510" s="2" t="str">
        <x:v>DE-CMP-01</x:v>
      </x:c>
      <x:c r="B1510" s="2" t="str">
        <x:v>CFG-C01</x:v>
      </x:c>
      <x:c r="C1510" s="2" t="n">
        <x:v>46227.70238086805</x:v>
      </x:c>
      <x:c r="D1510" s="2" t="str">
        <x:v>adaptive</x:v>
      </x:c>
      <x:c r="E1510" s="2" t="str">
        <x:v>monte_carlo</x:v>
      </x:c>
      <x:c r="F1510" s="2" t="str">
        <x:v>755</x:v>
      </x:c>
      <x:c r="G1510" s="2" t="str">
        <x:v>3174258</x:v>
      </x:c>
      <x:c r="H1510" s="2" t="str">
        <x:v>2048000.0</x:v>
      </x:c>
      <x:c r="I1510" s="2" t="str">
        <x:v>8192</x:v>
      </x:c>
      <x:c r="J1510" s="2" t="str">
        <x:v>250.0</x:v>
      </x:c>
      <x:c r="K1510" s="2" t="str">
        <x:v>1</x:v>
      </x:c>
      <x:c r="L1510" s="2" t="str">
        <x:v>3</x:v>
      </x:c>
      <x:c r="M1510" s="2" t="str">
        <x:v>1</x:v>
      </x:c>
      <x:c r="N1510" s="2" t="str">
        <x:v>2</x:v>
      </x:c>
      <x:c r="O1510" s="2" t="str">
        <x:v>0</x:v>
      </x:c>
      <x:c r="P1510" s="2" t="str">
        <x:v>true</x:v>
      </x:c>
      <x:c r="Q1510" s="2" t="str">
        <x:v>0.000000000</x:v>
      </x:c>
      <x:c r="R1510" s="2" t="str">
        <x:v>0.42029100586660206</x:v>
      </x:c>
      <x:c r="S1510" s="2" t="str">
        <x:v>46.257054009392185</x:v>
      </x:c>
    </x:row>
    <x:row r="1511">
      <x:c r="A1511" s="2" t="str">
        <x:v>DE-CMP-01</x:v>
      </x:c>
      <x:c r="B1511" s="2" t="str">
        <x:v>CFG-C01</x:v>
      </x:c>
      <x:c r="C1511" s="2" t="n">
        <x:v>46227.70238086805</x:v>
      </x:c>
      <x:c r="D1511" s="2" t="str">
        <x:v>os_cfar</x:v>
      </x:c>
      <x:c r="E1511" s="2" t="str">
        <x:v>monte_carlo</x:v>
      </x:c>
      <x:c r="F1511" s="2" t="str">
        <x:v>755</x:v>
      </x:c>
      <x:c r="G1511" s="2" t="str">
        <x:v>3174258</x:v>
      </x:c>
      <x:c r="H1511" s="2" t="str">
        <x:v>2048000.0</x:v>
      </x:c>
      <x:c r="I1511" s="2" t="str">
        <x:v>8192</x:v>
      </x:c>
      <x:c r="J1511" s="2" t="str">
        <x:v>250.0</x:v>
      </x:c>
      <x:c r="K1511" s="2" t="str">
        <x:v>1</x:v>
      </x:c>
      <x:c r="L1511" s="2" t="str">
        <x:v>3</x:v>
      </x:c>
      <x:c r="M1511" s="2" t="str">
        <x:v>1</x:v>
      </x:c>
      <x:c r="N1511" s="2" t="str">
        <x:v>2</x:v>
      </x:c>
      <x:c r="O1511" s="2" t="str">
        <x:v>0</x:v>
      </x:c>
      <x:c r="P1511" s="2" t="str">
        <x:v>true</x:v>
      </x:c>
      <x:c r="Q1511" s="2" t="str">
        <x:v>0.000000000</x:v>
      </x:c>
      <x:c r="R1511" s="2" t="str">
        <x:v>13.848499991581775</x:v>
      </x:c>
      <x:c r="S1511" s="2" t="str">
        <x:v>48.086607550909896</x:v>
      </x:c>
    </x:row>
    <x:row r="1512">
      <x:c r="A1512" s="2" t="str">
        <x:v>DE-CMP-01</x:v>
      </x:c>
      <x:c r="B1512" s="2" t="str">
        <x:v>CFG-C01</x:v>
      </x:c>
      <x:c r="C1512" s="2" t="n">
        <x:v>46227.70238086805</x:v>
      </x:c>
      <x:c r="D1512" s="2" t="str">
        <x:v>os_cfar</x:v>
      </x:c>
      <x:c r="E1512" s="2" t="str">
        <x:v>monte_carlo</x:v>
      </x:c>
      <x:c r="F1512" s="2" t="str">
        <x:v>756</x:v>
      </x:c>
      <x:c r="G1512" s="2" t="str">
        <x:v>3174259</x:v>
      </x:c>
      <x:c r="H1512" s="2" t="str">
        <x:v>2048000.0</x:v>
      </x:c>
      <x:c r="I1512" s="2" t="str">
        <x:v>8192</x:v>
      </x:c>
      <x:c r="J1512" s="2" t="str">
        <x:v>250.0</x:v>
      </x:c>
      <x:c r="K1512" s="2" t="str">
        <x:v>2</x:v>
      </x:c>
      <x:c r="L1512" s="2" t="str">
        <x:v>3</x:v>
      </x:c>
      <x:c r="M1512" s="2" t="str">
        <x:v>2</x:v>
      </x:c>
      <x:c r="N1512" s="2" t="str">
        <x:v>1</x:v>
      </x:c>
      <x:c r="O1512" s="2" t="str">
        <x:v>0</x:v>
      </x:c>
      <x:c r="P1512" s="2" t="str">
        <x:v>true</x:v>
      </x:c>
      <x:c r="Q1512" s="2" t="str">
        <x:v>0.000000000;0.000000000</x:v>
      </x:c>
      <x:c r="R1512" s="2" t="str">
        <x:v>13.73299999977462</x:v>
      </x:c>
      <x:c r="S1512" s="2" t="str">
        <x:v>48.31259655068605</x:v>
      </x:c>
    </x:row>
    <x:row r="1513">
      <x:c r="A1513" s="2" t="str">
        <x:v>DE-CMP-01</x:v>
      </x:c>
      <x:c r="B1513" s="2" t="str">
        <x:v>CFG-C01</x:v>
      </x:c>
      <x:c r="C1513" s="2" t="n">
        <x:v>46227.70238086805</x:v>
      </x:c>
      <x:c r="D1513" s="2" t="str">
        <x:v>adaptive</x:v>
      </x:c>
      <x:c r="E1513" s="2" t="str">
        <x:v>monte_carlo</x:v>
      </x:c>
      <x:c r="F1513" s="2" t="str">
        <x:v>756</x:v>
      </x:c>
      <x:c r="G1513" s="2" t="str">
        <x:v>3174259</x:v>
      </x:c>
      <x:c r="H1513" s="2" t="str">
        <x:v>2048000.0</x:v>
      </x:c>
      <x:c r="I1513" s="2" t="str">
        <x:v>8192</x:v>
      </x:c>
      <x:c r="J1513" s="2" t="str">
        <x:v>250.0</x:v>
      </x:c>
      <x:c r="K1513" s="2" t="str">
        <x:v>2</x:v>
      </x:c>
      <x:c r="L1513" s="2" t="str">
        <x:v>3</x:v>
      </x:c>
      <x:c r="M1513" s="2" t="str">
        <x:v>2</x:v>
      </x:c>
      <x:c r="N1513" s="2" t="str">
        <x:v>1</x:v>
      </x:c>
      <x:c r="O1513" s="2" t="str">
        <x:v>0</x:v>
      </x:c>
      <x:c r="P1513" s="2" t="str">
        <x:v>true</x:v>
      </x:c>
      <x:c r="Q1513" s="2" t="str">
        <x:v>0.000000000;0.000000000</x:v>
      </x:c>
      <x:c r="R1513" s="2" t="str">
        <x:v>0.3998750034952536</x:v>
      </x:c>
      <x:c r="S1513" s="2" t="str">
        <x:v>46.59499562357978</x:v>
      </x:c>
    </x:row>
    <x:row r="1514">
      <x:c r="A1514" s="2" t="str">
        <x:v>DE-CMP-01</x:v>
      </x:c>
      <x:c r="B1514" s="2" t="str">
        <x:v>CFG-C01</x:v>
      </x:c>
      <x:c r="C1514" s="2" t="n">
        <x:v>46227.70238086805</x:v>
      </x:c>
      <x:c r="D1514" s="2" t="str">
        <x:v>adaptive</x:v>
      </x:c>
      <x:c r="E1514" s="2" t="str">
        <x:v>monte_carlo</x:v>
      </x:c>
      <x:c r="F1514" s="2" t="str">
        <x:v>757</x:v>
      </x:c>
      <x:c r="G1514" s="2" t="str">
        <x:v>3174260</x:v>
      </x:c>
      <x:c r="H1514" s="2" t="str">
        <x:v>2048000.0</x:v>
      </x:c>
      <x:c r="I1514" s="2" t="str">
        <x:v>8192</x:v>
      </x:c>
      <x:c r="J1514" s="2" t="str">
        <x:v>250.0</x:v>
      </x:c>
      <x:c r="K1514" s="2" t="str">
        <x:v>3</x:v>
      </x:c>
      <x:c r="L1514" s="2" t="str">
        <x:v>3</x:v>
      </x:c>
      <x:c r="M1514" s="2" t="str">
        <x:v>3</x:v>
      </x:c>
      <x:c r="N1514" s="2" t="str">
        <x:v>0</x:v>
      </x:c>
      <x:c r="O1514" s="2" t="str">
        <x:v>0</x:v>
      </x:c>
      <x:c r="P1514" s="2" t="str">
        <x:v>false</x:v>
      </x:c>
      <x:c r="Q1514" s="2" t="str">
        <x:v>0.000000000;0.000000000;0.000000000</x:v>
      </x:c>
      <x:c r="R1514" s="2" t="str">
        <x:v>0.4124590050196275</x:v>
      </x:c>
      <x:c r="S1514" s="2" t="str">
        <x:v>46.616897527739695</x:v>
      </x:c>
    </x:row>
    <x:row r="1515">
      <x:c r="A1515" s="2" t="str">
        <x:v>DE-CMP-01</x:v>
      </x:c>
      <x:c r="B1515" s="2" t="str">
        <x:v>CFG-C01</x:v>
      </x:c>
      <x:c r="C1515" s="2" t="n">
        <x:v>46227.70238086805</x:v>
      </x:c>
      <x:c r="D1515" s="2" t="str">
        <x:v>os_cfar</x:v>
      </x:c>
      <x:c r="E1515" s="2" t="str">
        <x:v>monte_carlo</x:v>
      </x:c>
      <x:c r="F1515" s="2" t="str">
        <x:v>757</x:v>
      </x:c>
      <x:c r="G1515" s="2" t="str">
        <x:v>3174260</x:v>
      </x:c>
      <x:c r="H1515" s="2" t="str">
        <x:v>2048000.0</x:v>
      </x:c>
      <x:c r="I1515" s="2" t="str">
        <x:v>8192</x:v>
      </x:c>
      <x:c r="J1515" s="2" t="str">
        <x:v>250.0</x:v>
      </x:c>
      <x:c r="K1515" s="2" t="str">
        <x:v>3</x:v>
      </x:c>
      <x:c r="L1515" s="2" t="str">
        <x:v>3</x:v>
      </x:c>
      <x:c r="M1515" s="2" t="str">
        <x:v>3</x:v>
      </x:c>
      <x:c r="N1515" s="2" t="str">
        <x:v>0</x:v>
      </x:c>
      <x:c r="O1515" s="2" t="str">
        <x:v>0</x:v>
      </x:c>
      <x:c r="P1515" s="2" t="str">
        <x:v>false</x:v>
      </x:c>
      <x:c r="Q1515" s="2" t="str">
        <x:v>0.000000000;0.000000000;0.000000000</x:v>
      </x:c>
      <x:c r="R1515" s="2" t="str">
        <x:v>13.756208994891495</x:v>
      </x:c>
      <x:c r="S1515" s="2" t="str">
        <x:v>48.34125292122914</x:v>
      </x:c>
    </x:row>
    <x:row r="1516">
      <x:c r="A1516" s="2" t="str">
        <x:v>DE-CMP-01</x:v>
      </x:c>
      <x:c r="B1516" s="2" t="str">
        <x:v>CFG-C01</x:v>
      </x:c>
      <x:c r="C1516" s="2" t="n">
        <x:v>46227.70238086805</x:v>
      </x:c>
      <x:c r="D1516" s="2" t="str">
        <x:v>os_cfar</x:v>
      </x:c>
      <x:c r="E1516" s="2" t="str">
        <x:v>monte_carlo</x:v>
      </x:c>
      <x:c r="F1516" s="2" t="str">
        <x:v>758</x:v>
      </x:c>
      <x:c r="G1516" s="2" t="str">
        <x:v>3174261</x:v>
      </x:c>
      <x:c r="H1516" s="2" t="str">
        <x:v>2048000.0</x:v>
      </x:c>
      <x:c r="I1516" s="2" t="str">
        <x:v>8192</x:v>
      </x:c>
      <x:c r="J1516" s="2" t="str">
        <x:v>250.0</x:v>
      </x:c>
      <x:c r="K1516" s="2" t="str">
        <x:v>0</x:v>
      </x:c>
      <x:c r="L1516" s="2" t="str">
        <x:v>3</x:v>
      </x:c>
      <x:c r="M1516" s="2" t="str">
        <x:v>0</x:v>
      </x:c>
      <x:c r="N1516" s="2" t="str">
        <x:v>3</x:v>
      </x:c>
      <x:c r="O1516" s="2" t="str">
        <x:v>0</x:v>
      </x:c>
      <x:c r="P1516" s="2" t="str">
        <x:v>true</x:v>
      </x:c>
      <x:c r="Q1516" s="2" t="str">
        <x:v>NA</x:v>
      </x:c>
      <x:c r="R1516" s="2" t="str">
        <x:v>13.738542009377852</x:v>
      </x:c>
      <x:c r="S1516" s="2" t="str">
        <x:v>48.156708849751936</x:v>
      </x:c>
    </x:row>
    <x:row r="1517">
      <x:c r="A1517" s="2" t="str">
        <x:v>DE-CMP-01</x:v>
      </x:c>
      <x:c r="B1517" s="2" t="str">
        <x:v>CFG-C01</x:v>
      </x:c>
      <x:c r="C1517" s="2" t="n">
        <x:v>46227.70238086805</x:v>
      </x:c>
      <x:c r="D1517" s="2" t="str">
        <x:v>adaptive</x:v>
      </x:c>
      <x:c r="E1517" s="2" t="str">
        <x:v>monte_carlo</x:v>
      </x:c>
      <x:c r="F1517" s="2" t="str">
        <x:v>758</x:v>
      </x:c>
      <x:c r="G1517" s="2" t="str">
        <x:v>3174261</x:v>
      </x:c>
      <x:c r="H1517" s="2" t="str">
        <x:v>2048000.0</x:v>
      </x:c>
      <x:c r="I1517" s="2" t="str">
        <x:v>8192</x:v>
      </x:c>
      <x:c r="J1517" s="2" t="str">
        <x:v>250.0</x:v>
      </x:c>
      <x:c r="K1517" s="2" t="str">
        <x:v>0</x:v>
      </x:c>
      <x:c r="L1517" s="2" t="str">
        <x:v>3</x:v>
      </x:c>
      <x:c r="M1517" s="2" t="str">
        <x:v>0</x:v>
      </x:c>
      <x:c r="N1517" s="2" t="str">
        <x:v>3</x:v>
      </x:c>
      <x:c r="O1517" s="2" t="str">
        <x:v>0</x:v>
      </x:c>
      <x:c r="P1517" s="2" t="str">
        <x:v>true</x:v>
      </x:c>
      <x:c r="Q1517" s="2" t="str">
        <x:v>NA</x:v>
      </x:c>
      <x:c r="R1517" s="2" t="str">
        <x:v>0.38879099884070456</x:v>
      </x:c>
      <x:c r="S1517" s="2" t="str">
        <x:v>46.346076183513745</x:v>
      </x:c>
    </x:row>
    <x:row r="1518">
      <x:c r="A1518" s="2" t="str">
        <x:v>DE-CMP-01</x:v>
      </x:c>
      <x:c r="B1518" s="2" t="str">
        <x:v>CFG-C01</x:v>
      </x:c>
      <x:c r="C1518" s="2" t="n">
        <x:v>46227.70238086805</x:v>
      </x:c>
      <x:c r="D1518" s="2" t="str">
        <x:v>adaptive</x:v>
      </x:c>
      <x:c r="E1518" s="2" t="str">
        <x:v>monte_carlo</x:v>
      </x:c>
      <x:c r="F1518" s="2" t="str">
        <x:v>759</x:v>
      </x:c>
      <x:c r="G1518" s="2" t="str">
        <x:v>3174262</x:v>
      </x:c>
      <x:c r="H1518" s="2" t="str">
        <x:v>2048000.0</x:v>
      </x:c>
      <x:c r="I1518" s="2" t="str">
        <x:v>8192</x:v>
      </x:c>
      <x:c r="J1518" s="2" t="str">
        <x:v>250.0</x:v>
      </x:c>
      <x:c r="K1518" s="2" t="str">
        <x:v>3</x:v>
      </x:c>
      <x:c r="L1518" s="2" t="str">
        <x:v>3</x:v>
      </x:c>
      <x:c r="M1518" s="2" t="str">
        <x:v>3</x:v>
      </x:c>
      <x:c r="N1518" s="2" t="str">
        <x:v>0</x:v>
      </x:c>
      <x:c r="O1518" s="2" t="str">
        <x:v>0</x:v>
      </x:c>
      <x:c r="P1518" s="2" t="str">
        <x:v>false</x:v>
      </x:c>
      <x:c r="Q1518" s="2" t="str">
        <x:v>0.000000000;0.000000000;0.000000000</x:v>
      </x:c>
      <x:c r="R1518" s="2" t="str">
        <x:v>0.39687499520368874</x:v>
      </x:c>
      <x:c r="S1518" s="2" t="str">
        <x:v>46.398454118661434</x:v>
      </x:c>
    </x:row>
    <x:row r="1519">
      <x:c r="A1519" s="2" t="str">
        <x:v>DE-CMP-01</x:v>
      </x:c>
      <x:c r="B1519" s="2" t="str">
        <x:v>CFG-C01</x:v>
      </x:c>
      <x:c r="C1519" s="2" t="n">
        <x:v>46227.70238086805</x:v>
      </x:c>
      <x:c r="D1519" s="2" t="str">
        <x:v>os_cfar</x:v>
      </x:c>
      <x:c r="E1519" s="2" t="str">
        <x:v>monte_carlo</x:v>
      </x:c>
      <x:c r="F1519" s="2" t="str">
        <x:v>759</x:v>
      </x:c>
      <x:c r="G1519" s="2" t="str">
        <x:v>3174262</x:v>
      </x:c>
      <x:c r="H1519" s="2" t="str">
        <x:v>2048000.0</x:v>
      </x:c>
      <x:c r="I1519" s="2" t="str">
        <x:v>8192</x:v>
      </x:c>
      <x:c r="J1519" s="2" t="str">
        <x:v>250.0</x:v>
      </x:c>
      <x:c r="K1519" s="2" t="str">
        <x:v>3</x:v>
      </x:c>
      <x:c r="L1519" s="2" t="str">
        <x:v>3</x:v>
      </x:c>
      <x:c r="M1519" s="2" t="str">
        <x:v>3</x:v>
      </x:c>
      <x:c r="N1519" s="2" t="str">
        <x:v>0</x:v>
      </x:c>
      <x:c r="O1519" s="2" t="str">
        <x:v>0</x:v>
      </x:c>
      <x:c r="P1519" s="2" t="str">
        <x:v>false</x:v>
      </x:c>
      <x:c r="Q1519" s="2" t="str">
        <x:v>0.000000000;0.000000000;0.000000000</x:v>
      </x:c>
      <x:c r="R1519" s="2" t="str">
        <x:v>13.676667003892362</x:v>
      </x:c>
      <x:c r="S1519" s="2" t="str">
        <x:v>48.305322678377934</x:v>
      </x:c>
    </x:row>
    <x:row r="1520">
      <x:c r="A1520" s="2" t="str">
        <x:v>DE-CMP-01</x:v>
      </x:c>
      <x:c r="B1520" s="2" t="str">
        <x:v>CFG-C01</x:v>
      </x:c>
      <x:c r="C1520" s="2" t="n">
        <x:v>46227.70238086805</x:v>
      </x:c>
      <x:c r="D1520" s="2" t="str">
        <x:v>os_cfar</x:v>
      </x:c>
      <x:c r="E1520" s="2" t="str">
        <x:v>monte_carlo</x:v>
      </x:c>
      <x:c r="F1520" s="2" t="str">
        <x:v>760</x:v>
      </x:c>
      <x:c r="G1520" s="2" t="str">
        <x:v>3174263</x:v>
      </x:c>
      <x:c r="H1520" s="2" t="str">
        <x:v>2048000.0</x:v>
      </x:c>
      <x:c r="I1520" s="2" t="str">
        <x:v>8192</x:v>
      </x:c>
      <x:c r="J1520" s="2" t="str">
        <x:v>250.0</x:v>
      </x:c>
      <x:c r="K1520" s="2" t="str">
        <x:v>3</x:v>
      </x:c>
      <x:c r="L1520" s="2" t="str">
        <x:v>3</x:v>
      </x:c>
      <x:c r="M1520" s="2" t="str">
        <x:v>3</x:v>
      </x:c>
      <x:c r="N1520" s="2" t="str">
        <x:v>0</x:v>
      </x:c>
      <x:c r="O1520" s="2" t="str">
        <x:v>0</x:v>
      </x:c>
      <x:c r="P1520" s="2" t="str">
        <x:v>false</x:v>
      </x:c>
      <x:c r="Q1520" s="2" t="str">
        <x:v>0.000000000;0.000000000;0.000000000</x:v>
      </x:c>
      <x:c r="R1520" s="2" t="str">
        <x:v>13.793582998914644</x:v>
      </x:c>
      <x:c r="S1520" s="2" t="str">
        <x:v>48.32156799808274</x:v>
      </x:c>
    </x:row>
    <x:row r="1521">
      <x:c r="A1521" s="2" t="str">
        <x:v>DE-CMP-01</x:v>
      </x:c>
      <x:c r="B1521" s="2" t="str">
        <x:v>CFG-C01</x:v>
      </x:c>
      <x:c r="C1521" s="2" t="n">
        <x:v>46227.70238086805</x:v>
      </x:c>
      <x:c r="D1521" s="2" t="str">
        <x:v>adaptive</x:v>
      </x:c>
      <x:c r="E1521" s="2" t="str">
        <x:v>monte_carlo</x:v>
      </x:c>
      <x:c r="F1521" s="2" t="str">
        <x:v>760</x:v>
      </x:c>
      <x:c r="G1521" s="2" t="str">
        <x:v>3174263</x:v>
      </x:c>
      <x:c r="H1521" s="2" t="str">
        <x:v>2048000.0</x:v>
      </x:c>
      <x:c r="I1521" s="2" t="str">
        <x:v>8192</x:v>
      </x:c>
      <x:c r="J1521" s="2" t="str">
        <x:v>250.0</x:v>
      </x:c>
      <x:c r="K1521" s="2" t="str">
        <x:v>3</x:v>
      </x:c>
      <x:c r="L1521" s="2" t="str">
        <x:v>3</x:v>
      </x:c>
      <x:c r="M1521" s="2" t="str">
        <x:v>3</x:v>
      </x:c>
      <x:c r="N1521" s="2" t="str">
        <x:v>0</x:v>
      </x:c>
      <x:c r="O1521" s="2" t="str">
        <x:v>0</x:v>
      </x:c>
      <x:c r="P1521" s="2" t="str">
        <x:v>false</x:v>
      </x:c>
      <x:c r="Q1521" s="2" t="str">
        <x:v>0.000000000;0.000000000;0.000000000</x:v>
      </x:c>
      <x:c r="R1521" s="2" t="str">
        <x:v>0.4139589873375371</x:v>
      </x:c>
      <x:c r="S1521" s="2" t="str">
        <x:v>46.39629651292871</x:v>
      </x:c>
    </x:row>
    <x:row r="1522">
      <x:c r="A1522" s="2" t="str">
        <x:v>DE-CMP-01</x:v>
      </x:c>
      <x:c r="B1522" s="2" t="str">
        <x:v>CFG-C01</x:v>
      </x:c>
      <x:c r="C1522" s="2" t="n">
        <x:v>46227.70238086805</x:v>
      </x:c>
      <x:c r="D1522" s="2" t="str">
        <x:v>adaptive</x:v>
      </x:c>
      <x:c r="E1522" s="2" t="str">
        <x:v>monte_carlo</x:v>
      </x:c>
      <x:c r="F1522" s="2" t="str">
        <x:v>761</x:v>
      </x:c>
      <x:c r="G1522" s="2" t="str">
        <x:v>3174264</x:v>
      </x:c>
      <x:c r="H1522" s="2" t="str">
        <x:v>2048000.0</x:v>
      </x:c>
      <x:c r="I1522" s="2" t="str">
        <x:v>8192</x:v>
      </x:c>
      <x:c r="J1522" s="2" t="str">
        <x:v>250.0</x:v>
      </x:c>
      <x:c r="K1522" s="2" t="str">
        <x:v>0</x:v>
      </x:c>
      <x:c r="L1522" s="2" t="str">
        <x:v>3</x:v>
      </x:c>
      <x:c r="M1522" s="2" t="str">
        <x:v>0</x:v>
      </x:c>
      <x:c r="N1522" s="2" t="str">
        <x:v>3</x:v>
      </x:c>
      <x:c r="O1522" s="2" t="str">
        <x:v>0</x:v>
      </x:c>
      <x:c r="P1522" s="2" t="str">
        <x:v>true</x:v>
      </x:c>
      <x:c r="Q1522" s="2" t="str">
        <x:v>NA</x:v>
      </x:c>
      <x:c r="R1522" s="2" t="str">
        <x:v>0.4157919902354479</x:v>
      </x:c>
      <x:c r="S1522" s="2" t="str">
        <x:v>46.20749680528109</x:v>
      </x:c>
    </x:row>
    <x:row r="1523">
      <x:c r="A1523" s="2" t="str">
        <x:v>DE-CMP-01</x:v>
      </x:c>
      <x:c r="B1523" s="2" t="str">
        <x:v>CFG-C01</x:v>
      </x:c>
      <x:c r="C1523" s="2" t="n">
        <x:v>46227.70238086805</x:v>
      </x:c>
      <x:c r="D1523" s="2" t="str">
        <x:v>os_cfar</x:v>
      </x:c>
      <x:c r="E1523" s="2" t="str">
        <x:v>monte_carlo</x:v>
      </x:c>
      <x:c r="F1523" s="2" t="str">
        <x:v>761</x:v>
      </x:c>
      <x:c r="G1523" s="2" t="str">
        <x:v>3174264</x:v>
      </x:c>
      <x:c r="H1523" s="2" t="str">
        <x:v>2048000.0</x:v>
      </x:c>
      <x:c r="I1523" s="2" t="str">
        <x:v>8192</x:v>
      </x:c>
      <x:c r="J1523" s="2" t="str">
        <x:v>250.0</x:v>
      </x:c>
      <x:c r="K1523" s="2" t="str">
        <x:v>0</x:v>
      </x:c>
      <x:c r="L1523" s="2" t="str">
        <x:v>3</x:v>
      </x:c>
      <x:c r="M1523" s="2" t="str">
        <x:v>0</x:v>
      </x:c>
      <x:c r="N1523" s="2" t="str">
        <x:v>3</x:v>
      </x:c>
      <x:c r="O1523" s="2" t="str">
        <x:v>0</x:v>
      </x:c>
      <x:c r="P1523" s="2" t="str">
        <x:v>true</x:v>
      </x:c>
      <x:c r="Q1523" s="2" t="str">
        <x:v>NA</x:v>
      </x:c>
      <x:c r="R1523" s="2" t="str">
        <x:v>13.766417003353126</x:v>
      </x:c>
      <x:c r="S1523" s="2" t="str">
        <x:v>48.17888656779006</x:v>
      </x:c>
    </x:row>
    <x:row r="1524">
      <x:c r="A1524" s="2" t="str">
        <x:v>DE-CMP-01</x:v>
      </x:c>
      <x:c r="B1524" s="2" t="str">
        <x:v>CFG-C01</x:v>
      </x:c>
      <x:c r="C1524" s="2" t="n">
        <x:v>46227.70238086805</x:v>
      </x:c>
      <x:c r="D1524" s="2" t="str">
        <x:v>os_cfar</x:v>
      </x:c>
      <x:c r="E1524" s="2" t="str">
        <x:v>monte_carlo</x:v>
      </x:c>
      <x:c r="F1524" s="2" t="str">
        <x:v>762</x:v>
      </x:c>
      <x:c r="G1524" s="2" t="str">
        <x:v>3174265</x:v>
      </x:c>
      <x:c r="H1524" s="2" t="str">
        <x:v>2048000.0</x:v>
      </x:c>
      <x:c r="I1524" s="2" t="str">
        <x:v>8192</x:v>
      </x:c>
      <x:c r="J1524" s="2" t="str">
        <x:v>250.0</x:v>
      </x:c>
      <x:c r="K1524" s="2" t="str">
        <x:v>3</x:v>
      </x:c>
      <x:c r="L1524" s="2" t="str">
        <x:v>3</x:v>
      </x:c>
      <x:c r="M1524" s="2" t="str">
        <x:v>3</x:v>
      </x:c>
      <x:c r="N1524" s="2" t="str">
        <x:v>0</x:v>
      </x:c>
      <x:c r="O1524" s="2" t="str">
        <x:v>0</x:v>
      </x:c>
      <x:c r="P1524" s="2" t="str">
        <x:v>false</x:v>
      </x:c>
      <x:c r="Q1524" s="2" t="str">
        <x:v>0.000000000;0.000000000;0.000000000</x:v>
      </x:c>
      <x:c r="R1524" s="2" t="str">
        <x:v>13.881249993573874</x:v>
      </x:c>
      <x:c r="S1524" s="2" t="str">
        <x:v>48.312381794751396</x:v>
      </x:c>
    </x:row>
    <x:row r="1525">
      <x:c r="A1525" s="2" t="str">
        <x:v>DE-CMP-01</x:v>
      </x:c>
      <x:c r="B1525" s="2" t="str">
        <x:v>CFG-C01</x:v>
      </x:c>
      <x:c r="C1525" s="2" t="n">
        <x:v>46227.70238086805</x:v>
      </x:c>
      <x:c r="D1525" s="2" t="str">
        <x:v>adaptive</x:v>
      </x:c>
      <x:c r="E1525" s="2" t="str">
        <x:v>monte_carlo</x:v>
      </x:c>
      <x:c r="F1525" s="2" t="str">
        <x:v>762</x:v>
      </x:c>
      <x:c r="G1525" s="2" t="str">
        <x:v>3174265</x:v>
      </x:c>
      <x:c r="H1525" s="2" t="str">
        <x:v>2048000.0</x:v>
      </x:c>
      <x:c r="I1525" s="2" t="str">
        <x:v>8192</x:v>
      </x:c>
      <x:c r="J1525" s="2" t="str">
        <x:v>250.0</x:v>
      </x:c>
      <x:c r="K1525" s="2" t="str">
        <x:v>3</x:v>
      </x:c>
      <x:c r="L1525" s="2" t="str">
        <x:v>3</x:v>
      </x:c>
      <x:c r="M1525" s="2" t="str">
        <x:v>3</x:v>
      </x:c>
      <x:c r="N1525" s="2" t="str">
        <x:v>0</x:v>
      </x:c>
      <x:c r="O1525" s="2" t="str">
        <x:v>0</x:v>
      </x:c>
      <x:c r="P1525" s="2" t="str">
        <x:v>false</x:v>
      </x:c>
      <x:c r="Q1525" s="2" t="str">
        <x:v>0.000000000;0.000000000;0.000000000</x:v>
      </x:c>
      <x:c r="R1525" s="2" t="str">
        <x:v>0.40995799645315856</x:v>
      </x:c>
      <x:c r="S1525" s="2" t="str">
        <x:v>46.42411307695927</x:v>
      </x:c>
    </x:row>
    <x:row r="1526">
      <x:c r="A1526" s="2" t="str">
        <x:v>DE-CMP-01</x:v>
      </x:c>
      <x:c r="B1526" s="2" t="str">
        <x:v>CFG-C01</x:v>
      </x:c>
      <x:c r="C1526" s="2" t="n">
        <x:v>46227.70238086805</x:v>
      </x:c>
      <x:c r="D1526" s="2" t="str">
        <x:v>adaptive</x:v>
      </x:c>
      <x:c r="E1526" s="2" t="str">
        <x:v>monte_carlo</x:v>
      </x:c>
      <x:c r="F1526" s="2" t="str">
        <x:v>763</x:v>
      </x:c>
      <x:c r="G1526" s="2" t="str">
        <x:v>3174266</x:v>
      </x:c>
      <x:c r="H1526" s="2" t="str">
        <x:v>2048000.0</x:v>
      </x:c>
      <x:c r="I1526" s="2" t="str">
        <x:v>8192</x:v>
      </x:c>
      <x:c r="J1526" s="2" t="str">
        <x:v>250.0</x:v>
      </x:c>
      <x:c r="K1526" s="2" t="str">
        <x:v>3</x:v>
      </x:c>
      <x:c r="L1526" s="2" t="str">
        <x:v>3</x:v>
      </x:c>
      <x:c r="M1526" s="2" t="str">
        <x:v>3</x:v>
      </x:c>
      <x:c r="N1526" s="2" t="str">
        <x:v>0</x:v>
      </x:c>
      <x:c r="O1526" s="2" t="str">
        <x:v>0</x:v>
      </x:c>
      <x:c r="P1526" s="2" t="str">
        <x:v>false</x:v>
      </x:c>
      <x:c r="Q1526" s="2" t="str">
        <x:v>0.000000000;0.000000000;0.000000000</x:v>
      </x:c>
      <x:c r="R1526" s="2" t="str">
        <x:v>0.40883300243876874</x:v>
      </x:c>
      <x:c r="S1526" s="2" t="str">
        <x:v>46.345115923128915</x:v>
      </x:c>
    </x:row>
    <x:row r="1527">
      <x:c r="A1527" s="2" t="str">
        <x:v>DE-CMP-01</x:v>
      </x:c>
      <x:c r="B1527" s="2" t="str">
        <x:v>CFG-C01</x:v>
      </x:c>
      <x:c r="C1527" s="2" t="n">
        <x:v>46227.70238086805</x:v>
      </x:c>
      <x:c r="D1527" s="2" t="str">
        <x:v>os_cfar</x:v>
      </x:c>
      <x:c r="E1527" s="2" t="str">
        <x:v>monte_carlo</x:v>
      </x:c>
      <x:c r="F1527" s="2" t="str">
        <x:v>763</x:v>
      </x:c>
      <x:c r="G1527" s="2" t="str">
        <x:v>3174266</x:v>
      </x:c>
      <x:c r="H1527" s="2" t="str">
        <x:v>2048000.0</x:v>
      </x:c>
      <x:c r="I1527" s="2" t="str">
        <x:v>8192</x:v>
      </x:c>
      <x:c r="J1527" s="2" t="str">
        <x:v>250.0</x:v>
      </x:c>
      <x:c r="K1527" s="2" t="str">
        <x:v>3</x:v>
      </x:c>
      <x:c r="L1527" s="2" t="str">
        <x:v>3</x:v>
      </x:c>
      <x:c r="M1527" s="2" t="str">
        <x:v>3</x:v>
      </x:c>
      <x:c r="N1527" s="2" t="str">
        <x:v>0</x:v>
      </x:c>
      <x:c r="O1527" s="2" t="str">
        <x:v>0</x:v>
      </x:c>
      <x:c r="P1527" s="2" t="str">
        <x:v>false</x:v>
      </x:c>
      <x:c r="Q1527" s="2" t="str">
        <x:v>0.000000000;0.000000000;0.000000000</x:v>
      </x:c>
      <x:c r="R1527" s="2" t="str">
        <x:v>13.703250006074086</x:v>
      </x:c>
      <x:c r="S1527" s="2" t="str">
        <x:v>48.19992099458885</x:v>
      </x:c>
    </x:row>
    <x:row r="1528">
      <x:c r="A1528" s="2" t="str">
        <x:v>DE-CMP-01</x:v>
      </x:c>
      <x:c r="B1528" s="2" t="str">
        <x:v>CFG-C01</x:v>
      </x:c>
      <x:c r="C1528" s="2" t="n">
        <x:v>46227.70238086805</x:v>
      </x:c>
      <x:c r="D1528" s="2" t="str">
        <x:v>os_cfar</x:v>
      </x:c>
      <x:c r="E1528" s="2" t="str">
        <x:v>monte_carlo</x:v>
      </x:c>
      <x:c r="F1528" s="2" t="str">
        <x:v>764</x:v>
      </x:c>
      <x:c r="G1528" s="2" t="str">
        <x:v>3174267</x:v>
      </x:c>
      <x:c r="H1528" s="2" t="str">
        <x:v>2048000.0</x:v>
      </x:c>
      <x:c r="I1528" s="2" t="str">
        <x:v>8192</x:v>
      </x:c>
      <x:c r="J1528" s="2" t="str">
        <x:v>250.0</x:v>
      </x:c>
      <x:c r="K1528" s="2" t="str">
        <x:v>2</x:v>
      </x:c>
      <x:c r="L1528" s="2" t="str">
        <x:v>3</x:v>
      </x:c>
      <x:c r="M1528" s="2" t="str">
        <x:v>2</x:v>
      </x:c>
      <x:c r="N1528" s="2" t="str">
        <x:v>1</x:v>
      </x:c>
      <x:c r="O1528" s="2" t="str">
        <x:v>0</x:v>
      </x:c>
      <x:c r="P1528" s="2" t="str">
        <x:v>true</x:v>
      </x:c>
      <x:c r="Q1528" s="2" t="str">
        <x:v>0.000000000;0.000000000</x:v>
      </x:c>
      <x:c r="R1528" s="2" t="str">
        <x:v>13.639791010064073</x:v>
      </x:c>
      <x:c r="S1528" s="2" t="str">
        <x:v>48.3618488539398</x:v>
      </x:c>
    </x:row>
    <x:row r="1529">
      <x:c r="A1529" s="2" t="str">
        <x:v>DE-CMP-01</x:v>
      </x:c>
      <x:c r="B1529" s="2" t="str">
        <x:v>CFG-C01</x:v>
      </x:c>
      <x:c r="C1529" s="2" t="n">
        <x:v>46227.70238086805</x:v>
      </x:c>
      <x:c r="D1529" s="2" t="str">
        <x:v>adaptive</x:v>
      </x:c>
      <x:c r="E1529" s="2" t="str">
        <x:v>monte_carlo</x:v>
      </x:c>
      <x:c r="F1529" s="2" t="str">
        <x:v>764</x:v>
      </x:c>
      <x:c r="G1529" s="2" t="str">
        <x:v>3174267</x:v>
      </x:c>
      <x:c r="H1529" s="2" t="str">
        <x:v>2048000.0</x:v>
      </x:c>
      <x:c r="I1529" s="2" t="str">
        <x:v>8192</x:v>
      </x:c>
      <x:c r="J1529" s="2" t="str">
        <x:v>250.0</x:v>
      </x:c>
      <x:c r="K1529" s="2" t="str">
        <x:v>2</x:v>
      </x:c>
      <x:c r="L1529" s="2" t="str">
        <x:v>3</x:v>
      </x:c>
      <x:c r="M1529" s="2" t="str">
        <x:v>2</x:v>
      </x:c>
      <x:c r="N1529" s="2" t="str">
        <x:v>1</x:v>
      </x:c>
      <x:c r="O1529" s="2" t="str">
        <x:v>0</x:v>
      </x:c>
      <x:c r="P1529" s="2" t="str">
        <x:v>true</x:v>
      </x:c>
      <x:c r="Q1529" s="2" t="str">
        <x:v>0.000000000;0.000000000</x:v>
      </x:c>
      <x:c r="R1529" s="2" t="str">
        <x:v>0.389292006730102</x:v>
      </x:c>
      <x:c r="S1529" s="2" t="str">
        <x:v>46.62286375066601</x:v>
      </x:c>
    </x:row>
    <x:row r="1530">
      <x:c r="A1530" s="2" t="str">
        <x:v>DE-CMP-01</x:v>
      </x:c>
      <x:c r="B1530" s="2" t="str">
        <x:v>CFG-C01</x:v>
      </x:c>
      <x:c r="C1530" s="2" t="n">
        <x:v>46227.70238086805</x:v>
      </x:c>
      <x:c r="D1530" s="2" t="str">
        <x:v>adaptive</x:v>
      </x:c>
      <x:c r="E1530" s="2" t="str">
        <x:v>monte_carlo</x:v>
      </x:c>
      <x:c r="F1530" s="2" t="str">
        <x:v>765</x:v>
      </x:c>
      <x:c r="G1530" s="2" t="str">
        <x:v>3174268</x:v>
      </x:c>
      <x:c r="H1530" s="2" t="str">
        <x:v>2048000.0</x:v>
      </x:c>
      <x:c r="I1530" s="2" t="str">
        <x:v>8192</x:v>
      </x:c>
      <x:c r="J1530" s="2" t="str">
        <x:v>250.0</x:v>
      </x:c>
      <x:c r="K1530" s="2" t="str">
        <x:v>3</x:v>
      </x:c>
      <x:c r="L1530" s="2" t="str">
        <x:v>3</x:v>
      </x:c>
      <x:c r="M1530" s="2" t="str">
        <x:v>3</x:v>
      </x:c>
      <x:c r="N1530" s="2" t="str">
        <x:v>0</x:v>
      </x:c>
      <x:c r="O1530" s="2" t="str">
        <x:v>0</x:v>
      </x:c>
      <x:c r="P1530" s="2" t="str">
        <x:v>false</x:v>
      </x:c>
      <x:c r="Q1530" s="2" t="str">
        <x:v>0.000000000;0.000000000;0.000000000</x:v>
      </x:c>
      <x:c r="R1530" s="2" t="str">
        <x:v>0.4074999887961894</x:v>
      </x:c>
      <x:c r="S1530" s="2" t="str">
        <x:v>46.59329472406716</x:v>
      </x:c>
    </x:row>
    <x:row r="1531">
      <x:c r="A1531" s="2" t="str">
        <x:v>DE-CMP-01</x:v>
      </x:c>
      <x:c r="B1531" s="2" t="str">
        <x:v>CFG-C01</x:v>
      </x:c>
      <x:c r="C1531" s="2" t="n">
        <x:v>46227.70238086805</x:v>
      </x:c>
      <x:c r="D1531" s="2" t="str">
        <x:v>os_cfar</x:v>
      </x:c>
      <x:c r="E1531" s="2" t="str">
        <x:v>monte_carlo</x:v>
      </x:c>
      <x:c r="F1531" s="2" t="str">
        <x:v>765</x:v>
      </x:c>
      <x:c r="G1531" s="2" t="str">
        <x:v>3174268</x:v>
      </x:c>
      <x:c r="H1531" s="2" t="str">
        <x:v>2048000.0</x:v>
      </x:c>
      <x:c r="I1531" s="2" t="str">
        <x:v>8192</x:v>
      </x:c>
      <x:c r="J1531" s="2" t="str">
        <x:v>250.0</x:v>
      </x:c>
      <x:c r="K1531" s="2" t="str">
        <x:v>3</x:v>
      </x:c>
      <x:c r="L1531" s="2" t="str">
        <x:v>3</x:v>
      </x:c>
      <x:c r="M1531" s="2" t="str">
        <x:v>3</x:v>
      </x:c>
      <x:c r="N1531" s="2" t="str">
        <x:v>0</x:v>
      </x:c>
      <x:c r="O1531" s="2" t="str">
        <x:v>0</x:v>
      </x:c>
      <x:c r="P1531" s="2" t="str">
        <x:v>false</x:v>
      </x:c>
      <x:c r="Q1531" s="2" t="str">
        <x:v>0.000000000;0.000000000;0.000000000</x:v>
      </x:c>
      <x:c r="R1531" s="2" t="str">
        <x:v>13.763125010882504</x:v>
      </x:c>
      <x:c r="S1531" s="2" t="str">
        <x:v>48.38304135921213</x:v>
      </x:c>
    </x:row>
    <x:row r="1532">
      <x:c r="A1532" s="2" t="str">
        <x:v>DE-CMP-01</x:v>
      </x:c>
      <x:c r="B1532" s="2" t="str">
        <x:v>CFG-C01</x:v>
      </x:c>
      <x:c r="C1532" s="2" t="n">
        <x:v>46227.70238086805</x:v>
      </x:c>
      <x:c r="D1532" s="2" t="str">
        <x:v>os_cfar</x:v>
      </x:c>
      <x:c r="E1532" s="2" t="str">
        <x:v>monte_carlo</x:v>
      </x:c>
      <x:c r="F1532" s="2" t="str">
        <x:v>766</x:v>
      </x:c>
      <x:c r="G1532" s="2" t="str">
        <x:v>3174269</x:v>
      </x:c>
      <x:c r="H1532" s="2" t="str">
        <x:v>2048000.0</x:v>
      </x:c>
      <x:c r="I1532" s="2" t="str">
        <x:v>8192</x:v>
      </x:c>
      <x:c r="J1532" s="2" t="str">
        <x:v>250.0</x:v>
      </x:c>
      <x:c r="K1532" s="2" t="str">
        <x:v>0</x:v>
      </x:c>
      <x:c r="L1532" s="2" t="str">
        <x:v>3</x:v>
      </x:c>
      <x:c r="M1532" s="2" t="str">
        <x:v>0</x:v>
      </x:c>
      <x:c r="N1532" s="2" t="str">
        <x:v>3</x:v>
      </x:c>
      <x:c r="O1532" s="2" t="str">
        <x:v>0</x:v>
      </x:c>
      <x:c r="P1532" s="2" t="str">
        <x:v>true</x:v>
      </x:c>
      <x:c r="Q1532" s="2" t="str">
        <x:v>NA</x:v>
      </x:c>
      <x:c r="R1532" s="2" t="str">
        <x:v>13.676625007065013</x:v>
      </x:c>
      <x:c r="S1532" s="2" t="str">
        <x:v>48.16719351402946</x:v>
      </x:c>
    </x:row>
    <x:row r="1533">
      <x:c r="A1533" s="2" t="str">
        <x:v>DE-CMP-01</x:v>
      </x:c>
      <x:c r="B1533" s="2" t="str">
        <x:v>CFG-C01</x:v>
      </x:c>
      <x:c r="C1533" s="2" t="n">
        <x:v>46227.70238086805</x:v>
      </x:c>
      <x:c r="D1533" s="2" t="str">
        <x:v>adaptive</x:v>
      </x:c>
      <x:c r="E1533" s="2" t="str">
        <x:v>monte_carlo</x:v>
      </x:c>
      <x:c r="F1533" s="2" t="str">
        <x:v>766</x:v>
      </x:c>
      <x:c r="G1533" s="2" t="str">
        <x:v>3174269</x:v>
      </x:c>
      <x:c r="H1533" s="2" t="str">
        <x:v>2048000.0</x:v>
      </x:c>
      <x:c r="I1533" s="2" t="str">
        <x:v>8192</x:v>
      </x:c>
      <x:c r="J1533" s="2" t="str">
        <x:v>250.0</x:v>
      </x:c>
      <x:c r="K1533" s="2" t="str">
        <x:v>0</x:v>
      </x:c>
      <x:c r="L1533" s="2" t="str">
        <x:v>3</x:v>
      </x:c>
      <x:c r="M1533" s="2" t="str">
        <x:v>0</x:v>
      </x:c>
      <x:c r="N1533" s="2" t="str">
        <x:v>3</x:v>
      </x:c>
      <x:c r="O1533" s="2" t="str">
        <x:v>0</x:v>
      </x:c>
      <x:c r="P1533" s="2" t="str">
        <x:v>true</x:v>
      </x:c>
      <x:c r="Q1533" s="2" t="str">
        <x:v>NA</x:v>
      </x:c>
      <x:c r="R1533" s="2" t="str">
        <x:v>0.42545799806248397</x:v>
      </x:c>
      <x:c r="S1533" s="2" t="str">
        <x:v>46.4000368834563</x:v>
      </x:c>
    </x:row>
    <x:row r="1534">
      <x:c r="A1534" s="2" t="str">
        <x:v>DE-CMP-01</x:v>
      </x:c>
      <x:c r="B1534" s="2" t="str">
        <x:v>CFG-C01</x:v>
      </x:c>
      <x:c r="C1534" s="2" t="n">
        <x:v>46227.70238086805</x:v>
      </x:c>
      <x:c r="D1534" s="2" t="str">
        <x:v>adaptive</x:v>
      </x:c>
      <x:c r="E1534" s="2" t="str">
        <x:v>monte_carlo</x:v>
      </x:c>
      <x:c r="F1534" s="2" t="str">
        <x:v>767</x:v>
      </x:c>
      <x:c r="G1534" s="2" t="str">
        <x:v>3174270</x:v>
      </x:c>
      <x:c r="H1534" s="2" t="str">
        <x:v>2048000.0</x:v>
      </x:c>
      <x:c r="I1534" s="2" t="str">
        <x:v>8192</x:v>
      </x:c>
      <x:c r="J1534" s="2" t="str">
        <x:v>250.0</x:v>
      </x:c>
      <x:c r="K1534" s="2" t="str">
        <x:v>0</x:v>
      </x:c>
      <x:c r="L1534" s="2" t="str">
        <x:v>3</x:v>
      </x:c>
      <x:c r="M1534" s="2" t="str">
        <x:v>0</x:v>
      </x:c>
      <x:c r="N1534" s="2" t="str">
        <x:v>3</x:v>
      </x:c>
      <x:c r="O1534" s="2" t="str">
        <x:v>0</x:v>
      </x:c>
      <x:c r="P1534" s="2" t="str">
        <x:v>true</x:v>
      </x:c>
      <x:c r="Q1534" s="2" t="str">
        <x:v>NA</x:v>
      </x:c>
      <x:c r="R1534" s="2" t="str">
        <x:v>0.4274579987395555</x:v>
      </x:c>
      <x:c r="S1534" s="2" t="str">
        <x:v>46.26573026966815</x:v>
      </x:c>
    </x:row>
    <x:row r="1535">
      <x:c r="A1535" s="2" t="str">
        <x:v>DE-CMP-01</x:v>
      </x:c>
      <x:c r="B1535" s="2" t="str">
        <x:v>CFG-C01</x:v>
      </x:c>
      <x:c r="C1535" s="2" t="n">
        <x:v>46227.70238086805</x:v>
      </x:c>
      <x:c r="D1535" s="2" t="str">
        <x:v>os_cfar</x:v>
      </x:c>
      <x:c r="E1535" s="2" t="str">
        <x:v>monte_carlo</x:v>
      </x:c>
      <x:c r="F1535" s="2" t="str">
        <x:v>767</x:v>
      </x:c>
      <x:c r="G1535" s="2" t="str">
        <x:v>3174270</x:v>
      </x:c>
      <x:c r="H1535" s="2" t="str">
        <x:v>2048000.0</x:v>
      </x:c>
      <x:c r="I1535" s="2" t="str">
        <x:v>8192</x:v>
      </x:c>
      <x:c r="J1535" s="2" t="str">
        <x:v>250.0</x:v>
      </x:c>
      <x:c r="K1535" s="2" t="str">
        <x:v>0</x:v>
      </x:c>
      <x:c r="L1535" s="2" t="str">
        <x:v>3</x:v>
      </x:c>
      <x:c r="M1535" s="2" t="str">
        <x:v>0</x:v>
      </x:c>
      <x:c r="N1535" s="2" t="str">
        <x:v>3</x:v>
      </x:c>
      <x:c r="O1535" s="2" t="str">
        <x:v>0</x:v>
      </x:c>
      <x:c r="P1535" s="2" t="str">
        <x:v>true</x:v>
      </x:c>
      <x:c r="Q1535" s="2" t="str">
        <x:v>NA</x:v>
      </x:c>
      <x:c r="R1535" s="2" t="str">
        <x:v>13.551833006204106</x:v>
      </x:c>
      <x:c r="S1535" s="2" t="str">
        <x:v>48.08220427313537</x:v>
      </x:c>
    </x:row>
    <x:row r="1536">
      <x:c r="A1536" s="2" t="str">
        <x:v>DE-CMP-01</x:v>
      </x:c>
      <x:c r="B1536" s="2" t="str">
        <x:v>CFG-C01</x:v>
      </x:c>
      <x:c r="C1536" s="2" t="n">
        <x:v>46227.70238086805</x:v>
      </x:c>
      <x:c r="D1536" s="2" t="str">
        <x:v>os_cfar</x:v>
      </x:c>
      <x:c r="E1536" s="2" t="str">
        <x:v>monte_carlo</x:v>
      </x:c>
      <x:c r="F1536" s="2" t="str">
        <x:v>768</x:v>
      </x:c>
      <x:c r="G1536" s="2" t="str">
        <x:v>3174271</x:v>
      </x:c>
      <x:c r="H1536" s="2" t="str">
        <x:v>2048000.0</x:v>
      </x:c>
      <x:c r="I1536" s="2" t="str">
        <x:v>8192</x:v>
      </x:c>
      <x:c r="J1536" s="2" t="str">
        <x:v>250.0</x:v>
      </x:c>
      <x:c r="K1536" s="2" t="str">
        <x:v>0</x:v>
      </x:c>
      <x:c r="L1536" s="2" t="str">
        <x:v>3</x:v>
      </x:c>
      <x:c r="M1536" s="2" t="str">
        <x:v>0</x:v>
      </x:c>
      <x:c r="N1536" s="2" t="str">
        <x:v>3</x:v>
      </x:c>
      <x:c r="O1536" s="2" t="str">
        <x:v>0</x:v>
      </x:c>
      <x:c r="P1536" s="2" t="str">
        <x:v>true</x:v>
      </x:c>
      <x:c r="Q1536" s="2" t="str">
        <x:v>NA</x:v>
      </x:c>
      <x:c r="R1536" s="2" t="str">
        <x:v>13.54795899533201</x:v>
      </x:c>
      <x:c r="S1536" s="2" t="str">
        <x:v>48.311453420125645</x:v>
      </x:c>
    </x:row>
    <x:row r="1537">
      <x:c r="A1537" s="2" t="str">
        <x:v>DE-CMP-01</x:v>
      </x:c>
      <x:c r="B1537" s="2" t="str">
        <x:v>CFG-C01</x:v>
      </x:c>
      <x:c r="C1537" s="2" t="n">
        <x:v>46227.70238086805</x:v>
      </x:c>
      <x:c r="D1537" s="2" t="str">
        <x:v>adaptive</x:v>
      </x:c>
      <x:c r="E1537" s="2" t="str">
        <x:v>monte_carlo</x:v>
      </x:c>
      <x:c r="F1537" s="2" t="str">
        <x:v>768</x:v>
      </x:c>
      <x:c r="G1537" s="2" t="str">
        <x:v>3174271</x:v>
      </x:c>
      <x:c r="H1537" s="2" t="str">
        <x:v>2048000.0</x:v>
      </x:c>
      <x:c r="I1537" s="2" t="str">
        <x:v>8192</x:v>
      </x:c>
      <x:c r="J1537" s="2" t="str">
        <x:v>250.0</x:v>
      </x:c>
      <x:c r="K1537" s="2" t="str">
        <x:v>0</x:v>
      </x:c>
      <x:c r="L1537" s="2" t="str">
        <x:v>3</x:v>
      </x:c>
      <x:c r="M1537" s="2" t="str">
        <x:v>0</x:v>
      </x:c>
      <x:c r="N1537" s="2" t="str">
        <x:v>3</x:v>
      </x:c>
      <x:c r="O1537" s="2" t="str">
        <x:v>0</x:v>
      </x:c>
      <x:c r="P1537" s="2" t="str">
        <x:v>true</x:v>
      </x:c>
      <x:c r="Q1537" s="2" t="str">
        <x:v>NA</x:v>
      </x:c>
      <x:c r="R1537" s="2" t="str">
        <x:v>0.408125008107163</x:v>
      </x:c>
      <x:c r="S1537" s="2" t="str">
        <x:v>46.618013853679706</x:v>
      </x:c>
    </x:row>
    <x:row r="1538">
      <x:c r="A1538" s="2" t="str">
        <x:v>DE-CMP-01</x:v>
      </x:c>
      <x:c r="B1538" s="2" t="str">
        <x:v>CFG-C01</x:v>
      </x:c>
      <x:c r="C1538" s="2" t="n">
        <x:v>46227.70238086805</x:v>
      </x:c>
      <x:c r="D1538" s="2" t="str">
        <x:v>adaptive</x:v>
      </x:c>
      <x:c r="E1538" s="2" t="str">
        <x:v>monte_carlo</x:v>
      </x:c>
      <x:c r="F1538" s="2" t="str">
        <x:v>769</x:v>
      </x:c>
      <x:c r="G1538" s="2" t="str">
        <x:v>3174272</x:v>
      </x:c>
      <x:c r="H1538" s="2" t="str">
        <x:v>2048000.0</x:v>
      </x:c>
      <x:c r="I1538" s="2" t="str">
        <x:v>8192</x:v>
      </x:c>
      <x:c r="J1538" s="2" t="str">
        <x:v>250.0</x:v>
      </x:c>
      <x:c r="K1538" s="2" t="str">
        <x:v>2</x:v>
      </x:c>
      <x:c r="L1538" s="2" t="str">
        <x:v>3</x:v>
      </x:c>
      <x:c r="M1538" s="2" t="str">
        <x:v>2</x:v>
      </x:c>
      <x:c r="N1538" s="2" t="str">
        <x:v>1</x:v>
      </x:c>
      <x:c r="O1538" s="2" t="str">
        <x:v>0</x:v>
      </x:c>
      <x:c r="P1538" s="2" t="str">
        <x:v>true</x:v>
      </x:c>
      <x:c r="Q1538" s="2" t="str">
        <x:v>0.000000000;0.000000000</x:v>
      </x:c>
      <x:c r="R1538" s="2" t="str">
        <x:v>0.40704199636820704</x:v>
      </x:c>
      <x:c r="S1538" s="2" t="str">
        <x:v>46.5445576975868</x:v>
      </x:c>
    </x:row>
    <x:row r="1539">
      <x:c r="A1539" s="2" t="str">
        <x:v>DE-CMP-01</x:v>
      </x:c>
      <x:c r="B1539" s="2" t="str">
        <x:v>CFG-C01</x:v>
      </x:c>
      <x:c r="C1539" s="2" t="n">
        <x:v>46227.70238086805</x:v>
      </x:c>
      <x:c r="D1539" s="2" t="str">
        <x:v>os_cfar</x:v>
      </x:c>
      <x:c r="E1539" s="2" t="str">
        <x:v>monte_carlo</x:v>
      </x:c>
      <x:c r="F1539" s="2" t="str">
        <x:v>769</x:v>
      </x:c>
      <x:c r="G1539" s="2" t="str">
        <x:v>3174272</x:v>
      </x:c>
      <x:c r="H1539" s="2" t="str">
        <x:v>2048000.0</x:v>
      </x:c>
      <x:c r="I1539" s="2" t="str">
        <x:v>8192</x:v>
      </x:c>
      <x:c r="J1539" s="2" t="str">
        <x:v>250.0</x:v>
      </x:c>
      <x:c r="K1539" s="2" t="str">
        <x:v>2</x:v>
      </x:c>
      <x:c r="L1539" s="2" t="str">
        <x:v>3</x:v>
      </x:c>
      <x:c r="M1539" s="2" t="str">
        <x:v>2</x:v>
      </x:c>
      <x:c r="N1539" s="2" t="str">
        <x:v>1</x:v>
      </x:c>
      <x:c r="O1539" s="2" t="str">
        <x:v>0</x:v>
      </x:c>
      <x:c r="P1539" s="2" t="str">
        <x:v>true</x:v>
      </x:c>
      <x:c r="Q1539" s="2" t="str">
        <x:v>0.000000000;0.000000000</x:v>
      </x:c>
      <x:c r="R1539" s="2" t="str">
        <x:v>13.66908400086686</x:v>
      </x:c>
      <x:c r="S1539" s="2" t="str">
        <x:v>48.225082355604926</x:v>
      </x:c>
    </x:row>
    <x:row r="1540">
      <x:c r="A1540" s="2" t="str">
        <x:v>DE-CMP-01</x:v>
      </x:c>
      <x:c r="B1540" s="2" t="str">
        <x:v>CFG-C01</x:v>
      </x:c>
      <x:c r="C1540" s="2" t="n">
        <x:v>46227.70238086805</x:v>
      </x:c>
      <x:c r="D1540" s="2" t="str">
        <x:v>os_cfar</x:v>
      </x:c>
      <x:c r="E1540" s="2" t="str">
        <x:v>monte_carlo</x:v>
      </x:c>
      <x:c r="F1540" s="2" t="str">
        <x:v>770</x:v>
      </x:c>
      <x:c r="G1540" s="2" t="str">
        <x:v>3174273</x:v>
      </x:c>
      <x:c r="H1540" s="2" t="str">
        <x:v>2048000.0</x:v>
      </x:c>
      <x:c r="I1540" s="2" t="str">
        <x:v>8192</x:v>
      </x:c>
      <x:c r="J1540" s="2" t="str">
        <x:v>250.0</x:v>
      </x:c>
      <x:c r="K1540" s="2" t="str">
        <x:v>2</x:v>
      </x:c>
      <x:c r="L1540" s="2" t="str">
        <x:v>3</x:v>
      </x:c>
      <x:c r="M1540" s="2" t="str">
        <x:v>2</x:v>
      </x:c>
      <x:c r="N1540" s="2" t="str">
        <x:v>1</x:v>
      </x:c>
      <x:c r="O1540" s="2" t="str">
        <x:v>0</x:v>
      </x:c>
      <x:c r="P1540" s="2" t="str">
        <x:v>true</x:v>
      </x:c>
      <x:c r="Q1540" s="2" t="str">
        <x:v>0.000000000;0.000000000</x:v>
      </x:c>
      <x:c r="R1540" s="2" t="str">
        <x:v>13.623708000523038</x:v>
      </x:c>
      <x:c r="S1540" s="2" t="str">
        <x:v>48.09948701600138</x:v>
      </x:c>
    </x:row>
    <x:row r="1541">
      <x:c r="A1541" s="2" t="str">
        <x:v>DE-CMP-01</x:v>
      </x:c>
      <x:c r="B1541" s="2" t="str">
        <x:v>CFG-C01</x:v>
      </x:c>
      <x:c r="C1541" s="2" t="n">
        <x:v>46227.70238086805</x:v>
      </x:c>
      <x:c r="D1541" s="2" t="str">
        <x:v>adaptive</x:v>
      </x:c>
      <x:c r="E1541" s="2" t="str">
        <x:v>monte_carlo</x:v>
      </x:c>
      <x:c r="F1541" s="2" t="str">
        <x:v>770</x:v>
      </x:c>
      <x:c r="G1541" s="2" t="str">
        <x:v>3174273</x:v>
      </x:c>
      <x:c r="H1541" s="2" t="str">
        <x:v>2048000.0</x:v>
      </x:c>
      <x:c r="I1541" s="2" t="str">
        <x:v>8192</x:v>
      </x:c>
      <x:c r="J1541" s="2" t="str">
        <x:v>250.0</x:v>
      </x:c>
      <x:c r="K1541" s="2" t="str">
        <x:v>2</x:v>
      </x:c>
      <x:c r="L1541" s="2" t="str">
        <x:v>3</x:v>
      </x:c>
      <x:c r="M1541" s="2" t="str">
        <x:v>2</x:v>
      </x:c>
      <x:c r="N1541" s="2" t="str">
        <x:v>1</x:v>
      </x:c>
      <x:c r="O1541" s="2" t="str">
        <x:v>0</x:v>
      </x:c>
      <x:c r="P1541" s="2" t="str">
        <x:v>true</x:v>
      </x:c>
      <x:c r="Q1541" s="2" t="str">
        <x:v>0.000000000;0.000000000</x:v>
      </x:c>
      <x:c r="R1541" s="2" t="str">
        <x:v>0.4043340013595298</x:v>
      </x:c>
      <x:c r="S1541" s="2" t="str">
        <x:v>46.313850020427765</x:v>
      </x:c>
    </x:row>
    <x:row r="1542">
      <x:c r="A1542" s="2" t="str">
        <x:v>DE-CMP-01</x:v>
      </x:c>
      <x:c r="B1542" s="2" t="str">
        <x:v>CFG-C01</x:v>
      </x:c>
      <x:c r="C1542" s="2" t="n">
        <x:v>46227.70238086805</x:v>
      </x:c>
      <x:c r="D1542" s="2" t="str">
        <x:v>adaptive</x:v>
      </x:c>
      <x:c r="E1542" s="2" t="str">
        <x:v>monte_carlo</x:v>
      </x:c>
      <x:c r="F1542" s="2" t="str">
        <x:v>771</x:v>
      </x:c>
      <x:c r="G1542" s="2" t="str">
        <x:v>3174274</x:v>
      </x:c>
      <x:c r="H1542" s="2" t="str">
        <x:v>2048000.0</x:v>
      </x:c>
      <x:c r="I1542" s="2" t="str">
        <x:v>8192</x:v>
      </x:c>
      <x:c r="J1542" s="2" t="str">
        <x:v>250.0</x:v>
      </x:c>
      <x:c r="K1542" s="2" t="str">
        <x:v>0</x:v>
      </x:c>
      <x:c r="L1542" s="2" t="str">
        <x:v>3</x:v>
      </x:c>
      <x:c r="M1542" s="2" t="str">
        <x:v>0</x:v>
      </x:c>
      <x:c r="N1542" s="2" t="str">
        <x:v>3</x:v>
      </x:c>
      <x:c r="O1542" s="2" t="str">
        <x:v>0</x:v>
      </x:c>
      <x:c r="P1542" s="2" t="str">
        <x:v>true</x:v>
      </x:c>
      <x:c r="Q1542" s="2" t="str">
        <x:v>NA</x:v>
      </x:c>
      <x:c r="R1542" s="2" t="str">
        <x:v>0.4021250060759485</x:v>
      </x:c>
      <x:c r="S1542" s="2" t="str">
        <x:v>46.31821960005426</x:v>
      </x:c>
    </x:row>
    <x:row r="1543">
      <x:c r="A1543" s="2" t="str">
        <x:v>DE-CMP-01</x:v>
      </x:c>
      <x:c r="B1543" s="2" t="str">
        <x:v>CFG-C01</x:v>
      </x:c>
      <x:c r="C1543" s="2" t="n">
        <x:v>46227.70238086805</x:v>
      </x:c>
      <x:c r="D1543" s="2" t="str">
        <x:v>os_cfar</x:v>
      </x:c>
      <x:c r="E1543" s="2" t="str">
        <x:v>monte_carlo</x:v>
      </x:c>
      <x:c r="F1543" s="2" t="str">
        <x:v>771</x:v>
      </x:c>
      <x:c r="G1543" s="2" t="str">
        <x:v>3174274</x:v>
      </x:c>
      <x:c r="H1543" s="2" t="str">
        <x:v>2048000.0</x:v>
      </x:c>
      <x:c r="I1543" s="2" t="str">
        <x:v>8192</x:v>
      </x:c>
      <x:c r="J1543" s="2" t="str">
        <x:v>250.0</x:v>
      </x:c>
      <x:c r="K1543" s="2" t="str">
        <x:v>0</x:v>
      </x:c>
      <x:c r="L1543" s="2" t="str">
        <x:v>3</x:v>
      </x:c>
      <x:c r="M1543" s="2" t="str">
        <x:v>0</x:v>
      </x:c>
      <x:c r="N1543" s="2" t="str">
        <x:v>3</x:v>
      </x:c>
      <x:c r="O1543" s="2" t="str">
        <x:v>0</x:v>
      </x:c>
      <x:c r="P1543" s="2" t="str">
        <x:v>true</x:v>
      </x:c>
      <x:c r="Q1543" s="2" t="str">
        <x:v>NA</x:v>
      </x:c>
      <x:c r="R1543" s="2" t="str">
        <x:v>13.516124992747791</x:v>
      </x:c>
      <x:c r="S1543" s="2" t="str">
        <x:v>48.192122785103464</x:v>
      </x:c>
    </x:row>
    <x:row r="1544">
      <x:c r="A1544" s="2" t="str">
        <x:v>DE-CMP-01</x:v>
      </x:c>
      <x:c r="B1544" s="2" t="str">
        <x:v>CFG-C01</x:v>
      </x:c>
      <x:c r="C1544" s="2" t="n">
        <x:v>46227.70238086805</x:v>
      </x:c>
      <x:c r="D1544" s="2" t="str">
        <x:v>os_cfar</x:v>
      </x:c>
      <x:c r="E1544" s="2" t="str">
        <x:v>monte_carlo</x:v>
      </x:c>
      <x:c r="F1544" s="2" t="str">
        <x:v>772</x:v>
      </x:c>
      <x:c r="G1544" s="2" t="str">
        <x:v>3174275</x:v>
      </x:c>
      <x:c r="H1544" s="2" t="str">
        <x:v>2048000.0</x:v>
      </x:c>
      <x:c r="I1544" s="2" t="str">
        <x:v>8192</x:v>
      </x:c>
      <x:c r="J1544" s="2" t="str">
        <x:v>250.0</x:v>
      </x:c>
      <x:c r="K1544" s="2" t="str">
        <x:v>1</x:v>
      </x:c>
      <x:c r="L1544" s="2" t="str">
        <x:v>3</x:v>
      </x:c>
      <x:c r="M1544" s="2" t="str">
        <x:v>1</x:v>
      </x:c>
      <x:c r="N1544" s="2" t="str">
        <x:v>2</x:v>
      </x:c>
      <x:c r="O1544" s="2" t="str">
        <x:v>0</x:v>
      </x:c>
      <x:c r="P1544" s="2" t="str">
        <x:v>true</x:v>
      </x:c>
      <x:c r="Q1544" s="2" t="str">
        <x:v>0.000000000</x:v>
      </x:c>
      <x:c r="R1544" s="2" t="str">
        <x:v>13.62420798977837</x:v>
      </x:c>
      <x:c r="S1544" s="2" t="str">
        <x:v>48.30340589556086</x:v>
      </x:c>
    </x:row>
    <x:row r="1545">
      <x:c r="A1545" s="2" t="str">
        <x:v>DE-CMP-01</x:v>
      </x:c>
      <x:c r="B1545" s="2" t="str">
        <x:v>CFG-C01</x:v>
      </x:c>
      <x:c r="C1545" s="2" t="n">
        <x:v>46227.70238086805</x:v>
      </x:c>
      <x:c r="D1545" s="2" t="str">
        <x:v>adaptive</x:v>
      </x:c>
      <x:c r="E1545" s="2" t="str">
        <x:v>monte_carlo</x:v>
      </x:c>
      <x:c r="F1545" s="2" t="str">
        <x:v>772</x:v>
      </x:c>
      <x:c r="G1545" s="2" t="str">
        <x:v>3174275</x:v>
      </x:c>
      <x:c r="H1545" s="2" t="str">
        <x:v>2048000.0</x:v>
      </x:c>
      <x:c r="I1545" s="2" t="str">
        <x:v>8192</x:v>
      </x:c>
      <x:c r="J1545" s="2" t="str">
        <x:v>250.0</x:v>
      </x:c>
      <x:c r="K1545" s="2" t="str">
        <x:v>1</x:v>
      </x:c>
      <x:c r="L1545" s="2" t="str">
        <x:v>3</x:v>
      </x:c>
      <x:c r="M1545" s="2" t="str">
        <x:v>1</x:v>
      </x:c>
      <x:c r="N1545" s="2" t="str">
        <x:v>2</x:v>
      </x:c>
      <x:c r="O1545" s="2" t="str">
        <x:v>0</x:v>
      </x:c>
      <x:c r="P1545" s="2" t="str">
        <x:v>true</x:v>
      </x:c>
      <x:c r="Q1545" s="2" t="str">
        <x:v>0.000000000</x:v>
      </x:c>
      <x:c r="R1545" s="2" t="str">
        <x:v>0.42158400174230337</x:v>
      </x:c>
      <x:c r="S1545" s="2" t="str">
        <x:v>46.37797661111556</x:v>
      </x:c>
    </x:row>
    <x:row r="1546">
      <x:c r="A1546" s="2" t="str">
        <x:v>DE-CMP-01</x:v>
      </x:c>
      <x:c r="B1546" s="2" t="str">
        <x:v>CFG-C01</x:v>
      </x:c>
      <x:c r="C1546" s="2" t="n">
        <x:v>46227.70238086805</x:v>
      </x:c>
      <x:c r="D1546" s="2" t="str">
        <x:v>adaptive</x:v>
      </x:c>
      <x:c r="E1546" s="2" t="str">
        <x:v>monte_carlo</x:v>
      </x:c>
      <x:c r="F1546" s="2" t="str">
        <x:v>773</x:v>
      </x:c>
      <x:c r="G1546" s="2" t="str">
        <x:v>3174276</x:v>
      </x:c>
      <x:c r="H1546" s="2" t="str">
        <x:v>2048000.0</x:v>
      </x:c>
      <x:c r="I1546" s="2" t="str">
        <x:v>8192</x:v>
      </x:c>
      <x:c r="J1546" s="2" t="str">
        <x:v>250.0</x:v>
      </x:c>
      <x:c r="K1546" s="2" t="str">
        <x:v>0</x:v>
      </x:c>
      <x:c r="L1546" s="2" t="str">
        <x:v>3</x:v>
      </x:c>
      <x:c r="M1546" s="2" t="str">
        <x:v>0</x:v>
      </x:c>
      <x:c r="N1546" s="2" t="str">
        <x:v>3</x:v>
      </x:c>
      <x:c r="O1546" s="2" t="str">
        <x:v>0</x:v>
      </x:c>
      <x:c r="P1546" s="2" t="str">
        <x:v>true</x:v>
      </x:c>
      <x:c r="Q1546" s="2" t="str">
        <x:v>NA</x:v>
      </x:c>
      <x:c r="R1546" s="2" t="str">
        <x:v>0.4134170012548566</x:v>
      </x:c>
      <x:c r="S1546" s="2" t="str">
        <x:v>46.35814914847265</x:v>
      </x:c>
    </x:row>
    <x:row r="1547">
      <x:c r="A1547" s="2" t="str">
        <x:v>DE-CMP-01</x:v>
      </x:c>
      <x:c r="B1547" s="2" t="str">
        <x:v>CFG-C01</x:v>
      </x:c>
      <x:c r="C1547" s="2" t="n">
        <x:v>46227.70238086805</x:v>
      </x:c>
      <x:c r="D1547" s="2" t="str">
        <x:v>os_cfar</x:v>
      </x:c>
      <x:c r="E1547" s="2" t="str">
        <x:v>monte_carlo</x:v>
      </x:c>
      <x:c r="F1547" s="2" t="str">
        <x:v>773</x:v>
      </x:c>
      <x:c r="G1547" s="2" t="str">
        <x:v>3174276</x:v>
      </x:c>
      <x:c r="H1547" s="2" t="str">
        <x:v>2048000.0</x:v>
      </x:c>
      <x:c r="I1547" s="2" t="str">
        <x:v>8192</x:v>
      </x:c>
      <x:c r="J1547" s="2" t="str">
        <x:v>250.0</x:v>
      </x:c>
      <x:c r="K1547" s="2" t="str">
        <x:v>0</x:v>
      </x:c>
      <x:c r="L1547" s="2" t="str">
        <x:v>3</x:v>
      </x:c>
      <x:c r="M1547" s="2" t="str">
        <x:v>0</x:v>
      </x:c>
      <x:c r="N1547" s="2" t="str">
        <x:v>3</x:v>
      </x:c>
      <x:c r="O1547" s="2" t="str">
        <x:v>0</x:v>
      </x:c>
      <x:c r="P1547" s="2" t="str">
        <x:v>true</x:v>
      </x:c>
      <x:c r="Q1547" s="2" t="str">
        <x:v>NA</x:v>
      </x:c>
      <x:c r="R1547" s="2" t="str">
        <x:v>13.57595800072886</x:v>
      </x:c>
      <x:c r="S1547" s="2" t="str">
        <x:v>48.13149296813841</x:v>
      </x:c>
    </x:row>
    <x:row r="1548">
      <x:c r="A1548" s="2" t="str">
        <x:v>DE-CMP-01</x:v>
      </x:c>
      <x:c r="B1548" s="2" t="str">
        <x:v>CFG-C01</x:v>
      </x:c>
      <x:c r="C1548" s="2" t="n">
        <x:v>46227.70238086805</x:v>
      </x:c>
      <x:c r="D1548" s="2" t="str">
        <x:v>os_cfar</x:v>
      </x:c>
      <x:c r="E1548" s="2" t="str">
        <x:v>monte_carlo</x:v>
      </x:c>
      <x:c r="F1548" s="2" t="str">
        <x:v>774</x:v>
      </x:c>
      <x:c r="G1548" s="2" t="str">
        <x:v>3174277</x:v>
      </x:c>
      <x:c r="H1548" s="2" t="str">
        <x:v>2048000.0</x:v>
      </x:c>
      <x:c r="I1548" s="2" t="str">
        <x:v>8192</x:v>
      </x:c>
      <x:c r="J1548" s="2" t="str">
        <x:v>250.0</x:v>
      </x:c>
      <x:c r="K1548" s="2" t="str">
        <x:v>3</x:v>
      </x:c>
      <x:c r="L1548" s="2" t="str">
        <x:v>3</x:v>
      </x:c>
      <x:c r="M1548" s="2" t="str">
        <x:v>3</x:v>
      </x:c>
      <x:c r="N1548" s="2" t="str">
        <x:v>0</x:v>
      </x:c>
      <x:c r="O1548" s="2" t="str">
        <x:v>0</x:v>
      </x:c>
      <x:c r="P1548" s="2" t="str">
        <x:v>false</x:v>
      </x:c>
      <x:c r="Q1548" s="2" t="str">
        <x:v>0.000000000;0.000000000;0.000000000</x:v>
      </x:c>
      <x:c r="R1548" s="2" t="str">
        <x:v>13.596292003057897</x:v>
      </x:c>
      <x:c r="S1548" s="2" t="str">
        <x:v>48.16464593459667</x:v>
      </x:c>
    </x:row>
    <x:row r="1549">
      <x:c r="A1549" s="2" t="str">
        <x:v>DE-CMP-01</x:v>
      </x:c>
      <x:c r="B1549" s="2" t="str">
        <x:v>CFG-C01</x:v>
      </x:c>
      <x:c r="C1549" s="2" t="n">
        <x:v>46227.70238086805</x:v>
      </x:c>
      <x:c r="D1549" s="2" t="str">
        <x:v>adaptive</x:v>
      </x:c>
      <x:c r="E1549" s="2" t="str">
        <x:v>monte_carlo</x:v>
      </x:c>
      <x:c r="F1549" s="2" t="str">
        <x:v>774</x:v>
      </x:c>
      <x:c r="G1549" s="2" t="str">
        <x:v>3174277</x:v>
      </x:c>
      <x:c r="H1549" s="2" t="str">
        <x:v>2048000.0</x:v>
      </x:c>
      <x:c r="I1549" s="2" t="str">
        <x:v>8192</x:v>
      </x:c>
      <x:c r="J1549" s="2" t="str">
        <x:v>250.0</x:v>
      </x:c>
      <x:c r="K1549" s="2" t="str">
        <x:v>3</x:v>
      </x:c>
      <x:c r="L1549" s="2" t="str">
        <x:v>3</x:v>
      </x:c>
      <x:c r="M1549" s="2" t="str">
        <x:v>3</x:v>
      </x:c>
      <x:c r="N1549" s="2" t="str">
        <x:v>0</x:v>
      </x:c>
      <x:c r="O1549" s="2" t="str">
        <x:v>0</x:v>
      </x:c>
      <x:c r="P1549" s="2" t="str">
        <x:v>false</x:v>
      </x:c>
      <x:c r="Q1549" s="2" t="str">
        <x:v>0.000000000;0.000000000;0.000000000</x:v>
      </x:c>
      <x:c r="R1549" s="2" t="str">
        <x:v>0.4074160096934065</x:v>
      </x:c>
      <x:c r="S1549" s="2" t="str">
        <x:v>46.3188012995396</x:v>
      </x:c>
    </x:row>
    <x:row r="1550">
      <x:c r="A1550" s="2" t="str">
        <x:v>DE-CMP-01</x:v>
      </x:c>
      <x:c r="B1550" s="2" t="str">
        <x:v>CFG-C01</x:v>
      </x:c>
      <x:c r="C1550" s="2" t="n">
        <x:v>46227.70238086805</x:v>
      </x:c>
      <x:c r="D1550" s="2" t="str">
        <x:v>adaptive</x:v>
      </x:c>
      <x:c r="E1550" s="2" t="str">
        <x:v>monte_carlo</x:v>
      </x:c>
      <x:c r="F1550" s="2" t="str">
        <x:v>775</x:v>
      </x:c>
      <x:c r="G1550" s="2" t="str">
        <x:v>3174278</x:v>
      </x:c>
      <x:c r="H1550" s="2" t="str">
        <x:v>2048000.0</x:v>
      </x:c>
      <x:c r="I1550" s="2" t="str">
        <x:v>8192</x:v>
      </x:c>
      <x:c r="J1550" s="2" t="str">
        <x:v>250.0</x:v>
      </x:c>
      <x:c r="K1550" s="2" t="str">
        <x:v>2</x:v>
      </x:c>
      <x:c r="L1550" s="2" t="str">
        <x:v>3</x:v>
      </x:c>
      <x:c r="M1550" s="2" t="str">
        <x:v>2</x:v>
      </x:c>
      <x:c r="N1550" s="2" t="str">
        <x:v>1</x:v>
      </x:c>
      <x:c r="O1550" s="2" t="str">
        <x:v>0</x:v>
      </x:c>
      <x:c r="P1550" s="2" t="str">
        <x:v>true</x:v>
      </x:c>
      <x:c r="Q1550" s="2" t="str">
        <x:v>0.000000000;0.000000000</x:v>
      </x:c>
      <x:c r="R1550" s="2" t="str">
        <x:v>0.40491699473932385</x:v>
      </x:c>
      <x:c r="S1550" s="2" t="str">
        <x:v>46.47415659176303</x:v>
      </x:c>
    </x:row>
    <x:row r="1551">
      <x:c r="A1551" s="2" t="str">
        <x:v>DE-CMP-01</x:v>
      </x:c>
      <x:c r="B1551" s="2" t="str">
        <x:v>CFG-C01</x:v>
      </x:c>
      <x:c r="C1551" s="2" t="n">
        <x:v>46227.70238086805</x:v>
      </x:c>
      <x:c r="D1551" s="2" t="str">
        <x:v>os_cfar</x:v>
      </x:c>
      <x:c r="E1551" s="2" t="str">
        <x:v>monte_carlo</x:v>
      </x:c>
      <x:c r="F1551" s="2" t="str">
        <x:v>775</x:v>
      </x:c>
      <x:c r="G1551" s="2" t="str">
        <x:v>3174278</x:v>
      </x:c>
      <x:c r="H1551" s="2" t="str">
        <x:v>2048000.0</x:v>
      </x:c>
      <x:c r="I1551" s="2" t="str">
        <x:v>8192</x:v>
      </x:c>
      <x:c r="J1551" s="2" t="str">
        <x:v>250.0</x:v>
      </x:c>
      <x:c r="K1551" s="2" t="str">
        <x:v>2</x:v>
      </x:c>
      <x:c r="L1551" s="2" t="str">
        <x:v>3</x:v>
      </x:c>
      <x:c r="M1551" s="2" t="str">
        <x:v>2</x:v>
      </x:c>
      <x:c r="N1551" s="2" t="str">
        <x:v>1</x:v>
      </x:c>
      <x:c r="O1551" s="2" t="str">
        <x:v>0</x:v>
      </x:c>
      <x:c r="P1551" s="2" t="str">
        <x:v>true</x:v>
      </x:c>
      <x:c r="Q1551" s="2" t="str">
        <x:v>0.000000000;0.000000000</x:v>
      </x:c>
      <x:c r="R1551" s="2" t="str">
        <x:v>13.575707998825237</x:v>
      </x:c>
      <x:c r="S1551" s="2" t="str">
        <x:v>48.131368561405296</x:v>
      </x:c>
    </x:row>
    <x:row r="1552">
      <x:c r="A1552" s="2" t="str">
        <x:v>DE-CMP-01</x:v>
      </x:c>
      <x:c r="B1552" s="2" t="str">
        <x:v>CFG-C01</x:v>
      </x:c>
      <x:c r="C1552" s="2" t="n">
        <x:v>46227.70238086805</x:v>
      </x:c>
      <x:c r="D1552" s="2" t="str">
        <x:v>os_cfar</x:v>
      </x:c>
      <x:c r="E1552" s="2" t="str">
        <x:v>monte_carlo</x:v>
      </x:c>
      <x:c r="F1552" s="2" t="str">
        <x:v>776</x:v>
      </x:c>
      <x:c r="G1552" s="2" t="str">
        <x:v>3174279</x:v>
      </x:c>
      <x:c r="H1552" s="2" t="str">
        <x:v>2048000.0</x:v>
      </x:c>
      <x:c r="I1552" s="2" t="str">
        <x:v>8192</x:v>
      </x:c>
      <x:c r="J1552" s="2" t="str">
        <x:v>250.0</x:v>
      </x:c>
      <x:c r="K1552" s="2" t="str">
        <x:v>0</x:v>
      </x:c>
      <x:c r="L1552" s="2" t="str">
        <x:v>3</x:v>
      </x:c>
      <x:c r="M1552" s="2" t="str">
        <x:v>0</x:v>
      </x:c>
      <x:c r="N1552" s="2" t="str">
        <x:v>3</x:v>
      </x:c>
      <x:c r="O1552" s="2" t="str">
        <x:v>0</x:v>
      </x:c>
      <x:c r="P1552" s="2" t="str">
        <x:v>true</x:v>
      </x:c>
      <x:c r="Q1552" s="2" t="str">
        <x:v>NA</x:v>
      </x:c>
      <x:c r="R1552" s="2" t="str">
        <x:v>13.785040995571762</x:v>
      </x:c>
      <x:c r="S1552" s="2" t="str">
        <x:v>48.37573427905623</x:v>
      </x:c>
    </x:row>
    <x:row r="1553">
      <x:c r="A1553" s="2" t="str">
        <x:v>DE-CMP-01</x:v>
      </x:c>
      <x:c r="B1553" s="2" t="str">
        <x:v>CFG-C01</x:v>
      </x:c>
      <x:c r="C1553" s="2" t="n">
        <x:v>46227.70238086805</x:v>
      </x:c>
      <x:c r="D1553" s="2" t="str">
        <x:v>adaptive</x:v>
      </x:c>
      <x:c r="E1553" s="2" t="str">
        <x:v>monte_carlo</x:v>
      </x:c>
      <x:c r="F1553" s="2" t="str">
        <x:v>776</x:v>
      </x:c>
      <x:c r="G1553" s="2" t="str">
        <x:v>3174279</x:v>
      </x:c>
      <x:c r="H1553" s="2" t="str">
        <x:v>2048000.0</x:v>
      </x:c>
      <x:c r="I1553" s="2" t="str">
        <x:v>8192</x:v>
      </x:c>
      <x:c r="J1553" s="2" t="str">
        <x:v>250.0</x:v>
      </x:c>
      <x:c r="K1553" s="2" t="str">
        <x:v>0</x:v>
      </x:c>
      <x:c r="L1553" s="2" t="str">
        <x:v>3</x:v>
      </x:c>
      <x:c r="M1553" s="2" t="str">
        <x:v>0</x:v>
      </x:c>
      <x:c r="N1553" s="2" t="str">
        <x:v>3</x:v>
      </x:c>
      <x:c r="O1553" s="2" t="str">
        <x:v>0</x:v>
      </x:c>
      <x:c r="P1553" s="2" t="str">
        <x:v>true</x:v>
      </x:c>
      <x:c r="Q1553" s="2" t="str">
        <x:v>NA</x:v>
      </x:c>
      <x:c r="R1553" s="2" t="str">
        <x:v>0.4257500113453716</x:v>
      </x:c>
      <x:c r="S1553" s="2" t="str">
        <x:v>46.41662175448276</x:v>
      </x:c>
    </x:row>
    <x:row r="1554">
      <x:c r="A1554" s="2" t="str">
        <x:v>DE-CMP-01</x:v>
      </x:c>
      <x:c r="B1554" s="2" t="str">
        <x:v>CFG-C01</x:v>
      </x:c>
      <x:c r="C1554" s="2" t="n">
        <x:v>46227.70238086805</x:v>
      </x:c>
      <x:c r="D1554" s="2" t="str">
        <x:v>adaptive</x:v>
      </x:c>
      <x:c r="E1554" s="2" t="str">
        <x:v>monte_carlo</x:v>
      </x:c>
      <x:c r="F1554" s="2" t="str">
        <x:v>777</x:v>
      </x:c>
      <x:c r="G1554" s="2" t="str">
        <x:v>3174280</x:v>
      </x:c>
      <x:c r="H1554" s="2" t="str">
        <x:v>2048000.0</x:v>
      </x:c>
      <x:c r="I1554" s="2" t="str">
        <x:v>8192</x:v>
      </x:c>
      <x:c r="J1554" s="2" t="str">
        <x:v>250.0</x:v>
      </x:c>
      <x:c r="K1554" s="2" t="str">
        <x:v>0</x:v>
      </x:c>
      <x:c r="L1554" s="2" t="str">
        <x:v>3</x:v>
      </x:c>
      <x:c r="M1554" s="2" t="str">
        <x:v>0</x:v>
      </x:c>
      <x:c r="N1554" s="2" t="str">
        <x:v>3</x:v>
      </x:c>
      <x:c r="O1554" s="2" t="str">
        <x:v>0</x:v>
      </x:c>
      <x:c r="P1554" s="2" t="str">
        <x:v>true</x:v>
      </x:c>
      <x:c r="Q1554" s="2" t="str">
        <x:v>NA</x:v>
      </x:c>
      <x:c r="R1554" s="2" t="str">
        <x:v>0.42300000495743006</x:v>
      </x:c>
      <x:c r="S1554" s="2" t="str">
        <x:v>46.44304643665407</x:v>
      </x:c>
    </x:row>
    <x:row r="1555">
      <x:c r="A1555" s="2" t="str">
        <x:v>DE-CMP-01</x:v>
      </x:c>
      <x:c r="B1555" s="2" t="str">
        <x:v>CFG-C01</x:v>
      </x:c>
      <x:c r="C1555" s="2" t="n">
        <x:v>46227.70238086805</x:v>
      </x:c>
      <x:c r="D1555" s="2" t="str">
        <x:v>os_cfar</x:v>
      </x:c>
      <x:c r="E1555" s="2" t="str">
        <x:v>monte_carlo</x:v>
      </x:c>
      <x:c r="F1555" s="2" t="str">
        <x:v>777</x:v>
      </x:c>
      <x:c r="G1555" s="2" t="str">
        <x:v>3174280</x:v>
      </x:c>
      <x:c r="H1555" s="2" t="str">
        <x:v>2048000.0</x:v>
      </x:c>
      <x:c r="I1555" s="2" t="str">
        <x:v>8192</x:v>
      </x:c>
      <x:c r="J1555" s="2" t="str">
        <x:v>250.0</x:v>
      </x:c>
      <x:c r="K1555" s="2" t="str">
        <x:v>0</x:v>
      </x:c>
      <x:c r="L1555" s="2" t="str">
        <x:v>3</x:v>
      </x:c>
      <x:c r="M1555" s="2" t="str">
        <x:v>0</x:v>
      </x:c>
      <x:c r="N1555" s="2" t="str">
        <x:v>3</x:v>
      </x:c>
      <x:c r="O1555" s="2" t="str">
        <x:v>0</x:v>
      </x:c>
      <x:c r="P1555" s="2" t="str">
        <x:v>true</x:v>
      </x:c>
      <x:c r="Q1555" s="2" t="str">
        <x:v>NA</x:v>
      </x:c>
      <x:c r="R1555" s="2" t="str">
        <x:v>13.600374993984587</x:v>
      </x:c>
      <x:c r="S1555" s="2" t="str">
        <x:v>48.196134699044364</x:v>
      </x:c>
    </x:row>
    <x:row r="1556">
      <x:c r="A1556" s="2" t="str">
        <x:v>DE-CMP-01</x:v>
      </x:c>
      <x:c r="B1556" s="2" t="str">
        <x:v>CFG-C01</x:v>
      </x:c>
      <x:c r="C1556" s="2" t="n">
        <x:v>46227.70238086805</x:v>
      </x:c>
      <x:c r="D1556" s="2" t="str">
        <x:v>os_cfar</x:v>
      </x:c>
      <x:c r="E1556" s="2" t="str">
        <x:v>monte_carlo</x:v>
      </x:c>
      <x:c r="F1556" s="2" t="str">
        <x:v>778</x:v>
      </x:c>
      <x:c r="G1556" s="2" t="str">
        <x:v>3174281</x:v>
      </x:c>
      <x:c r="H1556" s="2" t="str">
        <x:v>2048000.0</x:v>
      </x:c>
      <x:c r="I1556" s="2" t="str">
        <x:v>8192</x:v>
      </x:c>
      <x:c r="J1556" s="2" t="str">
        <x:v>250.0</x:v>
      </x:c>
      <x:c r="K1556" s="2" t="str">
        <x:v>1</x:v>
      </x:c>
      <x:c r="L1556" s="2" t="str">
        <x:v>3</x:v>
      </x:c>
      <x:c r="M1556" s="2" t="str">
        <x:v>1</x:v>
      </x:c>
      <x:c r="N1556" s="2" t="str">
        <x:v>2</x:v>
      </x:c>
      <x:c r="O1556" s="2" t="str">
        <x:v>0</x:v>
      </x:c>
      <x:c r="P1556" s="2" t="str">
        <x:v>true</x:v>
      </x:c>
      <x:c r="Q1556" s="2" t="str">
        <x:v>0.000000000</x:v>
      </x:c>
      <x:c r="R1556" s="2" t="str">
        <x:v>13.622583006508648</x:v>
      </x:c>
      <x:c r="S1556" s="2" t="str">
        <x:v>48.28009484062969</x:v>
      </x:c>
    </x:row>
    <x:row r="1557">
      <x:c r="A1557" s="2" t="str">
        <x:v>DE-CMP-01</x:v>
      </x:c>
      <x:c r="B1557" s="2" t="str">
        <x:v>CFG-C01</x:v>
      </x:c>
      <x:c r="C1557" s="2" t="n">
        <x:v>46227.70238086805</x:v>
      </x:c>
      <x:c r="D1557" s="2" t="str">
        <x:v>adaptive</x:v>
      </x:c>
      <x:c r="E1557" s="2" t="str">
        <x:v>monte_carlo</x:v>
      </x:c>
      <x:c r="F1557" s="2" t="str">
        <x:v>778</x:v>
      </x:c>
      <x:c r="G1557" s="2" t="str">
        <x:v>3174281</x:v>
      </x:c>
      <x:c r="H1557" s="2" t="str">
        <x:v>2048000.0</x:v>
      </x:c>
      <x:c r="I1557" s="2" t="str">
        <x:v>8192</x:v>
      </x:c>
      <x:c r="J1557" s="2" t="str">
        <x:v>250.0</x:v>
      </x:c>
      <x:c r="K1557" s="2" t="str">
        <x:v>1</x:v>
      </x:c>
      <x:c r="L1557" s="2" t="str">
        <x:v>3</x:v>
      </x:c>
      <x:c r="M1557" s="2" t="str">
        <x:v>1</x:v>
      </x:c>
      <x:c r="N1557" s="2" t="str">
        <x:v>2</x:v>
      </x:c>
      <x:c r="O1557" s="2" t="str">
        <x:v>0</x:v>
      </x:c>
      <x:c r="P1557" s="2" t="str">
        <x:v>true</x:v>
      </x:c>
      <x:c r="Q1557" s="2" t="str">
        <x:v>0.000000000</x:v>
      </x:c>
      <x:c r="R1557" s="2" t="str">
        <x:v>0.4191670013824478</x:v>
      </x:c>
      <x:c r="S1557" s="2" t="str">
        <x:v>46.40894448947866</x:v>
      </x:c>
    </x:row>
    <x:row r="1558">
      <x:c r="A1558" s="2" t="str">
        <x:v>DE-CMP-01</x:v>
      </x:c>
      <x:c r="B1558" s="2" t="str">
        <x:v>CFG-C01</x:v>
      </x:c>
      <x:c r="C1558" s="2" t="n">
        <x:v>46227.70238086805</x:v>
      </x:c>
      <x:c r="D1558" s="2" t="str">
        <x:v>adaptive</x:v>
      </x:c>
      <x:c r="E1558" s="2" t="str">
        <x:v>monte_carlo</x:v>
      </x:c>
      <x:c r="F1558" s="2" t="str">
        <x:v>779</x:v>
      </x:c>
      <x:c r="G1558" s="2" t="str">
        <x:v>3174282</x:v>
      </x:c>
      <x:c r="H1558" s="2" t="str">
        <x:v>2048000.0</x:v>
      </x:c>
      <x:c r="I1558" s="2" t="str">
        <x:v>8192</x:v>
      </x:c>
      <x:c r="J1558" s="2" t="str">
        <x:v>250.0</x:v>
      </x:c>
      <x:c r="K1558" s="2" t="str">
        <x:v>3</x:v>
      </x:c>
      <x:c r="L1558" s="2" t="str">
        <x:v>3</x:v>
      </x:c>
      <x:c r="M1558" s="2" t="str">
        <x:v>3</x:v>
      </x:c>
      <x:c r="N1558" s="2" t="str">
        <x:v>0</x:v>
      </x:c>
      <x:c r="O1558" s="2" t="str">
        <x:v>0</x:v>
      </x:c>
      <x:c r="P1558" s="2" t="str">
        <x:v>false</x:v>
      </x:c>
      <x:c r="Q1558" s="2" t="str">
        <x:v>0.000000000;0.000000000;0.000000000</x:v>
      </x:c>
      <x:c r="R1558" s="2" t="str">
        <x:v>0.4217079986119643</x:v>
      </x:c>
      <x:c r="S1558" s="2" t="str">
        <x:v>46.404144104259885</x:v>
      </x:c>
    </x:row>
    <x:row r="1559">
      <x:c r="A1559" s="2" t="str">
        <x:v>DE-CMP-01</x:v>
      </x:c>
      <x:c r="B1559" s="2" t="str">
        <x:v>CFG-C01</x:v>
      </x:c>
      <x:c r="C1559" s="2" t="n">
        <x:v>46227.70238086805</x:v>
      </x:c>
      <x:c r="D1559" s="2" t="str">
        <x:v>os_cfar</x:v>
      </x:c>
      <x:c r="E1559" s="2" t="str">
        <x:v>monte_carlo</x:v>
      </x:c>
      <x:c r="F1559" s="2" t="str">
        <x:v>779</x:v>
      </x:c>
      <x:c r="G1559" s="2" t="str">
        <x:v>3174282</x:v>
      </x:c>
      <x:c r="H1559" s="2" t="str">
        <x:v>2048000.0</x:v>
      </x:c>
      <x:c r="I1559" s="2" t="str">
        <x:v>8192</x:v>
      </x:c>
      <x:c r="J1559" s="2" t="str">
        <x:v>250.0</x:v>
      </x:c>
      <x:c r="K1559" s="2" t="str">
        <x:v>3</x:v>
      </x:c>
      <x:c r="L1559" s="2" t="str">
        <x:v>3</x:v>
      </x:c>
      <x:c r="M1559" s="2" t="str">
        <x:v>3</x:v>
      </x:c>
      <x:c r="N1559" s="2" t="str">
        <x:v>0</x:v>
      </x:c>
      <x:c r="O1559" s="2" t="str">
        <x:v>0</x:v>
      </x:c>
      <x:c r="P1559" s="2" t="str">
        <x:v>false</x:v>
      </x:c>
      <x:c r="Q1559" s="2" t="str">
        <x:v>0.000000000;0.000000000;0.000000000</x:v>
      </x:c>
      <x:c r="R1559" s="2" t="str">
        <x:v>13.500375003786758</x:v>
      </x:c>
      <x:c r="S1559" s="2" t="str">
        <x:v>48.22590140992571</x:v>
      </x:c>
    </x:row>
    <x:row r="1560">
      <x:c r="A1560" s="2" t="str">
        <x:v>DE-CMP-01</x:v>
      </x:c>
      <x:c r="B1560" s="2" t="str">
        <x:v>CFG-C01</x:v>
      </x:c>
      <x:c r="C1560" s="2" t="n">
        <x:v>46227.70238086805</x:v>
      </x:c>
      <x:c r="D1560" s="2" t="str">
        <x:v>os_cfar</x:v>
      </x:c>
      <x:c r="E1560" s="2" t="str">
        <x:v>monte_carlo</x:v>
      </x:c>
      <x:c r="F1560" s="2" t="str">
        <x:v>780</x:v>
      </x:c>
      <x:c r="G1560" s="2" t="str">
        <x:v>3174283</x:v>
      </x:c>
      <x:c r="H1560" s="2" t="str">
        <x:v>2048000.0</x:v>
      </x:c>
      <x:c r="I1560" s="2" t="str">
        <x:v>8192</x:v>
      </x:c>
      <x:c r="J1560" s="2" t="str">
        <x:v>250.0</x:v>
      </x:c>
      <x:c r="K1560" s="2" t="str">
        <x:v>2</x:v>
      </x:c>
      <x:c r="L1560" s="2" t="str">
        <x:v>3</x:v>
      </x:c>
      <x:c r="M1560" s="2" t="str">
        <x:v>2</x:v>
      </x:c>
      <x:c r="N1560" s="2" t="str">
        <x:v>1</x:v>
      </x:c>
      <x:c r="O1560" s="2" t="str">
        <x:v>0</x:v>
      </x:c>
      <x:c r="P1560" s="2" t="str">
        <x:v>true</x:v>
      </x:c>
      <x:c r="Q1560" s="2" t="str">
        <x:v>0.000000000;0.000000000</x:v>
      </x:c>
      <x:c r="R1560" s="2" t="str">
        <x:v>13.537833001464605</x:v>
      </x:c>
      <x:c r="S1560" s="2" t="str">
        <x:v>48.02046851821501</x:v>
      </x:c>
    </x:row>
    <x:row r="1561">
      <x:c r="A1561" s="2" t="str">
        <x:v>DE-CMP-01</x:v>
      </x:c>
      <x:c r="B1561" s="2" t="str">
        <x:v>CFG-C01</x:v>
      </x:c>
      <x:c r="C1561" s="2" t="n">
        <x:v>46227.70238086805</x:v>
      </x:c>
      <x:c r="D1561" s="2" t="str">
        <x:v>adaptive</x:v>
      </x:c>
      <x:c r="E1561" s="2" t="str">
        <x:v>monte_carlo</x:v>
      </x:c>
      <x:c r="F1561" s="2" t="str">
        <x:v>780</x:v>
      </x:c>
      <x:c r="G1561" s="2" t="str">
        <x:v>3174283</x:v>
      </x:c>
      <x:c r="H1561" s="2" t="str">
        <x:v>2048000.0</x:v>
      </x:c>
      <x:c r="I1561" s="2" t="str">
        <x:v>8192</x:v>
      </x:c>
      <x:c r="J1561" s="2" t="str">
        <x:v>250.0</x:v>
      </x:c>
      <x:c r="K1561" s="2" t="str">
        <x:v>2</x:v>
      </x:c>
      <x:c r="L1561" s="2" t="str">
        <x:v>3</x:v>
      </x:c>
      <x:c r="M1561" s="2" t="str">
        <x:v>2</x:v>
      </x:c>
      <x:c r="N1561" s="2" t="str">
        <x:v>1</x:v>
      </x:c>
      <x:c r="O1561" s="2" t="str">
        <x:v>0</x:v>
      </x:c>
      <x:c r="P1561" s="2" t="str">
        <x:v>true</x:v>
      </x:c>
      <x:c r="Q1561" s="2" t="str">
        <x:v>0.000000000;0.000000000</x:v>
      </x:c>
      <x:c r="R1561" s="2" t="str">
        <x:v>0.41170800977852196</x:v>
      </x:c>
      <x:c r="S1561" s="2" t="str">
        <x:v>46.084813323717746</x:v>
      </x:c>
    </x:row>
    <x:row r="1562">
      <x:c r="A1562" s="2" t="str">
        <x:v>DE-CMP-01</x:v>
      </x:c>
      <x:c r="B1562" s="2" t="str">
        <x:v>CFG-C01</x:v>
      </x:c>
      <x:c r="C1562" s="2" t="n">
        <x:v>46227.70238086805</x:v>
      </x:c>
      <x:c r="D1562" s="2" t="str">
        <x:v>adaptive</x:v>
      </x:c>
      <x:c r="E1562" s="2" t="str">
        <x:v>monte_carlo</x:v>
      </x:c>
      <x:c r="F1562" s="2" t="str">
        <x:v>781</x:v>
      </x:c>
      <x:c r="G1562" s="2" t="str">
        <x:v>3174284</x:v>
      </x:c>
      <x:c r="H1562" s="2" t="str">
        <x:v>2048000.0</x:v>
      </x:c>
      <x:c r="I1562" s="2" t="str">
        <x:v>8192</x:v>
      </x:c>
      <x:c r="J1562" s="2" t="str">
        <x:v>250.0</x:v>
      </x:c>
      <x:c r="K1562" s="2" t="str">
        <x:v>0</x:v>
      </x:c>
      <x:c r="L1562" s="2" t="str">
        <x:v>3</x:v>
      </x:c>
      <x:c r="M1562" s="2" t="str">
        <x:v>0</x:v>
      </x:c>
      <x:c r="N1562" s="2" t="str">
        <x:v>3</x:v>
      </x:c>
      <x:c r="O1562" s="2" t="str">
        <x:v>0</x:v>
      </x:c>
      <x:c r="P1562" s="2" t="str">
        <x:v>true</x:v>
      </x:c>
      <x:c r="Q1562" s="2" t="str">
        <x:v>NA</x:v>
      </x:c>
      <x:c r="R1562" s="2" t="str">
        <x:v>0.41191700438503176</x:v>
      </x:c>
      <x:c r="S1562" s="2" t="str">
        <x:v>46.34958377890493</x:v>
      </x:c>
    </x:row>
    <x:row r="1563">
      <x:c r="A1563" s="2" t="str">
        <x:v>DE-CMP-01</x:v>
      </x:c>
      <x:c r="B1563" s="2" t="str">
        <x:v>CFG-C01</x:v>
      </x:c>
      <x:c r="C1563" s="2" t="n">
        <x:v>46227.70238086805</x:v>
      </x:c>
      <x:c r="D1563" s="2" t="str">
        <x:v>os_cfar</x:v>
      </x:c>
      <x:c r="E1563" s="2" t="str">
        <x:v>monte_carlo</x:v>
      </x:c>
      <x:c r="F1563" s="2" t="str">
        <x:v>781</x:v>
      </x:c>
      <x:c r="G1563" s="2" t="str">
        <x:v>3174284</x:v>
      </x:c>
      <x:c r="H1563" s="2" t="str">
        <x:v>2048000.0</x:v>
      </x:c>
      <x:c r="I1563" s="2" t="str">
        <x:v>8192</x:v>
      </x:c>
      <x:c r="J1563" s="2" t="str">
        <x:v>250.0</x:v>
      </x:c>
      <x:c r="K1563" s="2" t="str">
        <x:v>0</x:v>
      </x:c>
      <x:c r="L1563" s="2" t="str">
        <x:v>3</x:v>
      </x:c>
      <x:c r="M1563" s="2" t="str">
        <x:v>0</x:v>
      </x:c>
      <x:c r="N1563" s="2" t="str">
        <x:v>3</x:v>
      </x:c>
      <x:c r="O1563" s="2" t="str">
        <x:v>0</x:v>
      </x:c>
      <x:c r="P1563" s="2" t="str">
        <x:v>true</x:v>
      </x:c>
      <x:c r="Q1563" s="2" t="str">
        <x:v>NA</x:v>
      </x:c>
      <x:c r="R1563" s="2" t="str">
        <x:v>13.597084005596116</x:v>
      </x:c>
      <x:c r="S1563" s="2" t="str">
        <x:v>48.282769903385166</x:v>
      </x:c>
    </x:row>
    <x:row r="1564">
      <x:c r="A1564" s="2" t="str">
        <x:v>DE-CMP-01</x:v>
      </x:c>
      <x:c r="B1564" s="2" t="str">
        <x:v>CFG-C01</x:v>
      </x:c>
      <x:c r="C1564" s="2" t="n">
        <x:v>46227.70238086805</x:v>
      </x:c>
      <x:c r="D1564" s="2" t="str">
        <x:v>os_cfar</x:v>
      </x:c>
      <x:c r="E1564" s="2" t="str">
        <x:v>monte_carlo</x:v>
      </x:c>
      <x:c r="F1564" s="2" t="str">
        <x:v>782</x:v>
      </x:c>
      <x:c r="G1564" s="2" t="str">
        <x:v>3174285</x:v>
      </x:c>
      <x:c r="H1564" s="2" t="str">
        <x:v>2048000.0</x:v>
      </x:c>
      <x:c r="I1564" s="2" t="str">
        <x:v>8192</x:v>
      </x:c>
      <x:c r="J1564" s="2" t="str">
        <x:v>250.0</x:v>
      </x:c>
      <x:c r="K1564" s="2" t="str">
        <x:v>0</x:v>
      </x:c>
      <x:c r="L1564" s="2" t="str">
        <x:v>3</x:v>
      </x:c>
      <x:c r="M1564" s="2" t="str">
        <x:v>0</x:v>
      </x:c>
      <x:c r="N1564" s="2" t="str">
        <x:v>3</x:v>
      </x:c>
      <x:c r="O1564" s="2" t="str">
        <x:v>0</x:v>
      </x:c>
      <x:c r="P1564" s="2" t="str">
        <x:v>true</x:v>
      </x:c>
      <x:c r="Q1564" s="2" t="str">
        <x:v>NA</x:v>
      </x:c>
      <x:c r="R1564" s="2" t="str">
        <x:v>13.738958004978485</x:v>
      </x:c>
      <x:c r="S1564" s="2" t="str">
        <x:v>48.31501258479464</x:v>
      </x:c>
    </x:row>
    <x:row r="1565">
      <x:c r="A1565" s="2" t="str">
        <x:v>DE-CMP-01</x:v>
      </x:c>
      <x:c r="B1565" s="2" t="str">
        <x:v>CFG-C01</x:v>
      </x:c>
      <x:c r="C1565" s="2" t="n">
        <x:v>46227.70238086805</x:v>
      </x:c>
      <x:c r="D1565" s="2" t="str">
        <x:v>adaptive</x:v>
      </x:c>
      <x:c r="E1565" s="2" t="str">
        <x:v>monte_carlo</x:v>
      </x:c>
      <x:c r="F1565" s="2" t="str">
        <x:v>782</x:v>
      </x:c>
      <x:c r="G1565" s="2" t="str">
        <x:v>3174285</x:v>
      </x:c>
      <x:c r="H1565" s="2" t="str">
        <x:v>2048000.0</x:v>
      </x:c>
      <x:c r="I1565" s="2" t="str">
        <x:v>8192</x:v>
      </x:c>
      <x:c r="J1565" s="2" t="str">
        <x:v>250.0</x:v>
      </x:c>
      <x:c r="K1565" s="2" t="str">
        <x:v>0</x:v>
      </x:c>
      <x:c r="L1565" s="2" t="str">
        <x:v>3</x:v>
      </x:c>
      <x:c r="M1565" s="2" t="str">
        <x:v>0</x:v>
      </x:c>
      <x:c r="N1565" s="2" t="str">
        <x:v>3</x:v>
      </x:c>
      <x:c r="O1565" s="2" t="str">
        <x:v>0</x:v>
      </x:c>
      <x:c r="P1565" s="2" t="str">
        <x:v>true</x:v>
      </x:c>
      <x:c r="Q1565" s="2" t="str">
        <x:v>NA</x:v>
      </x:c>
      <x:c r="R1565" s="2" t="str">
        <x:v>0.43250000453554094</x:v>
      </x:c>
      <x:c r="S1565" s="2" t="str">
        <x:v>46.488608146492034</x:v>
      </x:c>
    </x:row>
    <x:row r="1566">
      <x:c r="A1566" s="2" t="str">
        <x:v>DE-CMP-01</x:v>
      </x:c>
      <x:c r="B1566" s="2" t="str">
        <x:v>CFG-C01</x:v>
      </x:c>
      <x:c r="C1566" s="2" t="n">
        <x:v>46227.70238086805</x:v>
      </x:c>
      <x:c r="D1566" s="2" t="str">
        <x:v>adaptive</x:v>
      </x:c>
      <x:c r="E1566" s="2" t="str">
        <x:v>monte_carlo</x:v>
      </x:c>
      <x:c r="F1566" s="2" t="str">
        <x:v>783</x:v>
      </x:c>
      <x:c r="G1566" s="2" t="str">
        <x:v>3174286</x:v>
      </x:c>
      <x:c r="H1566" s="2" t="str">
        <x:v>2048000.0</x:v>
      </x:c>
      <x:c r="I1566" s="2" t="str">
        <x:v>8192</x:v>
      </x:c>
      <x:c r="J1566" s="2" t="str">
        <x:v>250.0</x:v>
      </x:c>
      <x:c r="K1566" s="2" t="str">
        <x:v>3</x:v>
      </x:c>
      <x:c r="L1566" s="2" t="str">
        <x:v>3</x:v>
      </x:c>
      <x:c r="M1566" s="2" t="str">
        <x:v>3</x:v>
      </x:c>
      <x:c r="N1566" s="2" t="str">
        <x:v>0</x:v>
      </x:c>
      <x:c r="O1566" s="2" t="str">
        <x:v>0</x:v>
      </x:c>
      <x:c r="P1566" s="2" t="str">
        <x:v>false</x:v>
      </x:c>
      <x:c r="Q1566" s="2" t="str">
        <x:v>0.000000000;0.000000000;0.000000000</x:v>
      </x:c>
      <x:c r="R1566" s="2" t="str">
        <x:v>0.4241249989718199</x:v>
      </x:c>
      <x:c r="S1566" s="2" t="str">
        <x:v>46.58154227814389</x:v>
      </x:c>
    </x:row>
    <x:row r="1567">
      <x:c r="A1567" s="2" t="str">
        <x:v>DE-CMP-01</x:v>
      </x:c>
      <x:c r="B1567" s="2" t="str">
        <x:v>CFG-C01</x:v>
      </x:c>
      <x:c r="C1567" s="2" t="n">
        <x:v>46227.70238086805</x:v>
      </x:c>
      <x:c r="D1567" s="2" t="str">
        <x:v>os_cfar</x:v>
      </x:c>
      <x:c r="E1567" s="2" t="str">
        <x:v>monte_carlo</x:v>
      </x:c>
      <x:c r="F1567" s="2" t="str">
        <x:v>783</x:v>
      </x:c>
      <x:c r="G1567" s="2" t="str">
        <x:v>3174286</x:v>
      </x:c>
      <x:c r="H1567" s="2" t="str">
        <x:v>2048000.0</x:v>
      </x:c>
      <x:c r="I1567" s="2" t="str">
        <x:v>8192</x:v>
      </x:c>
      <x:c r="J1567" s="2" t="str">
        <x:v>250.0</x:v>
      </x:c>
      <x:c r="K1567" s="2" t="str">
        <x:v>3</x:v>
      </x:c>
      <x:c r="L1567" s="2" t="str">
        <x:v>3</x:v>
      </x:c>
      <x:c r="M1567" s="2" t="str">
        <x:v>3</x:v>
      </x:c>
      <x:c r="N1567" s="2" t="str">
        <x:v>0</x:v>
      </x:c>
      <x:c r="O1567" s="2" t="str">
        <x:v>0</x:v>
      </x:c>
      <x:c r="P1567" s="2" t="str">
        <x:v>false</x:v>
      </x:c>
      <x:c r="Q1567" s="2" t="str">
        <x:v>0.000000000;0.000000000;0.000000000</x:v>
      </x:c>
      <x:c r="R1567" s="2" t="str">
        <x:v>13.749166013440117</x:v>
      </x:c>
      <x:c r="S1567" s="2" t="str">
        <x:v>48.30231139793254</x:v>
      </x:c>
    </x:row>
    <x:row r="1568">
      <x:c r="A1568" s="2" t="str">
        <x:v>DE-CMP-01</x:v>
      </x:c>
      <x:c r="B1568" s="2" t="str">
        <x:v>CFG-C01</x:v>
      </x:c>
      <x:c r="C1568" s="2" t="n">
        <x:v>46227.70238086805</x:v>
      </x:c>
      <x:c r="D1568" s="2" t="str">
        <x:v>os_cfar</x:v>
      </x:c>
      <x:c r="E1568" s="2" t="str">
        <x:v>monte_carlo</x:v>
      </x:c>
      <x:c r="F1568" s="2" t="str">
        <x:v>784</x:v>
      </x:c>
      <x:c r="G1568" s="2" t="str">
        <x:v>3174287</x:v>
      </x:c>
      <x:c r="H1568" s="2" t="str">
        <x:v>2048000.0</x:v>
      </x:c>
      <x:c r="I1568" s="2" t="str">
        <x:v>8192</x:v>
      </x:c>
      <x:c r="J1568" s="2" t="str">
        <x:v>250.0</x:v>
      </x:c>
      <x:c r="K1568" s="2" t="str">
        <x:v>1</x:v>
      </x:c>
      <x:c r="L1568" s="2" t="str">
        <x:v>3</x:v>
      </x:c>
      <x:c r="M1568" s="2" t="str">
        <x:v>1</x:v>
      </x:c>
      <x:c r="N1568" s="2" t="str">
        <x:v>2</x:v>
      </x:c>
      <x:c r="O1568" s="2" t="str">
        <x:v>0</x:v>
      </x:c>
      <x:c r="P1568" s="2" t="str">
        <x:v>true</x:v>
      </x:c>
      <x:c r="Q1568" s="2" t="str">
        <x:v>0.000000000</x:v>
      </x:c>
      <x:c r="R1568" s="2" t="str">
        <x:v>13.802999994368292</x:v>
      </x:c>
      <x:c r="S1568" s="2" t="str">
        <x:v>48.24960106628972</x:v>
      </x:c>
    </x:row>
    <x:row r="1569">
      <x:c r="A1569" s="2" t="str">
        <x:v>DE-CMP-01</x:v>
      </x:c>
      <x:c r="B1569" s="2" t="str">
        <x:v>CFG-C01</x:v>
      </x:c>
      <x:c r="C1569" s="2" t="n">
        <x:v>46227.70238086805</x:v>
      </x:c>
      <x:c r="D1569" s="2" t="str">
        <x:v>adaptive</x:v>
      </x:c>
      <x:c r="E1569" s="2" t="str">
        <x:v>monte_carlo</x:v>
      </x:c>
      <x:c r="F1569" s="2" t="str">
        <x:v>784</x:v>
      </x:c>
      <x:c r="G1569" s="2" t="str">
        <x:v>3174287</x:v>
      </x:c>
      <x:c r="H1569" s="2" t="str">
        <x:v>2048000.0</x:v>
      </x:c>
      <x:c r="I1569" s="2" t="str">
        <x:v>8192</x:v>
      </x:c>
      <x:c r="J1569" s="2" t="str">
        <x:v>250.0</x:v>
      </x:c>
      <x:c r="K1569" s="2" t="str">
        <x:v>1</x:v>
      </x:c>
      <x:c r="L1569" s="2" t="str">
        <x:v>3</x:v>
      </x:c>
      <x:c r="M1569" s="2" t="str">
        <x:v>1</x:v>
      </x:c>
      <x:c r="N1569" s="2" t="str">
        <x:v>2</x:v>
      </x:c>
      <x:c r="O1569" s="2" t="str">
        <x:v>0</x:v>
      </x:c>
      <x:c r="P1569" s="2" t="str">
        <x:v>true</x:v>
      </x:c>
      <x:c r="Q1569" s="2" t="str">
        <x:v>0.000000000</x:v>
      </x:c>
      <x:c r="R1569" s="2" t="str">
        <x:v>0.43033299152739346</x:v>
      </x:c>
      <x:c r="S1569" s="2" t="str">
        <x:v>46.387499230031274</x:v>
      </x:c>
    </x:row>
    <x:row r="1570">
      <x:c r="A1570" s="2" t="str">
        <x:v>DE-CMP-01</x:v>
      </x:c>
      <x:c r="B1570" s="2" t="str">
        <x:v>CFG-C01</x:v>
      </x:c>
      <x:c r="C1570" s="2" t="n">
        <x:v>46227.70238086805</x:v>
      </x:c>
      <x:c r="D1570" s="2" t="str">
        <x:v>adaptive</x:v>
      </x:c>
      <x:c r="E1570" s="2" t="str">
        <x:v>monte_carlo</x:v>
      </x:c>
      <x:c r="F1570" s="2" t="str">
        <x:v>785</x:v>
      </x:c>
      <x:c r="G1570" s="2" t="str">
        <x:v>3174288</x:v>
      </x:c>
      <x:c r="H1570" s="2" t="str">
        <x:v>2048000.0</x:v>
      </x:c>
      <x:c r="I1570" s="2" t="str">
        <x:v>8192</x:v>
      </x:c>
      <x:c r="J1570" s="2" t="str">
        <x:v>250.0</x:v>
      </x:c>
      <x:c r="K1570" s="2" t="str">
        <x:v>2</x:v>
      </x:c>
      <x:c r="L1570" s="2" t="str">
        <x:v>3</x:v>
      </x:c>
      <x:c r="M1570" s="2" t="str">
        <x:v>2</x:v>
      </x:c>
      <x:c r="N1570" s="2" t="str">
        <x:v>1</x:v>
      </x:c>
      <x:c r="O1570" s="2" t="str">
        <x:v>0</x:v>
      </x:c>
      <x:c r="P1570" s="2" t="str">
        <x:v>true</x:v>
      </x:c>
      <x:c r="Q1570" s="2" t="str">
        <x:v>0.000000000;0.000000000</x:v>
      </x:c>
      <x:c r="R1570" s="2" t="str">
        <x:v>0.4146670107729733</x:v>
      </x:c>
      <x:c r="S1570" s="2" t="str">
        <x:v>46.26077118080638</x:v>
      </x:c>
    </x:row>
    <x:row r="1571">
      <x:c r="A1571" s="2" t="str">
        <x:v>DE-CMP-01</x:v>
      </x:c>
      <x:c r="B1571" s="2" t="str">
        <x:v>CFG-C01</x:v>
      </x:c>
      <x:c r="C1571" s="2" t="n">
        <x:v>46227.70238086805</x:v>
      </x:c>
      <x:c r="D1571" s="2" t="str">
        <x:v>os_cfar</x:v>
      </x:c>
      <x:c r="E1571" s="2" t="str">
        <x:v>monte_carlo</x:v>
      </x:c>
      <x:c r="F1571" s="2" t="str">
        <x:v>785</x:v>
      </x:c>
      <x:c r="G1571" s="2" t="str">
        <x:v>3174288</x:v>
      </x:c>
      <x:c r="H1571" s="2" t="str">
        <x:v>2048000.0</x:v>
      </x:c>
      <x:c r="I1571" s="2" t="str">
        <x:v>8192</x:v>
      </x:c>
      <x:c r="J1571" s="2" t="str">
        <x:v>250.0</x:v>
      </x:c>
      <x:c r="K1571" s="2" t="str">
        <x:v>2</x:v>
      </x:c>
      <x:c r="L1571" s="2" t="str">
        <x:v>3</x:v>
      </x:c>
      <x:c r="M1571" s="2" t="str">
        <x:v>2</x:v>
      </x:c>
      <x:c r="N1571" s="2" t="str">
        <x:v>1</x:v>
      </x:c>
      <x:c r="O1571" s="2" t="str">
        <x:v>0</x:v>
      </x:c>
      <x:c r="P1571" s="2" t="str">
        <x:v>true</x:v>
      </x:c>
      <x:c r="Q1571" s="2" t="str">
        <x:v>0.000000000;0.000000000</x:v>
      </x:c>
      <x:c r="R1571" s="2" t="str">
        <x:v>13.659083007951267</x:v>
      </x:c>
      <x:c r="S1571" s="2" t="str">
        <x:v>48.05686324029371</x:v>
      </x:c>
    </x:row>
    <x:row r="1572">
      <x:c r="A1572" s="2" t="str">
        <x:v>DE-CMP-01</x:v>
      </x:c>
      <x:c r="B1572" s="2" t="str">
        <x:v>CFG-C01</x:v>
      </x:c>
      <x:c r="C1572" s="2" t="n">
        <x:v>46227.70238086805</x:v>
      </x:c>
      <x:c r="D1572" s="2" t="str">
        <x:v>os_cfar</x:v>
      </x:c>
      <x:c r="E1572" s="2" t="str">
        <x:v>monte_carlo</x:v>
      </x:c>
      <x:c r="F1572" s="2" t="str">
        <x:v>786</x:v>
      </x:c>
      <x:c r="G1572" s="2" t="str">
        <x:v>3174289</x:v>
      </x:c>
      <x:c r="H1572" s="2" t="str">
        <x:v>2048000.0</x:v>
      </x:c>
      <x:c r="I1572" s="2" t="str">
        <x:v>8192</x:v>
      </x:c>
      <x:c r="J1572" s="2" t="str">
        <x:v>250.0</x:v>
      </x:c>
      <x:c r="K1572" s="2" t="str">
        <x:v>3</x:v>
      </x:c>
      <x:c r="L1572" s="2" t="str">
        <x:v>3</x:v>
      </x:c>
      <x:c r="M1572" s="2" t="str">
        <x:v>3</x:v>
      </x:c>
      <x:c r="N1572" s="2" t="str">
        <x:v>0</x:v>
      </x:c>
      <x:c r="O1572" s="2" t="str">
        <x:v>0</x:v>
      </x:c>
      <x:c r="P1572" s="2" t="str">
        <x:v>false</x:v>
      </x:c>
      <x:c r="Q1572" s="2" t="str">
        <x:v>0.000000000;0.000000000;0.000000000</x:v>
      </x:c>
      <x:c r="R1572" s="2" t="str">
        <x:v>13.814749996527098</x:v>
      </x:c>
      <x:c r="S1572" s="2" t="str">
        <x:v>48.13876450676591</x:v>
      </x:c>
    </x:row>
    <x:row r="1573">
      <x:c r="A1573" s="2" t="str">
        <x:v>DE-CMP-01</x:v>
      </x:c>
      <x:c r="B1573" s="2" t="str">
        <x:v>CFG-C01</x:v>
      </x:c>
      <x:c r="C1573" s="2" t="n">
        <x:v>46227.70238086805</x:v>
      </x:c>
      <x:c r="D1573" s="2" t="str">
        <x:v>adaptive</x:v>
      </x:c>
      <x:c r="E1573" s="2" t="str">
        <x:v>monte_carlo</x:v>
      </x:c>
      <x:c r="F1573" s="2" t="str">
        <x:v>786</x:v>
      </x:c>
      <x:c r="G1573" s="2" t="str">
        <x:v>3174289</x:v>
      </x:c>
      <x:c r="H1573" s="2" t="str">
        <x:v>2048000.0</x:v>
      </x:c>
      <x:c r="I1573" s="2" t="str">
        <x:v>8192</x:v>
      </x:c>
      <x:c r="J1573" s="2" t="str">
        <x:v>250.0</x:v>
      </x:c>
      <x:c r="K1573" s="2" t="str">
        <x:v>3</x:v>
      </x:c>
      <x:c r="L1573" s="2" t="str">
        <x:v>3</x:v>
      </x:c>
      <x:c r="M1573" s="2" t="str">
        <x:v>3</x:v>
      </x:c>
      <x:c r="N1573" s="2" t="str">
        <x:v>0</x:v>
      </x:c>
      <x:c r="O1573" s="2" t="str">
        <x:v>0</x:v>
      </x:c>
      <x:c r="P1573" s="2" t="str">
        <x:v>false</x:v>
      </x:c>
      <x:c r="Q1573" s="2" t="str">
        <x:v>0.000000000;0.000000000;0.000000000</x:v>
      </x:c>
      <x:c r="R1573" s="2" t="str">
        <x:v>0.42195800051558763</x:v>
      </x:c>
      <x:c r="S1573" s="2" t="str">
        <x:v>46.36374498538453</x:v>
      </x:c>
    </x:row>
    <x:row r="1574">
      <x:c r="A1574" s="2" t="str">
        <x:v>DE-CMP-01</x:v>
      </x:c>
      <x:c r="B1574" s="2" t="str">
        <x:v>CFG-C01</x:v>
      </x:c>
      <x:c r="C1574" s="2" t="n">
        <x:v>46227.70238086805</x:v>
      </x:c>
      <x:c r="D1574" s="2" t="str">
        <x:v>adaptive</x:v>
      </x:c>
      <x:c r="E1574" s="2" t="str">
        <x:v>monte_carlo</x:v>
      </x:c>
      <x:c r="F1574" s="2" t="str">
        <x:v>787</x:v>
      </x:c>
      <x:c r="G1574" s="2" t="str">
        <x:v>3174290</x:v>
      </x:c>
      <x:c r="H1574" s="2" t="str">
        <x:v>2048000.0</x:v>
      </x:c>
      <x:c r="I1574" s="2" t="str">
        <x:v>8192</x:v>
      </x:c>
      <x:c r="J1574" s="2" t="str">
        <x:v>250.0</x:v>
      </x:c>
      <x:c r="K1574" s="2" t="str">
        <x:v>3</x:v>
      </x:c>
      <x:c r="L1574" s="2" t="str">
        <x:v>3</x:v>
      </x:c>
      <x:c r="M1574" s="2" t="str">
        <x:v>3</x:v>
      </x:c>
      <x:c r="N1574" s="2" t="str">
        <x:v>0</x:v>
      </x:c>
      <x:c r="O1574" s="2" t="str">
        <x:v>0</x:v>
      </x:c>
      <x:c r="P1574" s="2" t="str">
        <x:v>false</x:v>
      </x:c>
      <x:c r="Q1574" s="2" t="str">
        <x:v>0.000000000;0.000000000;0.000000000</x:v>
      </x:c>
      <x:c r="R1574" s="2" t="str">
        <x:v>0.42091700015589595</x:v>
      </x:c>
      <x:c r="S1574" s="2" t="str">
        <x:v>46.539507588211656</x:v>
      </x:c>
    </x:row>
    <x:row r="1575">
      <x:c r="A1575" s="2" t="str">
        <x:v>DE-CMP-01</x:v>
      </x:c>
      <x:c r="B1575" s="2" t="str">
        <x:v>CFG-C01</x:v>
      </x:c>
      <x:c r="C1575" s="2" t="n">
        <x:v>46227.70238086805</x:v>
      </x:c>
      <x:c r="D1575" s="2" t="str">
        <x:v>os_cfar</x:v>
      </x:c>
      <x:c r="E1575" s="2" t="str">
        <x:v>monte_carlo</x:v>
      </x:c>
      <x:c r="F1575" s="2" t="str">
        <x:v>787</x:v>
      </x:c>
      <x:c r="G1575" s="2" t="str">
        <x:v>3174290</x:v>
      </x:c>
      <x:c r="H1575" s="2" t="str">
        <x:v>2048000.0</x:v>
      </x:c>
      <x:c r="I1575" s="2" t="str">
        <x:v>8192</x:v>
      </x:c>
      <x:c r="J1575" s="2" t="str">
        <x:v>250.0</x:v>
      </x:c>
      <x:c r="K1575" s="2" t="str">
        <x:v>3</x:v>
      </x:c>
      <x:c r="L1575" s="2" t="str">
        <x:v>3</x:v>
      </x:c>
      <x:c r="M1575" s="2" t="str">
        <x:v>3</x:v>
      </x:c>
      <x:c r="N1575" s="2" t="str">
        <x:v>0</x:v>
      </x:c>
      <x:c r="O1575" s="2" t="str">
        <x:v>0</x:v>
      </x:c>
      <x:c r="P1575" s="2" t="str">
        <x:v>false</x:v>
      </x:c>
      <x:c r="Q1575" s="2" t="str">
        <x:v>0.000000000;0.000000000;0.000000000</x:v>
      </x:c>
      <x:c r="R1575" s="2" t="str">
        <x:v>13.847666996298358</x:v>
      </x:c>
      <x:c r="S1575" s="2" t="str">
        <x:v>48.11258652188442</x:v>
      </x:c>
    </x:row>
    <x:row r="1576">
      <x:c r="A1576" s="2" t="str">
        <x:v>DE-CMP-01</x:v>
      </x:c>
      <x:c r="B1576" s="2" t="str">
        <x:v>CFG-C01</x:v>
      </x:c>
      <x:c r="C1576" s="2" t="n">
        <x:v>46227.70238086805</x:v>
      </x:c>
      <x:c r="D1576" s="2" t="str">
        <x:v>os_cfar</x:v>
      </x:c>
      <x:c r="E1576" s="2" t="str">
        <x:v>monte_carlo</x:v>
      </x:c>
      <x:c r="F1576" s="2" t="str">
        <x:v>788</x:v>
      </x:c>
      <x:c r="G1576" s="2" t="str">
        <x:v>3174291</x:v>
      </x:c>
      <x:c r="H1576" s="2" t="str">
        <x:v>2048000.0</x:v>
      </x:c>
      <x:c r="I1576" s="2" t="str">
        <x:v>8192</x:v>
      </x:c>
      <x:c r="J1576" s="2" t="str">
        <x:v>250.0</x:v>
      </x:c>
      <x:c r="K1576" s="2" t="str">
        <x:v>1</x:v>
      </x:c>
      <x:c r="L1576" s="2" t="str">
        <x:v>3</x:v>
      </x:c>
      <x:c r="M1576" s="2" t="str">
        <x:v>1</x:v>
      </x:c>
      <x:c r="N1576" s="2" t="str">
        <x:v>2</x:v>
      </x:c>
      <x:c r="O1576" s="2" t="str">
        <x:v>0</x:v>
      </x:c>
      <x:c r="P1576" s="2" t="str">
        <x:v>true</x:v>
      </x:c>
      <x:c r="Q1576" s="2" t="str">
        <x:v>0.000000000</x:v>
      </x:c>
      <x:c r="R1576" s="2" t="str">
        <x:v>13.799499996821396</x:v>
      </x:c>
      <x:c r="S1576" s="2" t="str">
        <x:v>48.37422590988558</x:v>
      </x:c>
    </x:row>
    <x:row r="1577">
      <x:c r="A1577" s="2" t="str">
        <x:v>DE-CMP-01</x:v>
      </x:c>
      <x:c r="B1577" s="2" t="str">
        <x:v>CFG-C01</x:v>
      </x:c>
      <x:c r="C1577" s="2" t="n">
        <x:v>46227.70238086805</x:v>
      </x:c>
      <x:c r="D1577" s="2" t="str">
        <x:v>adaptive</x:v>
      </x:c>
      <x:c r="E1577" s="2" t="str">
        <x:v>monte_carlo</x:v>
      </x:c>
      <x:c r="F1577" s="2" t="str">
        <x:v>788</x:v>
      </x:c>
      <x:c r="G1577" s="2" t="str">
        <x:v>3174291</x:v>
      </x:c>
      <x:c r="H1577" s="2" t="str">
        <x:v>2048000.0</x:v>
      </x:c>
      <x:c r="I1577" s="2" t="str">
        <x:v>8192</x:v>
      </x:c>
      <x:c r="J1577" s="2" t="str">
        <x:v>250.0</x:v>
      </x:c>
      <x:c r="K1577" s="2" t="str">
        <x:v>1</x:v>
      </x:c>
      <x:c r="L1577" s="2" t="str">
        <x:v>3</x:v>
      </x:c>
      <x:c r="M1577" s="2" t="str">
        <x:v>1</x:v>
      </x:c>
      <x:c r="N1577" s="2" t="str">
        <x:v>2</x:v>
      </x:c>
      <x:c r="O1577" s="2" t="str">
        <x:v>0</x:v>
      </x:c>
      <x:c r="P1577" s="2" t="str">
        <x:v>true</x:v>
      </x:c>
      <x:c r="Q1577" s="2" t="str">
        <x:v>0.000000000</x:v>
      </x:c>
      <x:c r="R1577" s="2" t="str">
        <x:v>0.4335420089773834</x:v>
      </x:c>
      <x:c r="S1577" s="2" t="str">
        <x:v>46.506338537980206</x:v>
      </x:c>
    </x:row>
    <x:row r="1578">
      <x:c r="A1578" s="2" t="str">
        <x:v>DE-CMP-01</x:v>
      </x:c>
      <x:c r="B1578" s="2" t="str">
        <x:v>CFG-C01</x:v>
      </x:c>
      <x:c r="C1578" s="2" t="n">
        <x:v>46227.70238086805</x:v>
      </x:c>
      <x:c r="D1578" s="2" t="str">
        <x:v>adaptive</x:v>
      </x:c>
      <x:c r="E1578" s="2" t="str">
        <x:v>monte_carlo</x:v>
      </x:c>
      <x:c r="F1578" s="2" t="str">
        <x:v>789</x:v>
      </x:c>
      <x:c r="G1578" s="2" t="str">
        <x:v>3174292</x:v>
      </x:c>
      <x:c r="H1578" s="2" t="str">
        <x:v>2048000.0</x:v>
      </x:c>
      <x:c r="I1578" s="2" t="str">
        <x:v>8192</x:v>
      </x:c>
      <x:c r="J1578" s="2" t="str">
        <x:v>250.0</x:v>
      </x:c>
      <x:c r="K1578" s="2" t="str">
        <x:v>3</x:v>
      </x:c>
      <x:c r="L1578" s="2" t="str">
        <x:v>3</x:v>
      </x:c>
      <x:c r="M1578" s="2" t="str">
        <x:v>3</x:v>
      </x:c>
      <x:c r="N1578" s="2" t="str">
        <x:v>0</x:v>
      </x:c>
      <x:c r="O1578" s="2" t="str">
        <x:v>0</x:v>
      </x:c>
      <x:c r="P1578" s="2" t="str">
        <x:v>false</x:v>
      </x:c>
      <x:c r="Q1578" s="2" t="str">
        <x:v>0.000000000;0.000000000;0.000000000</x:v>
      </x:c>
      <x:c r="R1578" s="2" t="str">
        <x:v>0.4177919909125194</x:v>
      </x:c>
      <x:c r="S1578" s="2" t="str">
        <x:v>46.47921254057141</x:v>
      </x:c>
    </x:row>
    <x:row r="1579">
      <x:c r="A1579" s="2" t="str">
        <x:v>DE-CMP-01</x:v>
      </x:c>
      <x:c r="B1579" s="2" t="str">
        <x:v>CFG-C01</x:v>
      </x:c>
      <x:c r="C1579" s="2" t="n">
        <x:v>46227.70238086805</x:v>
      </x:c>
      <x:c r="D1579" s="2" t="str">
        <x:v>os_cfar</x:v>
      </x:c>
      <x:c r="E1579" s="2" t="str">
        <x:v>monte_carlo</x:v>
      </x:c>
      <x:c r="F1579" s="2" t="str">
        <x:v>789</x:v>
      </x:c>
      <x:c r="G1579" s="2" t="str">
        <x:v>3174292</x:v>
      </x:c>
      <x:c r="H1579" s="2" t="str">
        <x:v>2048000.0</x:v>
      </x:c>
      <x:c r="I1579" s="2" t="str">
        <x:v>8192</x:v>
      </x:c>
      <x:c r="J1579" s="2" t="str">
        <x:v>250.0</x:v>
      </x:c>
      <x:c r="K1579" s="2" t="str">
        <x:v>3</x:v>
      </x:c>
      <x:c r="L1579" s="2" t="str">
        <x:v>3</x:v>
      </x:c>
      <x:c r="M1579" s="2" t="str">
        <x:v>3</x:v>
      </x:c>
      <x:c r="N1579" s="2" t="str">
        <x:v>0</x:v>
      </x:c>
      <x:c r="O1579" s="2" t="str">
        <x:v>0</x:v>
      </x:c>
      <x:c r="P1579" s="2" t="str">
        <x:v>false</x:v>
      </x:c>
      <x:c r="Q1579" s="2" t="str">
        <x:v>0.000000000;0.000000000;0.000000000</x:v>
      </x:c>
      <x:c r="R1579" s="2" t="str">
        <x:v>13.778292006463744</x:v>
      </x:c>
      <x:c r="S1579" s="2" t="str">
        <x:v>48.261693190827756</x:v>
      </x:c>
    </x:row>
    <x:row r="1580">
      <x:c r="A1580" s="2" t="str">
        <x:v>DE-CMP-01</x:v>
      </x:c>
      <x:c r="B1580" s="2" t="str">
        <x:v>CFG-C01</x:v>
      </x:c>
      <x:c r="C1580" s="2" t="n">
        <x:v>46227.70238086805</x:v>
      </x:c>
      <x:c r="D1580" s="2" t="str">
        <x:v>os_cfar</x:v>
      </x:c>
      <x:c r="E1580" s="2" t="str">
        <x:v>monte_carlo</x:v>
      </x:c>
      <x:c r="F1580" s="2" t="str">
        <x:v>790</x:v>
      </x:c>
      <x:c r="G1580" s="2" t="str">
        <x:v>3174293</x:v>
      </x:c>
      <x:c r="H1580" s="2" t="str">
        <x:v>2048000.0</x:v>
      </x:c>
      <x:c r="I1580" s="2" t="str">
        <x:v>8192</x:v>
      </x:c>
      <x:c r="J1580" s="2" t="str">
        <x:v>250.0</x:v>
      </x:c>
      <x:c r="K1580" s="2" t="str">
        <x:v>1</x:v>
      </x:c>
      <x:c r="L1580" s="2" t="str">
        <x:v>3</x:v>
      </x:c>
      <x:c r="M1580" s="2" t="str">
        <x:v>1</x:v>
      </x:c>
      <x:c r="N1580" s="2" t="str">
        <x:v>2</x:v>
      </x:c>
      <x:c r="O1580" s="2" t="str">
        <x:v>0</x:v>
      </x:c>
      <x:c r="P1580" s="2" t="str">
        <x:v>true</x:v>
      </x:c>
      <x:c r="Q1580" s="2" t="str">
        <x:v>0.000000000</x:v>
      </x:c>
      <x:c r="R1580" s="2" t="str">
        <x:v>13.705207995371893</x:v>
      </x:c>
      <x:c r="S1580" s="2" t="str">
        <x:v>48.18194184865847</x:v>
      </x:c>
    </x:row>
    <x:row r="1581">
      <x:c r="A1581" s="2" t="str">
        <x:v>DE-CMP-01</x:v>
      </x:c>
      <x:c r="B1581" s="2" t="str">
        <x:v>CFG-C01</x:v>
      </x:c>
      <x:c r="C1581" s="2" t="n">
        <x:v>46227.70238086805</x:v>
      </x:c>
      <x:c r="D1581" s="2" t="str">
        <x:v>adaptive</x:v>
      </x:c>
      <x:c r="E1581" s="2" t="str">
        <x:v>monte_carlo</x:v>
      </x:c>
      <x:c r="F1581" s="2" t="str">
        <x:v>790</x:v>
      </x:c>
      <x:c r="G1581" s="2" t="str">
        <x:v>3174293</x:v>
      </x:c>
      <x:c r="H1581" s="2" t="str">
        <x:v>2048000.0</x:v>
      </x:c>
      <x:c r="I1581" s="2" t="str">
        <x:v>8192</x:v>
      </x:c>
      <x:c r="J1581" s="2" t="str">
        <x:v>250.0</x:v>
      </x:c>
      <x:c r="K1581" s="2" t="str">
        <x:v>1</x:v>
      </x:c>
      <x:c r="L1581" s="2" t="str">
        <x:v>3</x:v>
      </x:c>
      <x:c r="M1581" s="2" t="str">
        <x:v>1</x:v>
      </x:c>
      <x:c r="N1581" s="2" t="str">
        <x:v>2</x:v>
      </x:c>
      <x:c r="O1581" s="2" t="str">
        <x:v>0</x:v>
      </x:c>
      <x:c r="P1581" s="2" t="str">
        <x:v>true</x:v>
      </x:c>
      <x:c r="Q1581" s="2" t="str">
        <x:v>0.000000000</x:v>
      </x:c>
      <x:c r="R1581" s="2" t="str">
        <x:v>0.4162909899605438</x:v>
      </x:c>
      <x:c r="S1581" s="2" t="str">
        <x:v>46.25798243341319</x:v>
      </x:c>
    </x:row>
    <x:row r="1582">
      <x:c r="A1582" s="2" t="str">
        <x:v>DE-CMP-01</x:v>
      </x:c>
      <x:c r="B1582" s="2" t="str">
        <x:v>CFG-C01</x:v>
      </x:c>
      <x:c r="C1582" s="2" t="n">
        <x:v>46227.70238086805</x:v>
      </x:c>
      <x:c r="D1582" s="2" t="str">
        <x:v>adaptive</x:v>
      </x:c>
      <x:c r="E1582" s="2" t="str">
        <x:v>monte_carlo</x:v>
      </x:c>
      <x:c r="F1582" s="2" t="str">
        <x:v>791</x:v>
      </x:c>
      <x:c r="G1582" s="2" t="str">
        <x:v>3174294</x:v>
      </x:c>
      <x:c r="H1582" s="2" t="str">
        <x:v>2048000.0</x:v>
      </x:c>
      <x:c r="I1582" s="2" t="str">
        <x:v>8192</x:v>
      </x:c>
      <x:c r="J1582" s="2" t="str">
        <x:v>250.0</x:v>
      </x:c>
      <x:c r="K1582" s="2" t="str">
        <x:v>1</x:v>
      </x:c>
      <x:c r="L1582" s="2" t="str">
        <x:v>3</x:v>
      </x:c>
      <x:c r="M1582" s="2" t="str">
        <x:v>1</x:v>
      </x:c>
      <x:c r="N1582" s="2" t="str">
        <x:v>2</x:v>
      </x:c>
      <x:c r="O1582" s="2" t="str">
        <x:v>0</x:v>
      </x:c>
      <x:c r="P1582" s="2" t="str">
        <x:v>true</x:v>
      </x:c>
      <x:c r="Q1582" s="2" t="str">
        <x:v>0.000000000</x:v>
      </x:c>
      <x:c r="R1582" s="2" t="str">
        <x:v>0.4098329955013469</x:v>
      </x:c>
      <x:c r="S1582" s="2" t="str">
        <x:v>46.18201424021441</x:v>
      </x:c>
    </x:row>
    <x:row r="1583">
      <x:c r="A1583" s="2" t="str">
        <x:v>DE-CMP-01</x:v>
      </x:c>
      <x:c r="B1583" s="2" t="str">
        <x:v>CFG-C01</x:v>
      </x:c>
      <x:c r="C1583" s="2" t="n">
        <x:v>46227.70238086805</x:v>
      </x:c>
      <x:c r="D1583" s="2" t="str">
        <x:v>os_cfar</x:v>
      </x:c>
      <x:c r="E1583" s="2" t="str">
        <x:v>monte_carlo</x:v>
      </x:c>
      <x:c r="F1583" s="2" t="str">
        <x:v>791</x:v>
      </x:c>
      <x:c r="G1583" s="2" t="str">
        <x:v>3174294</x:v>
      </x:c>
      <x:c r="H1583" s="2" t="str">
        <x:v>2048000.0</x:v>
      </x:c>
      <x:c r="I1583" s="2" t="str">
        <x:v>8192</x:v>
      </x:c>
      <x:c r="J1583" s="2" t="str">
        <x:v>250.0</x:v>
      </x:c>
      <x:c r="K1583" s="2" t="str">
        <x:v>1</x:v>
      </x:c>
      <x:c r="L1583" s="2" t="str">
        <x:v>3</x:v>
      </x:c>
      <x:c r="M1583" s="2" t="str">
        <x:v>1</x:v>
      </x:c>
      <x:c r="N1583" s="2" t="str">
        <x:v>2</x:v>
      </x:c>
      <x:c r="O1583" s="2" t="str">
        <x:v>0</x:v>
      </x:c>
      <x:c r="P1583" s="2" t="str">
        <x:v>true</x:v>
      </x:c>
      <x:c r="Q1583" s="2" t="str">
        <x:v>0.000000000</x:v>
      </x:c>
      <x:c r="R1583" s="2" t="str">
        <x:v>13.612708004075103</x:v>
      </x:c>
      <x:c r="S1583" s="2" t="str">
        <x:v>48.24038364338311</x:v>
      </x:c>
    </x:row>
    <x:row r="1584">
      <x:c r="A1584" s="2" t="str">
        <x:v>DE-CMP-01</x:v>
      </x:c>
      <x:c r="B1584" s="2" t="str">
        <x:v>CFG-C01</x:v>
      </x:c>
      <x:c r="C1584" s="2" t="n">
        <x:v>46227.70238086805</x:v>
      </x:c>
      <x:c r="D1584" s="2" t="str">
        <x:v>os_cfar</x:v>
      </x:c>
      <x:c r="E1584" s="2" t="str">
        <x:v>monte_carlo</x:v>
      </x:c>
      <x:c r="F1584" s="2" t="str">
        <x:v>792</x:v>
      </x:c>
      <x:c r="G1584" s="2" t="str">
        <x:v>3174295</x:v>
      </x:c>
      <x:c r="H1584" s="2" t="str">
        <x:v>2048000.0</x:v>
      </x:c>
      <x:c r="I1584" s="2" t="str">
        <x:v>8192</x:v>
      </x:c>
      <x:c r="J1584" s="2" t="str">
        <x:v>250.0</x:v>
      </x:c>
      <x:c r="K1584" s="2" t="str">
        <x:v>1</x:v>
      </x:c>
      <x:c r="L1584" s="2" t="str">
        <x:v>3</x:v>
      </x:c>
      <x:c r="M1584" s="2" t="str">
        <x:v>1</x:v>
      </x:c>
      <x:c r="N1584" s="2" t="str">
        <x:v>2</x:v>
      </x:c>
      <x:c r="O1584" s="2" t="str">
        <x:v>0</x:v>
      </x:c>
      <x:c r="P1584" s="2" t="str">
        <x:v>true</x:v>
      </x:c>
      <x:c r="Q1584" s="2" t="str">
        <x:v>0.000000000</x:v>
      </x:c>
      <x:c r="R1584" s="2" t="str">
        <x:v>13.500208006007597</x:v>
      </x:c>
      <x:c r="S1584" s="2" t="str">
        <x:v>47.98802496227995</x:v>
      </x:c>
    </x:row>
    <x:row r="1585">
      <x:c r="A1585" s="2" t="str">
        <x:v>DE-CMP-01</x:v>
      </x:c>
      <x:c r="B1585" s="2" t="str">
        <x:v>CFG-C01</x:v>
      </x:c>
      <x:c r="C1585" s="2" t="n">
        <x:v>46227.70238086805</x:v>
      </x:c>
      <x:c r="D1585" s="2" t="str">
        <x:v>adaptive</x:v>
      </x:c>
      <x:c r="E1585" s="2" t="str">
        <x:v>monte_carlo</x:v>
      </x:c>
      <x:c r="F1585" s="2" t="str">
        <x:v>792</x:v>
      </x:c>
      <x:c r="G1585" s="2" t="str">
        <x:v>3174295</x:v>
      </x:c>
      <x:c r="H1585" s="2" t="str">
        <x:v>2048000.0</x:v>
      </x:c>
      <x:c r="I1585" s="2" t="str">
        <x:v>8192</x:v>
      </x:c>
      <x:c r="J1585" s="2" t="str">
        <x:v>250.0</x:v>
      </x:c>
      <x:c r="K1585" s="2" t="str">
        <x:v>1</x:v>
      </x:c>
      <x:c r="L1585" s="2" t="str">
        <x:v>3</x:v>
      </x:c>
      <x:c r="M1585" s="2" t="str">
        <x:v>1</x:v>
      </x:c>
      <x:c r="N1585" s="2" t="str">
        <x:v>2</x:v>
      </x:c>
      <x:c r="O1585" s="2" t="str">
        <x:v>0</x:v>
      </x:c>
      <x:c r="P1585" s="2" t="str">
        <x:v>true</x:v>
      </x:c>
      <x:c r="Q1585" s="2" t="str">
        <x:v>0.000000000</x:v>
      </x:c>
      <x:c r="R1585" s="2" t="str">
        <x:v>0.43154200830031186</x:v>
      </x:c>
      <x:c r="S1585" s="2" t="str">
        <x:v>46.3838146901563</x:v>
      </x:c>
    </x:row>
    <x:row r="1586">
      <x:c r="A1586" s="2" t="str">
        <x:v>DE-CMP-01</x:v>
      </x:c>
      <x:c r="B1586" s="2" t="str">
        <x:v>CFG-C01</x:v>
      </x:c>
      <x:c r="C1586" s="2" t="n">
        <x:v>46227.70238086805</x:v>
      </x:c>
      <x:c r="D1586" s="2" t="str">
        <x:v>adaptive</x:v>
      </x:c>
      <x:c r="E1586" s="2" t="str">
        <x:v>monte_carlo</x:v>
      </x:c>
      <x:c r="F1586" s="2" t="str">
        <x:v>793</x:v>
      </x:c>
      <x:c r="G1586" s="2" t="str">
        <x:v>3174296</x:v>
      </x:c>
      <x:c r="H1586" s="2" t="str">
        <x:v>2048000.0</x:v>
      </x:c>
      <x:c r="I1586" s="2" t="str">
        <x:v>8192</x:v>
      </x:c>
      <x:c r="J1586" s="2" t="str">
        <x:v>250.0</x:v>
      </x:c>
      <x:c r="K1586" s="2" t="str">
        <x:v>2</x:v>
      </x:c>
      <x:c r="L1586" s="2" t="str">
        <x:v>3</x:v>
      </x:c>
      <x:c r="M1586" s="2" t="str">
        <x:v>2</x:v>
      </x:c>
      <x:c r="N1586" s="2" t="str">
        <x:v>1</x:v>
      </x:c>
      <x:c r="O1586" s="2" t="str">
        <x:v>0</x:v>
      </x:c>
      <x:c r="P1586" s="2" t="str">
        <x:v>true</x:v>
      </x:c>
      <x:c r="Q1586" s="2" t="str">
        <x:v>0.000000000;0.000000000</x:v>
      </x:c>
      <x:c r="R1586" s="2" t="str">
        <x:v>0.42158400174230337</x:v>
      </x:c>
      <x:c r="S1586" s="2" t="str">
        <x:v>46.69862902629456</x:v>
      </x:c>
    </x:row>
    <x:row r="1587">
      <x:c r="A1587" s="2" t="str">
        <x:v>DE-CMP-01</x:v>
      </x:c>
      <x:c r="B1587" s="2" t="str">
        <x:v>CFG-C01</x:v>
      </x:c>
      <x:c r="C1587" s="2" t="n">
        <x:v>46227.70238086805</x:v>
      </x:c>
      <x:c r="D1587" s="2" t="str">
        <x:v>os_cfar</x:v>
      </x:c>
      <x:c r="E1587" s="2" t="str">
        <x:v>monte_carlo</x:v>
      </x:c>
      <x:c r="F1587" s="2" t="str">
        <x:v>793</x:v>
      </x:c>
      <x:c r="G1587" s="2" t="str">
        <x:v>3174296</x:v>
      </x:c>
      <x:c r="H1587" s="2" t="str">
        <x:v>2048000.0</x:v>
      </x:c>
      <x:c r="I1587" s="2" t="str">
        <x:v>8192</x:v>
      </x:c>
      <x:c r="J1587" s="2" t="str">
        <x:v>250.0</x:v>
      </x:c>
      <x:c r="K1587" s="2" t="str">
        <x:v>2</x:v>
      </x:c>
      <x:c r="L1587" s="2" t="str">
        <x:v>3</x:v>
      </x:c>
      <x:c r="M1587" s="2" t="str">
        <x:v>2</x:v>
      </x:c>
      <x:c r="N1587" s="2" t="str">
        <x:v>1</x:v>
      </x:c>
      <x:c r="O1587" s="2" t="str">
        <x:v>0</x:v>
      </x:c>
      <x:c r="P1587" s="2" t="str">
        <x:v>true</x:v>
      </x:c>
      <x:c r="Q1587" s="2" t="str">
        <x:v>0.000000000;0.000000000</x:v>
      </x:c>
      <x:c r="R1587" s="2" t="str">
        <x:v>13.498875006916933</x:v>
      </x:c>
      <x:c r="S1587" s="2" t="str">
        <x:v>48.364539314898906</x:v>
      </x:c>
    </x:row>
    <x:row r="1588">
      <x:c r="A1588" s="2" t="str">
        <x:v>DE-CMP-01</x:v>
      </x:c>
      <x:c r="B1588" s="2" t="str">
        <x:v>CFG-C01</x:v>
      </x:c>
      <x:c r="C1588" s="2" t="n">
        <x:v>46227.70238086805</x:v>
      </x:c>
      <x:c r="D1588" s="2" t="str">
        <x:v>os_cfar</x:v>
      </x:c>
      <x:c r="E1588" s="2" t="str">
        <x:v>monte_carlo</x:v>
      </x:c>
      <x:c r="F1588" s="2" t="str">
        <x:v>794</x:v>
      </x:c>
      <x:c r="G1588" s="2" t="str">
        <x:v>3174297</x:v>
      </x:c>
      <x:c r="H1588" s="2" t="str">
        <x:v>2048000.0</x:v>
      </x:c>
      <x:c r="I1588" s="2" t="str">
        <x:v>8192</x:v>
      </x:c>
      <x:c r="J1588" s="2" t="str">
        <x:v>250.0</x:v>
      </x:c>
      <x:c r="K1588" s="2" t="str">
        <x:v>0</x:v>
      </x:c>
      <x:c r="L1588" s="2" t="str">
        <x:v>3</x:v>
      </x:c>
      <x:c r="M1588" s="2" t="str">
        <x:v>0</x:v>
      </x:c>
      <x:c r="N1588" s="2" t="str">
        <x:v>3</x:v>
      </x:c>
      <x:c r="O1588" s="2" t="str">
        <x:v>0</x:v>
      </x:c>
      <x:c r="P1588" s="2" t="str">
        <x:v>true</x:v>
      </x:c>
      <x:c r="Q1588" s="2" t="str">
        <x:v>NA</x:v>
      </x:c>
      <x:c r="R1588" s="2" t="str">
        <x:v>13.67900001059752</x:v>
      </x:c>
      <x:c r="S1588" s="2" t="str">
        <x:v>48.11252670522382</x:v>
      </x:c>
    </x:row>
    <x:row r="1589">
      <x:c r="A1589" s="2" t="str">
        <x:v>DE-CMP-01</x:v>
      </x:c>
      <x:c r="B1589" s="2" t="str">
        <x:v>CFG-C01</x:v>
      </x:c>
      <x:c r="C1589" s="2" t="n">
        <x:v>46227.70238086805</x:v>
      </x:c>
      <x:c r="D1589" s="2" t="str">
        <x:v>adaptive</x:v>
      </x:c>
      <x:c r="E1589" s="2" t="str">
        <x:v>monte_carlo</x:v>
      </x:c>
      <x:c r="F1589" s="2" t="str">
        <x:v>794</x:v>
      </x:c>
      <x:c r="G1589" s="2" t="str">
        <x:v>3174297</x:v>
      </x:c>
      <x:c r="H1589" s="2" t="str">
        <x:v>2048000.0</x:v>
      </x:c>
      <x:c r="I1589" s="2" t="str">
        <x:v>8192</x:v>
      </x:c>
      <x:c r="J1589" s="2" t="str">
        <x:v>250.0</x:v>
      </x:c>
      <x:c r="K1589" s="2" t="str">
        <x:v>0</x:v>
      </x:c>
      <x:c r="L1589" s="2" t="str">
        <x:v>3</x:v>
      </x:c>
      <x:c r="M1589" s="2" t="str">
        <x:v>0</x:v>
      </x:c>
      <x:c r="N1589" s="2" t="str">
        <x:v>3</x:v>
      </x:c>
      <x:c r="O1589" s="2" t="str">
        <x:v>0</x:v>
      </x:c>
      <x:c r="P1589" s="2" t="str">
        <x:v>true</x:v>
      </x:c>
      <x:c r="Q1589" s="2" t="str">
        <x:v>NA</x:v>
      </x:c>
      <x:c r="R1589" s="2" t="str">
        <x:v>0.40391599759459496</x:v>
      </x:c>
      <x:c r="S1589" s="2" t="str">
        <x:v>46.43082520561549</x:v>
      </x:c>
    </x:row>
    <x:row r="1590">
      <x:c r="A1590" s="2" t="str">
        <x:v>DE-CMP-01</x:v>
      </x:c>
      <x:c r="B1590" s="2" t="str">
        <x:v>CFG-C01</x:v>
      </x:c>
      <x:c r="C1590" s="2" t="n">
        <x:v>46227.70238086805</x:v>
      </x:c>
      <x:c r="D1590" s="2" t="str">
        <x:v>adaptive</x:v>
      </x:c>
      <x:c r="E1590" s="2" t="str">
        <x:v>monte_carlo</x:v>
      </x:c>
      <x:c r="F1590" s="2" t="str">
        <x:v>795</x:v>
      </x:c>
      <x:c r="G1590" s="2" t="str">
        <x:v>3174298</x:v>
      </x:c>
      <x:c r="H1590" s="2" t="str">
        <x:v>2048000.0</x:v>
      </x:c>
      <x:c r="I1590" s="2" t="str">
        <x:v>8192</x:v>
      </x:c>
      <x:c r="J1590" s="2" t="str">
        <x:v>250.0</x:v>
      </x:c>
      <x:c r="K1590" s="2" t="str">
        <x:v>2</x:v>
      </x:c>
      <x:c r="L1590" s="2" t="str">
        <x:v>3</x:v>
      </x:c>
      <x:c r="M1590" s="2" t="str">
        <x:v>2</x:v>
      </x:c>
      <x:c r="N1590" s="2" t="str">
        <x:v>1</x:v>
      </x:c>
      <x:c r="O1590" s="2" t="str">
        <x:v>0</x:v>
      </x:c>
      <x:c r="P1590" s="2" t="str">
        <x:v>true</x:v>
      </x:c>
      <x:c r="Q1590" s="2" t="str">
        <x:v>0.000000000;0.000000000</x:v>
      </x:c>
      <x:c r="R1590" s="2" t="str">
        <x:v>0.41079201037064195</x:v>
      </x:c>
      <x:c r="S1590" s="2" t="str">
        <x:v>46.307213550171504</x:v>
      </x:c>
    </x:row>
    <x:row r="1591">
      <x:c r="A1591" s="2" t="str">
        <x:v>DE-CMP-01</x:v>
      </x:c>
      <x:c r="B1591" s="2" t="str">
        <x:v>CFG-C01</x:v>
      </x:c>
      <x:c r="C1591" s="2" t="n">
        <x:v>46227.70238086805</x:v>
      </x:c>
      <x:c r="D1591" s="2" t="str">
        <x:v>os_cfar</x:v>
      </x:c>
      <x:c r="E1591" s="2" t="str">
        <x:v>monte_carlo</x:v>
      </x:c>
      <x:c r="F1591" s="2" t="str">
        <x:v>795</x:v>
      </x:c>
      <x:c r="G1591" s="2" t="str">
        <x:v>3174298</x:v>
      </x:c>
      <x:c r="H1591" s="2" t="str">
        <x:v>2048000.0</x:v>
      </x:c>
      <x:c r="I1591" s="2" t="str">
        <x:v>8192</x:v>
      </x:c>
      <x:c r="J1591" s="2" t="str">
        <x:v>250.0</x:v>
      </x:c>
      <x:c r="K1591" s="2" t="str">
        <x:v>2</x:v>
      </x:c>
      <x:c r="L1591" s="2" t="str">
        <x:v>3</x:v>
      </x:c>
      <x:c r="M1591" s="2" t="str">
        <x:v>2</x:v>
      </x:c>
      <x:c r="N1591" s="2" t="str">
        <x:v>1</x:v>
      </x:c>
      <x:c r="O1591" s="2" t="str">
        <x:v>0</x:v>
      </x:c>
      <x:c r="P1591" s="2" t="str">
        <x:v>true</x:v>
      </x:c>
      <x:c r="Q1591" s="2" t="str">
        <x:v>0.000000000;0.000000000</x:v>
      </x:c>
      <x:c r="R1591" s="2" t="str">
        <x:v>13.61729200289119</x:v>
      </x:c>
      <x:c r="S1591" s="2" t="str">
        <x:v>48.20959078107114</x:v>
      </x:c>
    </x:row>
    <x:row r="1592">
      <x:c r="A1592" s="2" t="str">
        <x:v>DE-CMP-01</x:v>
      </x:c>
      <x:c r="B1592" s="2" t="str">
        <x:v>CFG-C01</x:v>
      </x:c>
      <x:c r="C1592" s="2" t="n">
        <x:v>46227.70238086805</x:v>
      </x:c>
      <x:c r="D1592" s="2" t="str">
        <x:v>os_cfar</x:v>
      </x:c>
      <x:c r="E1592" s="2" t="str">
        <x:v>monte_carlo</x:v>
      </x:c>
      <x:c r="F1592" s="2" t="str">
        <x:v>796</x:v>
      </x:c>
      <x:c r="G1592" s="2" t="str">
        <x:v>3174299</x:v>
      </x:c>
      <x:c r="H1592" s="2" t="str">
        <x:v>2048000.0</x:v>
      </x:c>
      <x:c r="I1592" s="2" t="str">
        <x:v>8192</x:v>
      </x:c>
      <x:c r="J1592" s="2" t="str">
        <x:v>250.0</x:v>
      </x:c>
      <x:c r="K1592" s="2" t="str">
        <x:v>2</x:v>
      </x:c>
      <x:c r="L1592" s="2" t="str">
        <x:v>3</x:v>
      </x:c>
      <x:c r="M1592" s="2" t="str">
        <x:v>2</x:v>
      </x:c>
      <x:c r="N1592" s="2" t="str">
        <x:v>1</x:v>
      </x:c>
      <x:c r="O1592" s="2" t="str">
        <x:v>0</x:v>
      </x:c>
      <x:c r="P1592" s="2" t="str">
        <x:v>true</x:v>
      </x:c>
      <x:c r="Q1592" s="2" t="str">
        <x:v>0.000000000;0.000000000</x:v>
      </x:c>
      <x:c r="R1592" s="2" t="str">
        <x:v>13.645750004798174</x:v>
      </x:c>
      <x:c r="S1592" s="2" t="str">
        <x:v>48.05707869905116</x:v>
      </x:c>
    </x:row>
    <x:row r="1593">
      <x:c r="A1593" s="2" t="str">
        <x:v>DE-CMP-01</x:v>
      </x:c>
      <x:c r="B1593" s="2" t="str">
        <x:v>CFG-C01</x:v>
      </x:c>
      <x:c r="C1593" s="2" t="n">
        <x:v>46227.70238086805</x:v>
      </x:c>
      <x:c r="D1593" s="2" t="str">
        <x:v>adaptive</x:v>
      </x:c>
      <x:c r="E1593" s="2" t="str">
        <x:v>monte_carlo</x:v>
      </x:c>
      <x:c r="F1593" s="2" t="str">
        <x:v>796</x:v>
      </x:c>
      <x:c r="G1593" s="2" t="str">
        <x:v>3174299</x:v>
      </x:c>
      <x:c r="H1593" s="2" t="str">
        <x:v>2048000.0</x:v>
      </x:c>
      <x:c r="I1593" s="2" t="str">
        <x:v>8192</x:v>
      </x:c>
      <x:c r="J1593" s="2" t="str">
        <x:v>250.0</x:v>
      </x:c>
      <x:c r="K1593" s="2" t="str">
        <x:v>2</x:v>
      </x:c>
      <x:c r="L1593" s="2" t="str">
        <x:v>3</x:v>
      </x:c>
      <x:c r="M1593" s="2" t="str">
        <x:v>2</x:v>
      </x:c>
      <x:c r="N1593" s="2" t="str">
        <x:v>1</x:v>
      </x:c>
      <x:c r="O1593" s="2" t="str">
        <x:v>0</x:v>
      </x:c>
      <x:c r="P1593" s="2" t="str">
        <x:v>true</x:v>
      </x:c>
      <x:c r="Q1593" s="2" t="str">
        <x:v>0.000000000;0.000000000</x:v>
      </x:c>
      <x:c r="R1593" s="2" t="str">
        <x:v>0.43191699660383165</x:v>
      </x:c>
      <x:c r="S1593" s="2" t="str">
        <x:v>46.115182696221154</x:v>
      </x:c>
    </x:row>
    <x:row r="1594">
      <x:c r="A1594" s="2" t="str">
        <x:v>DE-CMP-01</x:v>
      </x:c>
      <x:c r="B1594" s="2" t="str">
        <x:v>CFG-C01</x:v>
      </x:c>
      <x:c r="C1594" s="2" t="n">
        <x:v>46227.70238086805</x:v>
      </x:c>
      <x:c r="D1594" s="2" t="str">
        <x:v>adaptive</x:v>
      </x:c>
      <x:c r="E1594" s="2" t="str">
        <x:v>monte_carlo</x:v>
      </x:c>
      <x:c r="F1594" s="2" t="str">
        <x:v>797</x:v>
      </x:c>
      <x:c r="G1594" s="2" t="str">
        <x:v>3174300</x:v>
      </x:c>
      <x:c r="H1594" s="2" t="str">
        <x:v>2048000.0</x:v>
      </x:c>
      <x:c r="I1594" s="2" t="str">
        <x:v>8192</x:v>
      </x:c>
      <x:c r="J1594" s="2" t="str">
        <x:v>250.0</x:v>
      </x:c>
      <x:c r="K1594" s="2" t="str">
        <x:v>2</x:v>
      </x:c>
      <x:c r="L1594" s="2" t="str">
        <x:v>3</x:v>
      </x:c>
      <x:c r="M1594" s="2" t="str">
        <x:v>2</x:v>
      </x:c>
      <x:c r="N1594" s="2" t="str">
        <x:v>1</x:v>
      </x:c>
      <x:c r="O1594" s="2" t="str">
        <x:v>0</x:v>
      </x:c>
      <x:c r="P1594" s="2" t="str">
        <x:v>true</x:v>
      </x:c>
      <x:c r="Q1594" s="2" t="str">
        <x:v>0.000000000;0.000000000</x:v>
      </x:c>
      <x:c r="R1594" s="2" t="str">
        <x:v>0.4040420026285574</x:v>
      </x:c>
      <x:c r="S1594" s="2" t="str">
        <x:v>46.5407385815606</x:v>
      </x:c>
    </x:row>
    <x:row r="1595">
      <x:c r="A1595" s="2" t="str">
        <x:v>DE-CMP-01</x:v>
      </x:c>
      <x:c r="B1595" s="2" t="str">
        <x:v>CFG-C01</x:v>
      </x:c>
      <x:c r="C1595" s="2" t="n">
        <x:v>46227.70238086805</x:v>
      </x:c>
      <x:c r="D1595" s="2" t="str">
        <x:v>os_cfar</x:v>
      </x:c>
      <x:c r="E1595" s="2" t="str">
        <x:v>monte_carlo</x:v>
      </x:c>
      <x:c r="F1595" s="2" t="str">
        <x:v>797</x:v>
      </x:c>
      <x:c r="G1595" s="2" t="str">
        <x:v>3174300</x:v>
      </x:c>
      <x:c r="H1595" s="2" t="str">
        <x:v>2048000.0</x:v>
      </x:c>
      <x:c r="I1595" s="2" t="str">
        <x:v>8192</x:v>
      </x:c>
      <x:c r="J1595" s="2" t="str">
        <x:v>250.0</x:v>
      </x:c>
      <x:c r="K1595" s="2" t="str">
        <x:v>2</x:v>
      </x:c>
      <x:c r="L1595" s="2" t="str">
        <x:v>3</x:v>
      </x:c>
      <x:c r="M1595" s="2" t="str">
        <x:v>2</x:v>
      </x:c>
      <x:c r="N1595" s="2" t="str">
        <x:v>1</x:v>
      </x:c>
      <x:c r="O1595" s="2" t="str">
        <x:v>0</x:v>
      </x:c>
      <x:c r="P1595" s="2" t="str">
        <x:v>true</x:v>
      </x:c>
      <x:c r="Q1595" s="2" t="str">
        <x:v>0.000000000;0.000000000</x:v>
      </x:c>
      <x:c r="R1595" s="2" t="str">
        <x:v>13.518542007659562</x:v>
      </x:c>
      <x:c r="S1595" s="2" t="str">
        <x:v>48.14011956806426</x:v>
      </x:c>
    </x:row>
    <x:row r="1596">
      <x:c r="A1596" s="2" t="str">
        <x:v>DE-CMP-01</x:v>
      </x:c>
      <x:c r="B1596" s="2" t="str">
        <x:v>CFG-C01</x:v>
      </x:c>
      <x:c r="C1596" s="2" t="n">
        <x:v>46227.70238086805</x:v>
      </x:c>
      <x:c r="D1596" s="2" t="str">
        <x:v>os_cfar</x:v>
      </x:c>
      <x:c r="E1596" s="2" t="str">
        <x:v>monte_carlo</x:v>
      </x:c>
      <x:c r="F1596" s="2" t="str">
        <x:v>798</x:v>
      </x:c>
      <x:c r="G1596" s="2" t="str">
        <x:v>3174301</x:v>
      </x:c>
      <x:c r="H1596" s="2" t="str">
        <x:v>2048000.0</x:v>
      </x:c>
      <x:c r="I1596" s="2" t="str">
        <x:v>8192</x:v>
      </x:c>
      <x:c r="J1596" s="2" t="str">
        <x:v>250.0</x:v>
      </x:c>
      <x:c r="K1596" s="2" t="str">
        <x:v>3</x:v>
      </x:c>
      <x:c r="L1596" s="2" t="str">
        <x:v>3</x:v>
      </x:c>
      <x:c r="M1596" s="2" t="str">
        <x:v>3</x:v>
      </x:c>
      <x:c r="N1596" s="2" t="str">
        <x:v>0</x:v>
      </x:c>
      <x:c r="O1596" s="2" t="str">
        <x:v>0</x:v>
      </x:c>
      <x:c r="P1596" s="2" t="str">
        <x:v>false</x:v>
      </x:c>
      <x:c r="Q1596" s="2" t="str">
        <x:v>0.000000000;0.000000000;0.000000000</x:v>
      </x:c>
      <x:c r="R1596" s="2" t="str">
        <x:v>13.559250000980683</x:v>
      </x:c>
      <x:c r="S1596" s="2" t="str">
        <x:v>48.21112895932618</x:v>
      </x:c>
    </x:row>
    <x:row r="1597">
      <x:c r="A1597" s="2" t="str">
        <x:v>DE-CMP-01</x:v>
      </x:c>
      <x:c r="B1597" s="2" t="str">
        <x:v>CFG-C01</x:v>
      </x:c>
      <x:c r="C1597" s="2" t="n">
        <x:v>46227.70238086805</x:v>
      </x:c>
      <x:c r="D1597" s="2" t="str">
        <x:v>adaptive</x:v>
      </x:c>
      <x:c r="E1597" s="2" t="str">
        <x:v>monte_carlo</x:v>
      </x:c>
      <x:c r="F1597" s="2" t="str">
        <x:v>798</x:v>
      </x:c>
      <x:c r="G1597" s="2" t="str">
        <x:v>3174301</x:v>
      </x:c>
      <x:c r="H1597" s="2" t="str">
        <x:v>2048000.0</x:v>
      </x:c>
      <x:c r="I1597" s="2" t="str">
        <x:v>8192</x:v>
      </x:c>
      <x:c r="J1597" s="2" t="str">
        <x:v>250.0</x:v>
      </x:c>
      <x:c r="K1597" s="2" t="str">
        <x:v>3</x:v>
      </x:c>
      <x:c r="L1597" s="2" t="str">
        <x:v>3</x:v>
      </x:c>
      <x:c r="M1597" s="2" t="str">
        <x:v>3</x:v>
      </x:c>
      <x:c r="N1597" s="2" t="str">
        <x:v>0</x:v>
      </x:c>
      <x:c r="O1597" s="2" t="str">
        <x:v>0</x:v>
      </x:c>
      <x:c r="P1597" s="2" t="str">
        <x:v>false</x:v>
      </x:c>
      <x:c r="Q1597" s="2" t="str">
        <x:v>0.000000000;0.000000000;0.000000000</x:v>
      </x:c>
      <x:c r="R1597" s="2" t="str">
        <x:v>0.44820900075137615</x:v>
      </x:c>
      <x:c r="S1597" s="2" t="str">
        <x:v>46.57422452375409</x:v>
      </x:c>
    </x:row>
    <x:row r="1598">
      <x:c r="A1598" s="2" t="str">
        <x:v>DE-CMP-01</x:v>
      </x:c>
      <x:c r="B1598" s="2" t="str">
        <x:v>CFG-C01</x:v>
      </x:c>
      <x:c r="C1598" s="2" t="n">
        <x:v>46227.70238086805</x:v>
      </x:c>
      <x:c r="D1598" s="2" t="str">
        <x:v>adaptive</x:v>
      </x:c>
      <x:c r="E1598" s="2" t="str">
        <x:v>monte_carlo</x:v>
      </x:c>
      <x:c r="F1598" s="2" t="str">
        <x:v>799</x:v>
      </x:c>
      <x:c r="G1598" s="2" t="str">
        <x:v>3174302</x:v>
      </x:c>
      <x:c r="H1598" s="2" t="str">
        <x:v>2048000.0</x:v>
      </x:c>
      <x:c r="I1598" s="2" t="str">
        <x:v>8192</x:v>
      </x:c>
      <x:c r="J1598" s="2" t="str">
        <x:v>250.0</x:v>
      </x:c>
      <x:c r="K1598" s="2" t="str">
        <x:v>0</x:v>
      </x:c>
      <x:c r="L1598" s="2" t="str">
        <x:v>3</x:v>
      </x:c>
      <x:c r="M1598" s="2" t="str">
        <x:v>0</x:v>
      </x:c>
      <x:c r="N1598" s="2" t="str">
        <x:v>3</x:v>
      </x:c>
      <x:c r="O1598" s="2" t="str">
        <x:v>0</x:v>
      </x:c>
      <x:c r="P1598" s="2" t="str">
        <x:v>true</x:v>
      </x:c>
      <x:c r="Q1598" s="2" t="str">
        <x:v>NA</x:v>
      </x:c>
      <x:c r="R1598" s="2" t="str">
        <x:v>0.4154170019319281</x:v>
      </x:c>
      <x:c r="S1598" s="2" t="str">
        <x:v>46.46767496420298</x:v>
      </x:c>
    </x:row>
    <x:row r="1599">
      <x:c r="A1599" s="2" t="str">
        <x:v>DE-CMP-01</x:v>
      </x:c>
      <x:c r="B1599" s="2" t="str">
        <x:v>CFG-C01</x:v>
      </x:c>
      <x:c r="C1599" s="2" t="n">
        <x:v>46227.70238086805</x:v>
      </x:c>
      <x:c r="D1599" s="2" t="str">
        <x:v>os_cfar</x:v>
      </x:c>
      <x:c r="E1599" s="2" t="str">
        <x:v>monte_carlo</x:v>
      </x:c>
      <x:c r="F1599" s="2" t="str">
        <x:v>799</x:v>
      </x:c>
      <x:c r="G1599" s="2" t="str">
        <x:v>3174302</x:v>
      </x:c>
      <x:c r="H1599" s="2" t="str">
        <x:v>2048000.0</x:v>
      </x:c>
      <x:c r="I1599" s="2" t="str">
        <x:v>8192</x:v>
      </x:c>
      <x:c r="J1599" s="2" t="str">
        <x:v>250.0</x:v>
      </x:c>
      <x:c r="K1599" s="2" t="str">
        <x:v>0</x:v>
      </x:c>
      <x:c r="L1599" s="2" t="str">
        <x:v>3</x:v>
      </x:c>
      <x:c r="M1599" s="2" t="str">
        <x:v>0</x:v>
      </x:c>
      <x:c r="N1599" s="2" t="str">
        <x:v>3</x:v>
      </x:c>
      <x:c r="O1599" s="2" t="str">
        <x:v>0</x:v>
      </x:c>
      <x:c r="P1599" s="2" t="str">
        <x:v>true</x:v>
      </x:c>
      <x:c r="Q1599" s="2" t="str">
        <x:v>NA</x:v>
      </x:c>
      <x:c r="R1599" s="2" t="str">
        <x:v>13.526290989830159</x:v>
      </x:c>
      <x:c r="S1599" s="2" t="str">
        <x:v>48.33366481114153</x:v>
      </x:c>
    </x:row>
    <x:row r="1600">
      <x:c r="A1600" s="2" t="str">
        <x:v>DE-CMP-01</x:v>
      </x:c>
      <x:c r="B1600" s="2" t="str">
        <x:v>CFG-C01</x:v>
      </x:c>
      <x:c r="C1600" s="2" t="n">
        <x:v>46227.70238086805</x:v>
      </x:c>
      <x:c r="D1600" s="2" t="str">
        <x:v>os_cfar</x:v>
      </x:c>
      <x:c r="E1600" s="2" t="str">
        <x:v>monte_carlo</x:v>
      </x:c>
      <x:c r="F1600" s="2" t="str">
        <x:v>800</x:v>
      </x:c>
      <x:c r="G1600" s="2" t="str">
        <x:v>3174303</x:v>
      </x:c>
      <x:c r="H1600" s="2" t="str">
        <x:v>2048000.0</x:v>
      </x:c>
      <x:c r="I1600" s="2" t="str">
        <x:v>8192</x:v>
      </x:c>
      <x:c r="J1600" s="2" t="str">
        <x:v>250.0</x:v>
      </x:c>
      <x:c r="K1600" s="2" t="str">
        <x:v>2</x:v>
      </x:c>
      <x:c r="L1600" s="2" t="str">
        <x:v>3</x:v>
      </x:c>
      <x:c r="M1600" s="2" t="str">
        <x:v>2</x:v>
      </x:c>
      <x:c r="N1600" s="2" t="str">
        <x:v>1</x:v>
      </x:c>
      <x:c r="O1600" s="2" t="str">
        <x:v>0</x:v>
      </x:c>
      <x:c r="P1600" s="2" t="str">
        <x:v>true</x:v>
      </x:c>
      <x:c r="Q1600" s="2" t="str">
        <x:v>0.000000000;0.000000000</x:v>
      </x:c>
      <x:c r="R1600" s="2" t="str">
        <x:v>13.507541007129475</x:v>
      </x:c>
      <x:c r="S1600" s="2" t="str">
        <x:v>48.2114024824606</x:v>
      </x:c>
    </x:row>
    <x:row r="1601">
      <x:c r="A1601" s="2" t="str">
        <x:v>DE-CMP-01</x:v>
      </x:c>
      <x:c r="B1601" s="2" t="str">
        <x:v>CFG-C01</x:v>
      </x:c>
      <x:c r="C1601" s="2" t="n">
        <x:v>46227.70238086805</x:v>
      </x:c>
      <x:c r="D1601" s="2" t="str">
        <x:v>adaptive</x:v>
      </x:c>
      <x:c r="E1601" s="2" t="str">
        <x:v>monte_carlo</x:v>
      </x:c>
      <x:c r="F1601" s="2" t="str">
        <x:v>800</x:v>
      </x:c>
      <x:c r="G1601" s="2" t="str">
        <x:v>3174303</x:v>
      </x:c>
      <x:c r="H1601" s="2" t="str">
        <x:v>2048000.0</x:v>
      </x:c>
      <x:c r="I1601" s="2" t="str">
        <x:v>8192</x:v>
      </x:c>
      <x:c r="J1601" s="2" t="str">
        <x:v>250.0</x:v>
      </x:c>
      <x:c r="K1601" s="2" t="str">
        <x:v>2</x:v>
      </x:c>
      <x:c r="L1601" s="2" t="str">
        <x:v>3</x:v>
      </x:c>
      <x:c r="M1601" s="2" t="str">
        <x:v>2</x:v>
      </x:c>
      <x:c r="N1601" s="2" t="str">
        <x:v>1</x:v>
      </x:c>
      <x:c r="O1601" s="2" t="str">
        <x:v>0</x:v>
      </x:c>
      <x:c r="P1601" s="2" t="str">
        <x:v>true</x:v>
      </x:c>
      <x:c r="Q1601" s="2" t="str">
        <x:v>0.000000000;0.000000000</x:v>
      </x:c>
      <x:c r="R1601" s="2" t="str">
        <x:v>0.41533299372531474</x:v>
      </x:c>
      <x:c r="S1601" s="2" t="str">
        <x:v>46.351670903415716</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9.670000076293945" hidden="0" customWidth="1"/>
    <x:col min="3" max="3" width="5.559999942779541" hidden="0" customWidth="1"/>
    <x:col min="4" max="4" width="14.779999732971191" hidden="0" customWidth="1"/>
    <x:col min="5" max="5" width="6.440000057220459" hidden="0" customWidth="1"/>
    <x:col min="6" max="6" width="9.5600004196167" hidden="0" customWidth="1"/>
    <x:col min="7" max="7" width="9.329999923706055" hidden="0" customWidth="1"/>
    <x:col min="8" max="8" width="11.5600004196167" hidden="0" customWidth="1"/>
    <x:col min="9" max="9" width="12" hidden="0" customWidth="1"/>
    <x:col min="10" max="10" width="12.4399995803833" hidden="0" customWidth="1"/>
    <x:col min="11" max="11" width="14.109999656677246" hidden="0" customWidth="1"/>
    <x:col min="12" max="12" width="8.329999923706055" hidden="0" customWidth="1"/>
    <x:col min="13" max="13" width="8.329999923706055" hidden="0" customWidth="1"/>
    <x:col min="14" max="14" width="13.670000076293945" hidden="0" customWidth="1"/>
    <x:col min="15" max="15" width="8.329999923706055" hidden="0" customWidth="1"/>
    <x:col min="16" max="16" width="8.329999923706055" hidden="0" customWidth="1"/>
    <x:col min="17" max="17" width="8.329999923706055" hidden="0" customWidth="1"/>
    <x:col min="18" max="18" width="3.559999942779541" hidden="0" customWidth="1"/>
    <x:col min="19" max="19" width="10.890000343322754" hidden="0" customWidth="1"/>
    <x:col min="20" max="20" width="11.890000343322754" hidden="0" customWidth="1"/>
    <x:col min="21" max="21" width="9.779999732971191" hidden="0" customWidth="1"/>
    <x:col min="22" max="22" width="18.440000534057617" hidden="0" customWidth="1"/>
    <x:col min="23" max="23" width="18.559999465942383" hidden="0" customWidth="1"/>
    <x:col min="24" max="24" width="13.109999656677246" hidden="0" customWidth="1"/>
    <x:col min="25" max="25" width="20.670000076293945" hidden="0" customWidth="1"/>
    <x:col min="26" max="26" width="21.670000076293945" hidden="0" customWidth="1"/>
    <x:col min="27" max="27" width="19.440000534057617" hidden="0" customWidth="1"/>
    <x:col min="28" max="28" width="22.780000686645508" hidden="0" customWidth="1"/>
    <x:col min="29" max="29" width="19.780000686645508" hidden="0" customWidth="1"/>
  </x:cols>
  <x:sheetData>
    <x:row r="1" ht="46" customHeight="1">
      <x:c r="A1" s="8" t="str">
        <x:v>validation_id</x:v>
      </x:c>
      <x:c r="B1" s="8" t="str">
        <x:v>configuration_id</x:v>
      </x:c>
      <x:c r="C1" s="8" t="str">
        <x:v>detector</x:v>
      </x:c>
      <x:c r="D1" s="8" t="str">
        <x:v>scenario</x:v>
      </x:c>
      <x:c r="E1" s="8" t="str">
        <x:v>trial_count</x:v>
      </x:c>
      <x:c r="F1" s="8" t="str">
        <x:v>expected_count</x:v>
      </x:c>
      <x:c r="G1" s="8" t="str">
        <x:v>detected_count</x:v>
      </x:c>
      <x:c r="H1" s="8" t="str">
        <x:v>true_positive_count</x:v>
      </x:c>
      <x:c r="I1" s="8" t="str">
        <x:v>false_positive_count</x:v>
      </x:c>
      <x:c r="J1" s="8" t="str">
        <x:v>false_negative_count</x:v>
      </x:c>
      <x:c r="K1" s="18" t="str">
        <x:v>probability_of_detection</x:v>
      </x:c>
      <x:c r="L1" s="18" t="str">
        <x:v>pd_ci95_low</x:v>
      </x:c>
      <x:c r="M1" s="18" t="str">
        <x:v>pd_ci95_high</x:v>
      </x:c>
      <x:c r="N1" s="18" t="str">
        <x:v>frame_false_alarm_rate</x:v>
      </x:c>
      <x:c r="O1" s="18" t="str">
        <x:v>pfa_ci95_low</x:v>
      </x:c>
      <x:c r="P1" s="18" t="str">
        <x:v>pfa_ci95_high</x:v>
      </x:c>
      <x:c r="Q1" s="18" t="str">
        <x:v>precision</x:v>
      </x:c>
      <x:c r="R1" s="18" t="str">
        <x:v>recall</x:v>
      </x:c>
      <x:c r="S1" s="10" t="str">
        <x:v>mean_runtime_ms</x:v>
      </x:c>
      <x:c r="T1" s="10" t="str">
        <x:v>median_runtime_ms</x:v>
      </x:c>
      <x:c r="U1" s="10" t="str">
        <x:v>p95_runtime_ms</x:v>
      </x:c>
      <x:c r="V1" s="10" t="str">
        <x:v>runtime_standard_deviation_ms</x:v>
      </x:c>
      <x:c r="W1" s="10" t="str">
        <x:v>runtime_coefficient_of_variation</x:v>
      </x:c>
      <x:c r="X1" s="10" t="str">
        <x:v>mean_detected_count</x:v>
      </x:c>
      <x:c r="Y1" s="10" t="str">
        <x:v>detected_count_standard_deviation</x:v>
      </x:c>
      <x:c r="Z1" s="10" t="str">
        <x:v>median_absolute_frequency_error_hz</x:v>
      </x:c>
      <x:c r="AA1" s="10" t="str">
        <x:v>p95_absolute_frequency_error_hz</x:v>
      </x:c>
      <x:c r="AB1" s="10" t="str">
        <x:v>frequency_error_standard_deviation_hz</x:v>
      </x:c>
      <x:c r="AC1" s="10" t="str">
        <x:v>mean_finite_threshold_median_db</x:v>
      </x:c>
    </x:row>
    <x:row r="2">
      <x:c r="A2" s="14" t="str">
        <x:v>DE-CMP-01</x:v>
      </x:c>
      <x:c r="B2" s="14" t="str">
        <x:v>CFG-C01</x:v>
      </x:c>
      <x:c r="C2" s="14" t="str">
        <x:v>adaptive</x:v>
      </x:c>
      <x:c r="D2" s="14" t="str">
        <x:v>closely_spaced_carriers</x:v>
      </x:c>
      <x:c r="E2" s="14" t="str">
        <x:v>100</x:v>
      </x:c>
      <x:c r="F2" s="14" t="str">
        <x:v>200</x:v>
      </x:c>
      <x:c r="G2" s="14" t="str">
        <x:v>300</x:v>
      </x:c>
      <x:c r="H2" s="14" t="str">
        <x:v>200</x:v>
      </x:c>
      <x:c r="I2" s="14" t="str">
        <x:v>100</x:v>
      </x:c>
      <x:c r="J2" s="14" t="str">
        <x:v>0</x:v>
      </x:c>
      <x:c r="K2" s="14" t="str">
        <x:v>1.0</x:v>
      </x:c>
      <x:c r="L2" s="14" t="str">
        <x:v>0.9811546736227335</x:v>
      </x:c>
      <x:c r="M2" s="14" t="str">
        <x:v>1.0</x:v>
      </x:c>
      <x:c r="N2" s="14" t="str">
        <x:v>1.0</x:v>
      </x:c>
      <x:c r="O2" s="14" t="str">
        <x:v>0.9630065017930143</x:v>
      </x:c>
      <x:c r="P2" s="14" t="str">
        <x:v>1.0</x:v>
      </x:c>
      <x:c r="Q2" s="14" t="str">
        <x:v>0.6666666666666666</x:v>
      </x:c>
      <x:c r="R2" s="14" t="str">
        <x:v>1.0</x:v>
      </x:c>
      <x:c r="S2" s="14" t="str">
        <x:v>0.431044169672532</x:v>
      </x:c>
      <x:c r="T2" s="14" t="str">
        <x:v>0.42737550393212587</x:v>
      </x:c>
      <x:c r="U2" s="14" t="str">
        <x:v>0.4682916965975891</x:v>
      </x:c>
      <x:c r="V2" s="14" t="str">
        <x:v>0.023172904056497426</x:v>
      </x:c>
      <x:c r="W2" s="14" t="str">
        <x:v>0.05375992922976335</x:v>
      </x:c>
      <x:c r="X2" s="14" t="str">
        <x:v>3.0</x:v>
      </x:c>
      <x:c r="Y2" s="14" t="str">
        <x:v>0.0</x:v>
      </x:c>
      <x:c r="Z2" s="14" t="str">
        <x:v>63.18604649118049</x:v>
      </x:c>
      <x:c r="AA2" s="14" t="str">
        <x:v>118.7620355312946</x:v>
      </x:c>
      <x:c r="AB2" s="14" t="str">
        <x:v>74.14518627971525</x:v>
      </x:c>
      <x:c r="AC2" s="14" t="str">
        <x:v>46.42052553248112</x:v>
      </x:c>
    </x:row>
    <x:row r="3">
      <x:c r="A3" s="14" t="str">
        <x:v>DE-CMP-01</x:v>
      </x:c>
      <x:c r="B3" s="14" t="str">
        <x:v>CFG-C01</x:v>
      </x:c>
      <x:c r="C3" s="14" t="str">
        <x:v>adaptive</x:v>
      </x:c>
      <x:c r="D3" s="14" t="str">
        <x:v>fft_edge</x:v>
      </x:c>
      <x:c r="E3" s="14" t="str">
        <x:v>100</x:v>
      </x:c>
      <x:c r="F3" s="14" t="str">
        <x:v>100</x:v>
      </x:c>
      <x:c r="G3" s="14" t="str">
        <x:v>300</x:v>
      </x:c>
      <x:c r="H3" s="14" t="str">
        <x:v>100</x:v>
      </x:c>
      <x:c r="I3" s="14" t="str">
        <x:v>200</x:v>
      </x:c>
      <x:c r="J3" s="14" t="str">
        <x:v>0</x:v>
      </x:c>
      <x:c r="K3" s="14" t="str">
        <x:v>1.0</x:v>
      </x:c>
      <x:c r="L3" s="14" t="str">
        <x:v>0.9630065017930143</x:v>
      </x:c>
      <x:c r="M3" s="14" t="str">
        <x:v>1.0</x:v>
      </x:c>
      <x:c r="N3" s="14" t="str">
        <x:v>1.0</x:v>
      </x:c>
      <x:c r="O3" s="14" t="str">
        <x:v>0.9630065017930143</x:v>
      </x:c>
      <x:c r="P3" s="14" t="str">
        <x:v>1.0</x:v>
      </x:c>
      <x:c r="Q3" s="14" t="str">
        <x:v>0.3333333333333333</x:v>
      </x:c>
      <x:c r="R3" s="14" t="str">
        <x:v>1.0</x:v>
      </x:c>
      <x:c r="S3" s="14" t="str">
        <x:v>0.42490622989134863</x:v>
      </x:c>
      <x:c r="T3" s="14" t="str">
        <x:v>0.42158399446634576</x:v>
      </x:c>
      <x:c r="U3" s="14" t="str">
        <x:v>0.46511214241036214</x:v>
      </x:c>
      <x:c r="V3" s="14" t="str">
        <x:v>0.021201214602190453</x:v>
      </x:c>
      <x:c r="W3" s="14" t="str">
        <x:v>0.049896219708550155</x:v>
      </x:c>
      <x:c r="X3" s="14" t="str">
        <x:v>3.0</x:v>
      </x:c>
      <x:c r="Y3" s="14" t="str">
        <x:v>0.0</x:v>
      </x:c>
      <x:c r="Z3" s="14" t="str">
        <x:v>68.46977634017426</x:v>
      </x:c>
      <x:c r="AA3" s="14" t="str">
        <x:v>115.33862667992831</x:v>
      </x:c>
      <x:c r="AB3" s="14" t="str">
        <x:v>73.85167728355202</x:v>
      </x:c>
      <x:c r="AC3" s="14" t="str">
        <x:v>46.43942430443245</x:v>
      </x:c>
    </x:row>
    <x:row r="4">
      <x:c r="A4" s="14" t="str">
        <x:v>DE-CMP-01</x:v>
      </x:c>
      <x:c r="B4" s="14" t="str">
        <x:v>CFG-C01</x:v>
      </x:c>
      <x:c r="C4" s="14" t="str">
        <x:v>adaptive</x:v>
      </x:c>
      <x:c r="D4" s="14" t="str">
        <x:v>monte_carlo</x:v>
      </x:c>
      <x:c r="E4" s="14" t="str">
        <x:v>100</x:v>
      </x:c>
      <x:c r="F4" s="14" t="str">
        <x:v>147</x:v>
      </x:c>
      <x:c r="G4" s="14" t="str">
        <x:v>300</x:v>
      </x:c>
      <x:c r="H4" s="14" t="str">
        <x:v>147</x:v>
      </x:c>
      <x:c r="I4" s="14" t="str">
        <x:v>153</x:v>
      </x:c>
      <x:c r="J4" s="14" t="str">
        <x:v>0</x:v>
      </x:c>
      <x:c r="K4" s="14" t="str">
        <x:v>1.0</x:v>
      </x:c>
      <x:c r="L4" s="14" t="str">
        <x:v>0.9745331366407661</x:v>
      </x:c>
      <x:c r="M4" s="14" t="str">
        <x:v>1.0</x:v>
      </x:c>
      <x:c r="N4" s="14" t="str">
        <x:v>0.71</x:v>
      </x:c>
      <x:c r="O4" s="14" t="str">
        <x:v>0.6146110882442888</x:v>
      </x:c>
      <x:c r="P4" s="14" t="str">
        <x:v>0.7898516425087772</x:v>
      </x:c>
      <x:c r="Q4" s="14" t="str">
        <x:v>0.49</x:v>
      </x:c>
      <x:c r="R4" s="14" t="str">
        <x:v>1.0</x:v>
      </x:c>
      <x:c r="S4" s="14" t="str">
        <x:v>0.4165708104846999</x:v>
      </x:c>
      <x:c r="T4" s="14" t="str">
        <x:v>0.41639549453975633</x:v>
      </x:c>
      <x:c r="U4" s="14" t="str">
        <x:v>0.44060589498258196</x:v>
      </x:c>
      <x:c r="V4" s="14" t="str">
        <x:v>0.015503368170721224</x:v>
      </x:c>
      <x:c r="W4" s="14" t="str">
        <x:v>0.03721664547902989</x:v>
      </x:c>
      <x:c r="X4" s="14" t="str">
        <x:v>3.0</x:v>
      </x:c>
      <x:c r="Y4" s="14" t="str">
        <x:v>0.0</x:v>
      </x:c>
      <x:c r="Z4" s="14" t="str">
        <x:v>0.0</x:v>
      </x:c>
      <x:c r="AA4" s="14" t="str">
        <x:v>0.0</x:v>
      </x:c>
      <x:c r="AB4" s="14" t="str">
        <x:v>0.0</x:v>
      </x:c>
      <x:c r="AC4" s="14" t="str">
        <x:v>46.4147772350378</x:v>
      </x:c>
    </x:row>
    <x:row r="5">
      <x:c r="A5" s="14" t="str">
        <x:v>DE-CMP-01</x:v>
      </x:c>
      <x:c r="B5" s="14" t="str">
        <x:v>CFG-C01</x:v>
      </x:c>
      <x:c r="C5" s="14" t="str">
        <x:v>adaptive</x:v>
      </x:c>
      <x:c r="D5" s="14" t="str">
        <x:v>multiple_carriers</x:v>
      </x:c>
      <x:c r="E5" s="14" t="str">
        <x:v>100</x:v>
      </x:c>
      <x:c r="F5" s="14" t="str">
        <x:v>300</x:v>
      </x:c>
      <x:c r="G5" s="14" t="str">
        <x:v>300</x:v>
      </x:c>
      <x:c r="H5" s="14" t="str">
        <x:v>300</x:v>
      </x:c>
      <x:c r="I5" s="14" t="str">
        <x:v>0</x:v>
      </x:c>
      <x:c r="J5" s="14" t="str">
        <x:v>0</x:v>
      </x:c>
      <x:c r="K5" s="14" t="str">
        <x:v>1.0</x:v>
      </x:c>
      <x:c r="L5" s="14" t="str">
        <x:v>0.9873570287754538</x:v>
      </x:c>
      <x:c r="M5" s="14" t="str">
        <x:v>0.9999999999999998</x:v>
      </x:c>
      <x:c r="N5" s="14" t="str">
        <x:v>0.0</x:v>
      </x:c>
      <x:c r="O5" s="14" t="str">
        <x:v>3.469446951953614e-18</x:v>
      </x:c>
      <x:c r="P5" s="14" t="str">
        <x:v>0.03699349820698568</x:v>
      </x:c>
      <x:c r="Q5" s="14" t="str">
        <x:v>1.0</x:v>
      </x:c>
      <x:c r="R5" s="14" t="str">
        <x:v>1.0</x:v>
      </x:c>
      <x:c r="S5" s="14" t="str">
        <x:v>0.42082547035533935</x:v>
      </x:c>
      <x:c r="T5" s="14" t="str">
        <x:v>0.41770850657485425</x:v>
      </x:c>
      <x:c r="U5" s="14" t="str">
        <x:v>0.45585830448544584</x:v>
      </x:c>
      <x:c r="V5" s="14" t="str">
        <x:v>0.02171845257886061</x:v>
      </x:c>
      <x:c r="W5" s="14" t="str">
        <x:v>0.05160916842918715</x:v>
      </x:c>
      <x:c r="X5" s="14" t="str">
        <x:v>3.0</x:v>
      </x:c>
      <x:c r="Y5" s="14" t="str">
        <x:v>0.0</x:v>
      </x:c>
      <x:c r="Z5" s="14" t="str">
        <x:v>68.06651688904402</x:v>
      </x:c>
      <x:c r="AA5" s="14" t="str">
        <x:v>125.6699976719889</x:v>
      </x:c>
      <x:c r="AB5" s="14" t="str">
        <x:v>75.87111446896807</x:v>
      </x:c>
      <x:c r="AC5" s="14" t="str">
        <x:v>46.428854561924425</x:v>
      </x:c>
    </x:row>
    <x:row r="6">
      <x:c r="A6" s="14" t="str">
        <x:v>DE-CMP-01</x:v>
      </x:c>
      <x:c r="B6" s="14" t="str">
        <x:v>CFG-C01</x:v>
      </x:c>
      <x:c r="C6" s="14" t="str">
        <x:v>adaptive</x:v>
      </x:c>
      <x:c r="D6" s="14" t="str">
        <x:v>noise_only</x:v>
      </x:c>
      <x:c r="E6" s="14" t="str">
        <x:v>100</x:v>
      </x:c>
      <x:c r="F6" s="14" t="str">
        <x:v>0</x:v>
      </x:c>
      <x:c r="G6" s="14" t="str">
        <x:v>300</x:v>
      </x:c>
      <x:c r="H6" s="14" t="str">
        <x:v>0</x:v>
      </x:c>
      <x:c r="I6" s="14" t="str">
        <x:v>300</x:v>
      </x:c>
      <x:c r="J6" s="14" t="str">
        <x:v>0</x:v>
      </x:c>
      <x:c r="K6" s="14" t="str">
        <x:v>NA</x:v>
      </x:c>
      <x:c r="L6" s="14" t="str">
        <x:v>NA</x:v>
      </x:c>
      <x:c r="M6" s="14" t="str">
        <x:v>NA</x:v>
      </x:c>
      <x:c r="N6" s="14" t="str">
        <x:v>1.0</x:v>
      </x:c>
      <x:c r="O6" s="14" t="str">
        <x:v>0.9630065017930143</x:v>
      </x:c>
      <x:c r="P6" s="14" t="str">
        <x:v>1.0</x:v>
      </x:c>
      <x:c r="Q6" s="14" t="str">
        <x:v>0.0</x:v>
      </x:c>
      <x:c r="R6" s="14" t="str">
        <x:v>NA</x:v>
      </x:c>
      <x:c r="S6" s="14" t="str">
        <x:v>0.4335016901313793</x:v>
      </x:c>
      <x:c r="T6" s="14" t="str">
        <x:v>0.428542000008747</x:v>
      </x:c>
      <x:c r="U6" s="14" t="str">
        <x:v>0.5070124985650182</x:v>
      </x:c>
      <x:c r="V6" s="14" t="str">
        <x:v>0.034991864449929036</x:v>
      </x:c>
      <x:c r="W6" s="14" t="str">
        <x:v>0.08071909578789467</x:v>
      </x:c>
      <x:c r="X6" s="14" t="str">
        <x:v>3.0</x:v>
      </x:c>
      <x:c r="Y6" s="14" t="str">
        <x:v>0.0</x:v>
      </x:c>
      <x:c r="Z6" s="14" t="str">
        <x:v>NA</x:v>
      </x:c>
      <x:c r="AA6" s="14" t="str">
        <x:v>NA</x:v>
      </x:c>
      <x:c r="AB6" s="14" t="str">
        <x:v>NA</x:v>
      </x:c>
      <x:c r="AC6" s="14" t="str">
        <x:v>46.42731694484323</x:v>
      </x:c>
    </x:row>
    <x:row r="7">
      <x:c r="A7" s="14" t="str">
        <x:v>DE-CMP-01</x:v>
      </x:c>
      <x:c r="B7" s="14" t="str">
        <x:v>CFG-C01</x:v>
      </x:c>
      <x:c r="C7" s="14" t="str">
        <x:v>adaptive</x:v>
      </x:c>
      <x:c r="D7" s="14" t="str">
        <x:v>single_carrier</x:v>
      </x:c>
      <x:c r="E7" s="14" t="str">
        <x:v>100</x:v>
      </x:c>
      <x:c r="F7" s="14" t="str">
        <x:v>100</x:v>
      </x:c>
      <x:c r="G7" s="14" t="str">
        <x:v>300</x:v>
      </x:c>
      <x:c r="H7" s="14" t="str">
        <x:v>100</x:v>
      </x:c>
      <x:c r="I7" s="14" t="str">
        <x:v>200</x:v>
      </x:c>
      <x:c r="J7" s="14" t="str">
        <x:v>0</x:v>
      </x:c>
      <x:c r="K7" s="14" t="str">
        <x:v>1.0</x:v>
      </x:c>
      <x:c r="L7" s="14" t="str">
        <x:v>0.9630065017930143</x:v>
      </x:c>
      <x:c r="M7" s="14" t="str">
        <x:v>1.0</x:v>
      </x:c>
      <x:c r="N7" s="14" t="str">
        <x:v>1.0</x:v>
      </x:c>
      <x:c r="O7" s="14" t="str">
        <x:v>0.9630065017930143</x:v>
      </x:c>
      <x:c r="P7" s="14" t="str">
        <x:v>1.0</x:v>
      </x:c>
      <x:c r="Q7" s="14" t="str">
        <x:v>0.3333333333333333</x:v>
      </x:c>
      <x:c r="R7" s="14" t="str">
        <x:v>1.0</x:v>
      </x:c>
      <x:c r="S7" s="14" t="str">
        <x:v>0.41171579039655626</x:v>
      </x:c>
      <x:c r="T7" s="14" t="str">
        <x:v>0.410624998039566</x:v>
      </x:c>
      <x:c r="U7" s="14" t="str">
        <x:v>0.43513509808690287</x:v>
      </x:c>
      <x:c r="V7" s="14" t="str">
        <x:v>0.017792421133616208</x:v>
      </x:c>
      <x:c r="W7" s="14" t="str">
        <x:v>0.04321529936094729</x:v>
      </x:c>
      <x:c r="X7" s="14" t="str">
        <x:v>3.0</x:v>
      </x:c>
      <x:c r="Y7" s="14" t="str">
        <x:v>0.0</x:v>
      </x:c>
      <x:c r="Z7" s="14" t="str">
        <x:v>64.21693783971449</x:v>
      </x:c>
      <x:c r="AA7" s="14" t="str">
        <x:v>121.6524109802851</x:v>
      </x:c>
      <x:c r="AB7" s="14" t="str">
        <x:v>73.72691689301247</x:v>
      </x:c>
      <x:c r="AC7" s="14" t="str">
        <x:v>46.41610145514237</x:v>
      </x:c>
    </x:row>
    <x:row r="8">
      <x:c r="A8" s="14" t="str">
        <x:v>DE-CMP-01</x:v>
      </x:c>
      <x:c r="B8" s="14" t="str">
        <x:v>CFG-C01</x:v>
      </x:c>
      <x:c r="C8" s="14" t="str">
        <x:v>adaptive</x:v>
      </x:c>
      <x:c r="D8" s="14" t="str">
        <x:v>variable_noise_floor</x:v>
      </x:c>
      <x:c r="E8" s="14" t="str">
        <x:v>100</x:v>
      </x:c>
      <x:c r="F8" s="14" t="str">
        <x:v>100</x:v>
      </x:c>
      <x:c r="G8" s="14" t="str">
        <x:v>300</x:v>
      </x:c>
      <x:c r="H8" s="14" t="str">
        <x:v>100</x:v>
      </x:c>
      <x:c r="I8" s="14" t="str">
        <x:v>200</x:v>
      </x:c>
      <x:c r="J8" s="14" t="str">
        <x:v>0</x:v>
      </x:c>
      <x:c r="K8" s="14" t="str">
        <x:v>1.0</x:v>
      </x:c>
      <x:c r="L8" s="14" t="str">
        <x:v>0.9630065017930143</x:v>
      </x:c>
      <x:c r="M8" s="14" t="str">
        <x:v>1.0</x:v>
      </x:c>
      <x:c r="N8" s="14" t="str">
        <x:v>1.0</x:v>
      </x:c>
      <x:c r="O8" s="14" t="str">
        <x:v>0.9630065017930143</x:v>
      </x:c>
      <x:c r="P8" s="14" t="str">
        <x:v>1.0</x:v>
      </x:c>
      <x:c r="Q8" s="14" t="str">
        <x:v>0.3333333333333333</x:v>
      </x:c>
      <x:c r="R8" s="14" t="str">
        <x:v>1.0</x:v>
      </x:c>
      <x:c r="S8" s="14" t="str">
        <x:v>0.4311399511061609</x:v>
      </x:c>
      <x:c r="T8" s="14" t="str">
        <x:v>0.42920799751300365</x:v>
      </x:c>
      <x:c r="U8" s="14" t="str">
        <x:v>0.45790769945597276</x:v>
      </x:c>
      <x:c r="V8" s="14" t="str">
        <x:v>0.019459753882631353</x:v>
      </x:c>
      <x:c r="W8" s="14" t="str">
        <x:v>0.04513558493640901</x:v>
      </x:c>
      <x:c r="X8" s="14" t="str">
        <x:v>3.0</x:v>
      </x:c>
      <x:c r="Y8" s="14" t="str">
        <x:v>0.0</x:v>
      </x:c>
      <x:c r="Z8" s="14" t="str">
        <x:v>73.5231846849399</x:v>
      </x:c>
      <x:c r="AA8" s="14" t="str">
        <x:v>120.8418796936443</x:v>
      </x:c>
      <x:c r="AB8" s="14" t="str">
        <x:v>75.59195005408358</x:v>
      </x:c>
      <x:c r="AC8" s="14" t="str">
        <x:v>46.21372475696789</x:v>
      </x:c>
    </x:row>
    <x:row r="9">
      <x:c r="A9" s="14" t="str">
        <x:v>DE-CMP-01</x:v>
      </x:c>
      <x:c r="B9" s="14" t="str">
        <x:v>CFG-C01</x:v>
      </x:c>
      <x:c r="C9" s="14" t="str">
        <x:v>adaptive</x:v>
      </x:c>
      <x:c r="D9" s="14" t="str">
        <x:v>weak_beside_strong</x:v>
      </x:c>
      <x:c r="E9" s="14" t="str">
        <x:v>100</x:v>
      </x:c>
      <x:c r="F9" s="14" t="str">
        <x:v>200</x:v>
      </x:c>
      <x:c r="G9" s="14" t="str">
        <x:v>300</x:v>
      </x:c>
      <x:c r="H9" s="14" t="str">
        <x:v>198</x:v>
      </x:c>
      <x:c r="I9" s="14" t="str">
        <x:v>102</x:v>
      </x:c>
      <x:c r="J9" s="14" t="str">
        <x:v>2</x:v>
      </x:c>
      <x:c r="K9" s="14" t="str">
        <x:v>0.99</x:v>
      </x:c>
      <x:c r="L9" s="14" t="str">
        <x:v>0.9642782382838231</x:v>
      </x:c>
      <x:c r="M9" s="14" t="str">
        <x:v>0.9972533418664555</x:v>
      </x:c>
      <x:c r="N9" s="14" t="str">
        <x:v>1.0</x:v>
      </x:c>
      <x:c r="O9" s="14" t="str">
        <x:v>0.9630065017930143</x:v>
      </x:c>
      <x:c r="P9" s="14" t="str">
        <x:v>1.0</x:v>
      </x:c>
      <x:c r="Q9" s="14" t="str">
        <x:v>0.66</x:v>
      </x:c>
      <x:c r="R9" s="14" t="str">
        <x:v>0.99</x:v>
      </x:c>
      <x:c r="S9" s="14" t="str">
        <x:v>0.4251849809952546</x:v>
      </x:c>
      <x:c r="T9" s="14" t="str">
        <x:v>0.42243750067427754</x:v>
      </x:c>
      <x:c r="U9" s="14" t="str">
        <x:v>0.4666292130423243</x:v>
      </x:c>
      <x:c r="V9" s="14" t="str">
        <x:v>0.031640947830639414</x:v>
      </x:c>
      <x:c r="W9" s="14" t="str">
        <x:v>0.07441689910254039</x:v>
      </x:c>
      <x:c r="X9" s="14" t="str">
        <x:v>3.0</x:v>
      </x:c>
      <x:c r="Y9" s="14" t="str">
        <x:v>0.0</x:v>
      </x:c>
      <x:c r="Z9" s="14" t="str">
        <x:v>56.35752260330085</x:v>
      </x:c>
      <x:c r="AA9" s="14" t="str">
        <x:v>124.36632278756133</x:v>
      </x:c>
      <x:c r="AB9" s="14" t="str">
        <x:v>72.98188973722175</x:v>
      </x:c>
      <x:c r="AC9" s="14" t="str">
        <x:v>46.43007827039055</x:v>
      </x:c>
    </x:row>
    <x:row r="10">
      <x:c r="A10" s="14" t="str">
        <x:v>DE-CMP-01</x:v>
      </x:c>
      <x:c r="B10" s="14" t="str">
        <x:v>CFG-C01</x:v>
      </x:c>
      <x:c r="C10" s="14" t="str">
        <x:v>os_cfar</x:v>
      </x:c>
      <x:c r="D10" s="14" t="str">
        <x:v>closely_spaced_carriers</x:v>
      </x:c>
      <x:c r="E10" s="14" t="str">
        <x:v>100</x:v>
      </x:c>
      <x:c r="F10" s="14" t="str">
        <x:v>200</x:v>
      </x:c>
      <x:c r="G10" s="14" t="str">
        <x:v>300</x:v>
      </x:c>
      <x:c r="H10" s="14" t="str">
        <x:v>200</x:v>
      </x:c>
      <x:c r="I10" s="14" t="str">
        <x:v>100</x:v>
      </x:c>
      <x:c r="J10" s="14" t="str">
        <x:v>0</x:v>
      </x:c>
      <x:c r="K10" s="14" t="str">
        <x:v>1.0</x:v>
      </x:c>
      <x:c r="L10" s="14" t="str">
        <x:v>0.9811546736227335</x:v>
      </x:c>
      <x:c r="M10" s="14" t="str">
        <x:v>1.0</x:v>
      </x:c>
      <x:c r="N10" s="14" t="str">
        <x:v>1.0</x:v>
      </x:c>
      <x:c r="O10" s="14" t="str">
        <x:v>0.9630065017930143</x:v>
      </x:c>
      <x:c r="P10" s="14" t="str">
        <x:v>1.0</x:v>
      </x:c>
      <x:c r="Q10" s="14" t="str">
        <x:v>0.6666666666666666</x:v>
      </x:c>
      <x:c r="R10" s="14" t="str">
        <x:v>1.0</x:v>
      </x:c>
      <x:c r="S10" s="14" t="str">
        <x:v>13.850832030002493</x:v>
      </x:c>
      <x:c r="T10" s="14" t="str">
        <x:v>13.843270498909988</x:v>
      </x:c>
      <x:c r="U10" s="14" t="str">
        <x:v>14.1127243405208</x:v>
      </x:c>
      <x:c r="V10" s="14" t="str">
        <x:v>0.15965257505596356</x:v>
      </x:c>
      <x:c r="W10" s="14" t="str">
        <x:v>0.0115265692855229</x:v>
      </x:c>
      <x:c r="X10" s="14" t="str">
        <x:v>3.0</x:v>
      </x:c>
      <x:c r="Y10" s="14" t="str">
        <x:v>0.0</x:v>
      </x:c>
      <x:c r="Z10" s="14" t="str">
        <x:v>63.18604649118049</x:v>
      </x:c>
      <x:c r="AA10" s="14" t="str">
        <x:v>118.7620355312946</x:v>
      </x:c>
      <x:c r="AB10" s="14" t="str">
        <x:v>74.14518627971525</x:v>
      </x:c>
      <x:c r="AC10" s="14" t="str">
        <x:v>48.21662453217787</x:v>
      </x:c>
    </x:row>
    <x:row r="11">
      <x:c r="A11" s="14" t="str">
        <x:v>DE-CMP-01</x:v>
      </x:c>
      <x:c r="B11" s="14" t="str">
        <x:v>CFG-C01</x:v>
      </x:c>
      <x:c r="C11" s="14" t="str">
        <x:v>os_cfar</x:v>
      </x:c>
      <x:c r="D11" s="14" t="str">
        <x:v>fft_edge</x:v>
      </x:c>
      <x:c r="E11" s="14" t="str">
        <x:v>100</x:v>
      </x:c>
      <x:c r="F11" s="14" t="str">
        <x:v>100</x:v>
      </x:c>
      <x:c r="G11" s="14" t="str">
        <x:v>300</x:v>
      </x:c>
      <x:c r="H11" s="14" t="str">
        <x:v>100</x:v>
      </x:c>
      <x:c r="I11" s="14" t="str">
        <x:v>200</x:v>
      </x:c>
      <x:c r="J11" s="14" t="str">
        <x:v>0</x:v>
      </x:c>
      <x:c r="K11" s="14" t="str">
        <x:v>1.0</x:v>
      </x:c>
      <x:c r="L11" s="14" t="str">
        <x:v>0.9630065017930143</x:v>
      </x:c>
      <x:c r="M11" s="14" t="str">
        <x:v>1.0</x:v>
      </x:c>
      <x:c r="N11" s="14" t="str">
        <x:v>1.0</x:v>
      </x:c>
      <x:c r="O11" s="14" t="str">
        <x:v>0.9630065017930143</x:v>
      </x:c>
      <x:c r="P11" s="14" t="str">
        <x:v>1.0</x:v>
      </x:c>
      <x:c r="Q11" s="14" t="str">
        <x:v>0.3333333333333333</x:v>
      </x:c>
      <x:c r="R11" s="14" t="str">
        <x:v>1.0</x:v>
      </x:c>
      <x:c r="S11" s="14" t="str">
        <x:v>13.901492489676457</x:v>
      </x:c>
      <x:c r="T11" s="14" t="str">
        <x:v>13.892458504415117</x:v>
      </x:c>
      <x:c r="U11" s="14" t="str">
        <x:v>14.165266990312375</x:v>
      </x:c>
      <x:c r="V11" s="14" t="str">
        <x:v>0.14977174396379173</x:v>
      </x:c>
      <x:c r="W11" s="14" t="str">
        <x:v>0.010773788791024806</x:v>
      </x:c>
      <x:c r="X11" s="14" t="str">
        <x:v>3.0</x:v>
      </x:c>
      <x:c r="Y11" s="14" t="str">
        <x:v>0.0</x:v>
      </x:c>
      <x:c r="Z11" s="14" t="str">
        <x:v>68.46977634017426</x:v>
      </x:c>
      <x:c r="AA11" s="14" t="str">
        <x:v>115.33862667992831</x:v>
      </x:c>
      <x:c r="AB11" s="14" t="str">
        <x:v>73.85167728355202</x:v>
      </x:c>
      <x:c r="AC11" s="14" t="str">
        <x:v>48.22455088794872</x:v>
      </x:c>
    </x:row>
    <x:row r="12">
      <x:c r="A12" s="14" t="str">
        <x:v>DE-CMP-01</x:v>
      </x:c>
      <x:c r="B12" s="14" t="str">
        <x:v>CFG-C01</x:v>
      </x:c>
      <x:c r="C12" s="14" t="str">
        <x:v>os_cfar</x:v>
      </x:c>
      <x:c r="D12" s="14" t="str">
        <x:v>monte_carlo</x:v>
      </x:c>
      <x:c r="E12" s="14" t="str">
        <x:v>100</x:v>
      </x:c>
      <x:c r="F12" s="14" t="str">
        <x:v>147</x:v>
      </x:c>
      <x:c r="G12" s="14" t="str">
        <x:v>300</x:v>
      </x:c>
      <x:c r="H12" s="14" t="str">
        <x:v>147</x:v>
      </x:c>
      <x:c r="I12" s="14" t="str">
        <x:v>153</x:v>
      </x:c>
      <x:c r="J12" s="14" t="str">
        <x:v>0</x:v>
      </x:c>
      <x:c r="K12" s="14" t="str">
        <x:v>1.0</x:v>
      </x:c>
      <x:c r="L12" s="14" t="str">
        <x:v>0.9745331366407661</x:v>
      </x:c>
      <x:c r="M12" s="14" t="str">
        <x:v>1.0</x:v>
      </x:c>
      <x:c r="N12" s="14" t="str">
        <x:v>0.71</x:v>
      </x:c>
      <x:c r="O12" s="14" t="str">
        <x:v>0.6146110882442888</x:v>
      </x:c>
      <x:c r="P12" s="14" t="str">
        <x:v>0.7898516425087772</x:v>
      </x:c>
      <x:c r="Q12" s="14" t="str">
        <x:v>0.49</x:v>
      </x:c>
      <x:c r="R12" s="14" t="str">
        <x:v>1.0</x:v>
      </x:c>
      <x:c r="S12" s="14" t="str">
        <x:v>13.659938660712214</x:v>
      </x:c>
      <x:c r="T12" s="14" t="str">
        <x:v>13.638749500387348</x:v>
      </x:c>
      <x:c r="U12" s="14" t="str">
        <x:v>13.865653852553805</x:v>
      </x:c>
      <x:c r="V12" s="14" t="str">
        <x:v>0.12389827430670396</x:v>
      </x:c>
      <x:c r="W12" s="14" t="str">
        <x:v>0.009070192581687921</x:v>
      </x:c>
      <x:c r="X12" s="14" t="str">
        <x:v>3.0</x:v>
      </x:c>
      <x:c r="Y12" s="14" t="str">
        <x:v>0.0</x:v>
      </x:c>
      <x:c r="Z12" s="14" t="str">
        <x:v>0.0</x:v>
      </x:c>
      <x:c r="AA12" s="14" t="str">
        <x:v>0.0</x:v>
      </x:c>
      <x:c r="AB12" s="14" t="str">
        <x:v>0.0</x:v>
      </x:c>
      <x:c r="AC12" s="14" t="str">
        <x:v>48.22144278814513</x:v>
      </x:c>
    </x:row>
    <x:row r="13">
      <x:c r="A13" s="14" t="str">
        <x:v>DE-CMP-01</x:v>
      </x:c>
      <x:c r="B13" s="14" t="str">
        <x:v>CFG-C01</x:v>
      </x:c>
      <x:c r="C13" s="14" t="str">
        <x:v>os_cfar</x:v>
      </x:c>
      <x:c r="D13" s="14" t="str">
        <x:v>multiple_carriers</x:v>
      </x:c>
      <x:c r="E13" s="14" t="str">
        <x:v>100</x:v>
      </x:c>
      <x:c r="F13" s="14" t="str">
        <x:v>300</x:v>
      </x:c>
      <x:c r="G13" s="14" t="str">
        <x:v>300</x:v>
      </x:c>
      <x:c r="H13" s="14" t="str">
        <x:v>300</x:v>
      </x:c>
      <x:c r="I13" s="14" t="str">
        <x:v>0</x:v>
      </x:c>
      <x:c r="J13" s="14" t="str">
        <x:v>0</x:v>
      </x:c>
      <x:c r="K13" s="14" t="str">
        <x:v>1.0</x:v>
      </x:c>
      <x:c r="L13" s="14" t="str">
        <x:v>0.9873570287754538</x:v>
      </x:c>
      <x:c r="M13" s="14" t="str">
        <x:v>0.9999999999999998</x:v>
      </x:c>
      <x:c r="N13" s="14" t="str">
        <x:v>0.0</x:v>
      </x:c>
      <x:c r="O13" s="14" t="str">
        <x:v>3.469446951953614e-18</x:v>
      </x:c>
      <x:c r="P13" s="14" t="str">
        <x:v>0.03699349820698568</x:v>
      </x:c>
      <x:c r="Q13" s="14" t="str">
        <x:v>1.0</x:v>
      </x:c>
      <x:c r="R13" s="14" t="str">
        <x:v>1.0</x:v>
      </x:c>
      <x:c r="S13" s="14" t="str">
        <x:v>13.831519531668164</x:v>
      </x:c>
      <x:c r="T13" s="14" t="str">
        <x:v>13.82095799635863</x:v>
      </x:c>
      <x:c r="U13" s="14" t="str">
        <x:v>14.046154152310919</x:v>
      </x:c>
      <x:c r="V13" s="14" t="str">
        <x:v>0.12487731400982843</x:v>
      </x:c>
      <x:c r="W13" s="14" t="str">
        <x:v>0.00902845950684693</x:v>
      </x:c>
      <x:c r="X13" s="14" t="str">
        <x:v>3.0</x:v>
      </x:c>
      <x:c r="Y13" s="14" t="str">
        <x:v>0.0</x:v>
      </x:c>
      <x:c r="Z13" s="14" t="str">
        <x:v>68.06651688904402</x:v>
      </x:c>
      <x:c r="AA13" s="14" t="str">
        <x:v>125.6699976719889</x:v>
      </x:c>
      <x:c r="AB13" s="14" t="str">
        <x:v>75.87111446896807</x:v>
      </x:c>
      <x:c r="AC13" s="14" t="str">
        <x:v>48.23627339512973</x:v>
      </x:c>
    </x:row>
    <x:row r="14">
      <x:c r="A14" s="14" t="str">
        <x:v>DE-CMP-01</x:v>
      </x:c>
      <x:c r="B14" s="14" t="str">
        <x:v>CFG-C01</x:v>
      </x:c>
      <x:c r="C14" s="14" t="str">
        <x:v>os_cfar</x:v>
      </x:c>
      <x:c r="D14" s="14" t="str">
        <x:v>noise_only</x:v>
      </x:c>
      <x:c r="E14" s="14" t="str">
        <x:v>100</x:v>
      </x:c>
      <x:c r="F14" s="14" t="str">
        <x:v>0</x:v>
      </x:c>
      <x:c r="G14" s="14" t="str">
        <x:v>300</x:v>
      </x:c>
      <x:c r="H14" s="14" t="str">
        <x:v>0</x:v>
      </x:c>
      <x:c r="I14" s="14" t="str">
        <x:v>300</x:v>
      </x:c>
      <x:c r="J14" s="14" t="str">
        <x:v>0</x:v>
      </x:c>
      <x:c r="K14" s="14" t="str">
        <x:v>NA</x:v>
      </x:c>
      <x:c r="L14" s="14" t="str">
        <x:v>NA</x:v>
      </x:c>
      <x:c r="M14" s="14" t="str">
        <x:v>NA</x:v>
      </x:c>
      <x:c r="N14" s="14" t="str">
        <x:v>1.0</x:v>
      </x:c>
      <x:c r="O14" s="14" t="str">
        <x:v>0.9630065017930143</x:v>
      </x:c>
      <x:c r="P14" s="14" t="str">
        <x:v>1.0</x:v>
      </x:c>
      <x:c r="Q14" s="14" t="str">
        <x:v>0.0</x:v>
      </x:c>
      <x:c r="R14" s="14" t="str">
        <x:v>NA</x:v>
      </x:c>
      <x:c r="S14" s="14" t="str">
        <x:v>13.867807050264673</x:v>
      </x:c>
      <x:c r="T14" s="14" t="str">
        <x:v>13.832354503392708</x:v>
      </x:c>
      <x:c r="U14" s="14" t="str">
        <x:v>14.332929150987184</x:v>
      </x:c>
      <x:c r="V14" s="14" t="str">
        <x:v>0.2756562218006628</x:v>
      </x:c>
      <x:c r="W14" s="14" t="str">
        <x:v>0.019877419753644595</x:v>
      </x:c>
      <x:c r="X14" s="14" t="str">
        <x:v>3.0</x:v>
      </x:c>
      <x:c r="Y14" s="14" t="str">
        <x:v>0.0</x:v>
      </x:c>
      <x:c r="Z14" s="14" t="str">
        <x:v>NA</x:v>
      </x:c>
      <x:c r="AA14" s="14" t="str">
        <x:v>NA</x:v>
      </x:c>
      <x:c r="AB14" s="14" t="str">
        <x:v>NA</x:v>
      </x:c>
      <x:c r="AC14" s="14" t="str">
        <x:v>48.211829038541836</x:v>
      </x:c>
    </x:row>
    <x:row r="15">
      <x:c r="A15" s="14" t="str">
        <x:v>DE-CMP-01</x:v>
      </x:c>
      <x:c r="B15" s="14" t="str">
        <x:v>CFG-C01</x:v>
      </x:c>
      <x:c r="C15" s="14" t="str">
        <x:v>os_cfar</x:v>
      </x:c>
      <x:c r="D15" s="14" t="str">
        <x:v>single_carrier</x:v>
      </x:c>
      <x:c r="E15" s="14" t="str">
        <x:v>100</x:v>
      </x:c>
      <x:c r="F15" s="14" t="str">
        <x:v>100</x:v>
      </x:c>
      <x:c r="G15" s="14" t="str">
        <x:v>300</x:v>
      </x:c>
      <x:c r="H15" s="14" t="str">
        <x:v>100</x:v>
      </x:c>
      <x:c r="I15" s="14" t="str">
        <x:v>200</x:v>
      </x:c>
      <x:c r="J15" s="14" t="str">
        <x:v>0</x:v>
      </x:c>
      <x:c r="K15" s="14" t="str">
        <x:v>1.0</x:v>
      </x:c>
      <x:c r="L15" s="14" t="str">
        <x:v>0.9630065017930143</x:v>
      </x:c>
      <x:c r="M15" s="14" t="str">
        <x:v>1.0</x:v>
      </x:c>
      <x:c r="N15" s="14" t="str">
        <x:v>1.0</x:v>
      </x:c>
      <x:c r="O15" s="14" t="str">
        <x:v>0.9630065017930143</x:v>
      </x:c>
      <x:c r="P15" s="14" t="str">
        <x:v>1.0</x:v>
      </x:c>
      <x:c r="Q15" s="14" t="str">
        <x:v>0.3333333333333333</x:v>
      </x:c>
      <x:c r="R15" s="14" t="str">
        <x:v>1.0</x:v>
      </x:c>
      <x:c r="S15" s="14" t="str">
        <x:v>13.88826333990437</x:v>
      </x:c>
      <x:c r="T15" s="14" t="str">
        <x:v>13.893416500650346</x:v>
      </x:c>
      <x:c r="U15" s="14" t="str">
        <x:v>14.154996153229149</x:v>
      </x:c>
      <x:c r="V15" s="14" t="str">
        <x:v>0.1572212465285152</x:v>
      </x:c>
      <x:c r="W15" s="14" t="str">
        <x:v>0.011320439617297593</x:v>
      </x:c>
      <x:c r="X15" s="14" t="str">
        <x:v>3.0</x:v>
      </x:c>
      <x:c r="Y15" s="14" t="str">
        <x:v>0.0</x:v>
      </x:c>
      <x:c r="Z15" s="14" t="str">
        <x:v>64.21693783971449</x:v>
      </x:c>
      <x:c r="AA15" s="14" t="str">
        <x:v>121.6524109802851</x:v>
      </x:c>
      <x:c r="AB15" s="14" t="str">
        <x:v>73.72691689301247</x:v>
      </x:c>
      <x:c r="AC15" s="14" t="str">
        <x:v>48.21244764087366</x:v>
      </x:c>
    </x:row>
    <x:row r="16">
      <x:c r="A16" s="14" t="str">
        <x:v>DE-CMP-01</x:v>
      </x:c>
      <x:c r="B16" s="14" t="str">
        <x:v>CFG-C01</x:v>
      </x:c>
      <x:c r="C16" s="14" t="str">
        <x:v>os_cfar</x:v>
      </x:c>
      <x:c r="D16" s="14" t="str">
        <x:v>variable_noise_floor</x:v>
      </x:c>
      <x:c r="E16" s="14" t="str">
        <x:v>100</x:v>
      </x:c>
      <x:c r="F16" s="14" t="str">
        <x:v>100</x:v>
      </x:c>
      <x:c r="G16" s="14" t="str">
        <x:v>300</x:v>
      </x:c>
      <x:c r="H16" s="14" t="str">
        <x:v>100</x:v>
      </x:c>
      <x:c r="I16" s="14" t="str">
        <x:v>200</x:v>
      </x:c>
      <x:c r="J16" s="14" t="str">
        <x:v>0</x:v>
      </x:c>
      <x:c r="K16" s="14" t="str">
        <x:v>1.0</x:v>
      </x:c>
      <x:c r="L16" s="14" t="str">
        <x:v>0.9630065017930143</x:v>
      </x:c>
      <x:c r="M16" s="14" t="str">
        <x:v>1.0</x:v>
      </x:c>
      <x:c r="N16" s="14" t="str">
        <x:v>1.0</x:v>
      </x:c>
      <x:c r="O16" s="14" t="str">
        <x:v>0.9630065017930143</x:v>
      </x:c>
      <x:c r="P16" s="14" t="str">
        <x:v>1.0</x:v>
      </x:c>
      <x:c r="Q16" s="14" t="str">
        <x:v>0.3333333333333333</x:v>
      </x:c>
      <x:c r="R16" s="14" t="str">
        <x:v>1.0</x:v>
      </x:c>
      <x:c r="S16" s="14" t="str">
        <x:v>13.882416289561661</x:v>
      </x:c>
      <x:c r="T16" s="14" t="str">
        <x:v>13.87681200139923</x:v>
      </x:c>
      <x:c r="U16" s="14" t="str">
        <x:v>14.079286850028438</x:v>
      </x:c>
      <x:c r="V16" s="14" t="str">
        <x:v>0.1564683790167018</x:v>
      </x:c>
      <x:c r="W16" s="14" t="str">
        <x:v>0.011270975869982524</x:v>
      </x:c>
      <x:c r="X16" s="14" t="str">
        <x:v>3.0</x:v>
      </x:c>
      <x:c r="Y16" s="14" t="str">
        <x:v>0.0</x:v>
      </x:c>
      <x:c r="Z16" s="14" t="str">
        <x:v>73.5231846849399</x:v>
      </x:c>
      <x:c r="AA16" s="14" t="str">
        <x:v>120.8418796936443</x:v>
      </x:c>
      <x:c r="AB16" s="14" t="str">
        <x:v>75.59195005408358</x:v>
      </x:c>
      <x:c r="AC16" s="14" t="str">
        <x:v>48.193799663677964</x:v>
      </x:c>
    </x:row>
    <x:row r="17">
      <x:c r="A17" s="14" t="str">
        <x:v>DE-CMP-01</x:v>
      </x:c>
      <x:c r="B17" s="14" t="str">
        <x:v>CFG-C01</x:v>
      </x:c>
      <x:c r="C17" s="14" t="str">
        <x:v>os_cfar</x:v>
      </x:c>
      <x:c r="D17" s="14" t="str">
        <x:v>weak_beside_strong</x:v>
      </x:c>
      <x:c r="E17" s="14" t="str">
        <x:v>100</x:v>
      </x:c>
      <x:c r="F17" s="14" t="str">
        <x:v>200</x:v>
      </x:c>
      <x:c r="G17" s="14" t="str">
        <x:v>300</x:v>
      </x:c>
      <x:c r="H17" s="14" t="str">
        <x:v>198</x:v>
      </x:c>
      <x:c r="I17" s="14" t="str">
        <x:v>102</x:v>
      </x:c>
      <x:c r="J17" s="14" t="str">
        <x:v>2</x:v>
      </x:c>
      <x:c r="K17" s="14" t="str">
        <x:v>0.99</x:v>
      </x:c>
      <x:c r="L17" s="14" t="str">
        <x:v>0.9642782382838231</x:v>
      </x:c>
      <x:c r="M17" s="14" t="str">
        <x:v>0.9972533418664555</x:v>
      </x:c>
      <x:c r="N17" s="14" t="str">
        <x:v>1.0</x:v>
      </x:c>
      <x:c r="O17" s="14" t="str">
        <x:v>0.9630065017930143</x:v>
      </x:c>
      <x:c r="P17" s="14" t="str">
        <x:v>1.0</x:v>
      </x:c>
      <x:c r="Q17" s="14" t="str">
        <x:v>0.66</x:v>
      </x:c>
      <x:c r="R17" s="14" t="str">
        <x:v>0.99</x:v>
      </x:c>
      <x:c r="S17" s="14" t="str">
        <x:v>14.008373679680517</x:v>
      </x:c>
      <x:c r="T17" s="14" t="str">
        <x:v>13.98506199620897</x:v>
      </x:c>
      <x:c r="U17" s="14" t="str">
        <x:v>14.421754140494158</x:v>
      </x:c>
      <x:c r="V17" s="14" t="str">
        <x:v>0.23987083760401015</x:v>
      </x:c>
      <x:c r="W17" s="14" t="str">
        <x:v>0.017123389416142474</x:v>
      </x:c>
      <x:c r="X17" s="14" t="str">
        <x:v>3.0</x:v>
      </x:c>
      <x:c r="Y17" s="14" t="str">
        <x:v>0.0</x:v>
      </x:c>
      <x:c r="Z17" s="14" t="str">
        <x:v>56.35752260330085</x:v>
      </x:c>
      <x:c r="AA17" s="14" t="str">
        <x:v>124.36632278756133</x:v>
      </x:c>
      <x:c r="AB17" s="14" t="str">
        <x:v>72.98188973722175</x:v>
      </x:c>
      <x:c r="AC17" s="14" t="str">
        <x:v>48.21131608754924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670000076293945" hidden="0" customWidth="1"/>
    <x:col min="2" max="2" width="38" hidden="0" customWidth="1"/>
    <x:col min="3" max="3" width="52" hidden="0" customWidth="1"/>
    <x:col min="4" max="4" width="11" hidden="0" customWidth="1"/>
    <x:col min="5" max="5" width="10.220000267028809" hidden="0" customWidth="1"/>
    <x:col min="6" max="6" width="5.559999942779541" hidden="0" customWidth="1"/>
    <x:col min="7" max="7" width="48" hidden="0" customWidth="1"/>
  </x:cols>
  <x:sheetData>
    <x:row r="1" ht="34" customHeight="1">
      <x:c r="A1" s="26" t="str">
        <x:v>gate_id</x:v>
      </x:c>
      <x:c r="B1" s="26" t="str">
        <x:v>engineering_requirement</x:v>
      </x:c>
      <x:c r="C1" s="26" t="str">
        <x:v>criterion</x:v>
      </x:c>
      <x:c r="D1" s="26" t="str">
        <x:v>adaptive_value</x:v>
      </x:c>
      <x:c r="E1" s="26" t="str">
        <x:v>os_cfar_value</x:v>
      </x:c>
      <x:c r="F1" s="26" t="str">
        <x:v>passed</x:v>
      </x:c>
      <x:c r="G1" s="26" t="str">
        <x:v>interpretation</x:v>
      </x:c>
    </x:row>
    <x:row r="2">
      <x:c r="A2" s="20" t="str">
        <x:v>G1</x:v>
      </x:c>
      <x:c r="B2" s="28" t="str">
        <x:v>Material noise-only false-alarm reduction</x:v>
      </x:c>
      <x:c r="C2" s="28" t="str">
        <x:v>OS-CFAR frame Pfa &lt;= max(0.01, 50% of adaptive Pfa)</x:v>
      </x:c>
      <x:c r="D2" s="30" t="str">
        <x:v>1.0</x:v>
      </x:c>
      <x:c r="E2" s="30" t="str">
        <x:v>1.0</x:v>
      </x:c>
      <x:c r="F2" s="20" t="str">
        <x:v>false</x:v>
      </x:c>
      <x:c r="G2" s="28" t="str">
        <x:v>Tests whether OS-CFAR addresses the measured raw-specificity weakness.</x:v>
      </x:c>
    </x:row>
    <x:row r="3">
      <x:c r="A3" s="20" t="str">
        <x:v>G2</x:v>
      </x:c>
      <x:c r="B3" s="28" t="str">
        <x:v>Single-carrier sensitivity</x:v>
      </x:c>
      <x:c r="C3" s="28" t="str">
        <x:v>OS-CFAR &gt;= adaptive - 0.05</x:v>
      </x:c>
      <x:c r="D3" s="30" t="str">
        <x:v>1.0</x:v>
      </x:c>
      <x:c r="E3" s="30" t="str">
        <x:v>1.0</x:v>
      </x:c>
      <x:c r="F3" s="20" t="str">
        <x:v>true</x:v>
      </x:c>
      <x:c r="G3" s="28" t="str">
        <x:v>Bounds the permitted sensitivity loss against the production baseline.</x:v>
      </x:c>
    </x:row>
    <x:row r="4">
      <x:c r="A4" s="20" t="str">
        <x:v>G3</x:v>
      </x:c>
      <x:c r="B4" s="28" t="str">
        <x:v>Weak carrier beside strong carrier</x:v>
      </x:c>
      <x:c r="C4" s="28" t="str">
        <x:v>OS-CFAR &gt;= adaptive - 0.10</x:v>
      </x:c>
      <x:c r="D4" s="30" t="str">
        <x:v>0.99</x:v>
      </x:c>
      <x:c r="E4" s="30" t="str">
        <x:v>0.99</x:v>
      </x:c>
      <x:c r="F4" s="20" t="str">
        <x:v>true</x:v>
      </x:c>
      <x:c r="G4" s="28" t="str">
        <x:v>Bounds the permitted sensitivity loss against the production baseline.</x:v>
      </x:c>
    </x:row>
    <x:row r="5">
      <x:c r="A5" s="20" t="str">
        <x:v>G4</x:v>
      </x:c>
      <x:c r="B5" s="28" t="str">
        <x:v>Closely spaced carrier performance</x:v>
      </x:c>
      <x:c r="C5" s="28" t="str">
        <x:v>OS-CFAR &gt;= adaptive - 0.05</x:v>
      </x:c>
      <x:c r="D5" s="30" t="str">
        <x:v>1.0</x:v>
      </x:c>
      <x:c r="E5" s="30" t="str">
        <x:v>1.0</x:v>
      </x:c>
      <x:c r="F5" s="20" t="str">
        <x:v>true</x:v>
      </x:c>
      <x:c r="G5" s="28" t="str">
        <x:v>Bounds the permitted sensitivity loss against the production baseline.</x:v>
      </x:c>
    </x:row>
    <x:row r="6">
      <x:c r="A6" s="20" t="str">
        <x:v>G5</x:v>
      </x:c>
      <x:c r="B6" s="28" t="str">
        <x:v>Robustness across non-ideal scenarios</x:v>
      </x:c>
      <x:c r="C6" s="28" t="str">
        <x:v>Mean OS-CFAR recall across edge, multiple, variable-floor, and Monte Carlo scenarios &gt;= adaptive - 0.05</x:v>
      </x:c>
      <x:c r="D6" s="30" t="str">
        <x:v>1.0</x:v>
      </x:c>
      <x:c r="E6" s="30" t="str">
        <x:v>1.0</x:v>
      </x:c>
      <x:c r="F6" s="20" t="str">
        <x:v>true</x:v>
      </x:c>
      <x:c r="G6" s="28" t="str">
        <x:v>Prevents selection based on one favorable scenario.</x:v>
      </x:c>
    </x:row>
    <x:row r="7">
      <x:c r="A7" s="20" t="str">
        <x:v>G6</x:v>
      </x:c>
      <x:c r="B7" s="28" t="str">
        <x:v>Runtime compatible with the live processing interval</x:v>
      </x:c>
      <x:c r="C7" s="28" t="str">
        <x:v>Worst scenario p95 runtime &lt;= 100.0 ms</x:v>
      </x:c>
      <x:c r="D7" s="30" t="str">
        <x:v>0.5070124985650182</x:v>
      </x:c>
      <x:c r="E7" s="30" t="str">
        <x:v>14.421754140494158</x:v>
      </x:c>
      <x:c r="F7" s="20" t="str">
        <x:v>true</x:v>
      </x:c>
      <x:c r="G7" s="28" t="str">
        <x:v>Runtime is measured after warmup and excludes FFT generation and file output.</x:v>
      </x:c>
    </x:row>
  </x:sheetData>
  <x:conditionalFormatting sqref="F2:F7">
    <x:cfRule type="containsText" dxfId="0" priority="1" operator="containsText" text="true"/>
    <x:cfRule type="containsText" dxfId="1" priority="2" operator="containsText" text="fals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31" hidden="0" customWidth="1"/>
    <x:col min="3" max="3" width="48" hidden="0" customWidth="1"/>
    <x:col min="4" max="4" width="15" hidden="0" customWidth="1"/>
    <x:col min="5" max="5" width="15" hidden="0" customWidth="1"/>
    <x:col min="6" max="6" width="15" hidden="0" customWidth="1"/>
    <x:col min="7" max="7" width="44" hidden="0" customWidth="1"/>
    <x:col min="8" max="8" width="16" hidden="0" customWidth="1"/>
    <x:col min="9" max="9" width="16" hidden="0" customWidth="1"/>
    <x:col min="10" max="10" width="16" hidden="0" customWidth="1"/>
    <x:col min="11" max="11" width="16" hidden="0" customWidth="1"/>
    <x:col min="12" max="12" width="16" hidden="0" customWidth="1"/>
  </x:cols>
  <x:sheetData>
    <x:row r="1" ht="34" customHeight="1">
      <x:c r="A1" s="34" t="str">
        <x:v>SPECTRA Phase 4 — Adaptive Detector vs OS-CFAR</x:v>
      </x:c>
      <x:c r="B1" s="178"/>
      <x:c r="C1" s="178"/>
      <x:c r="D1" s="178"/>
      <x:c r="E1" s="178"/>
      <x:c r="F1" s="178"/>
      <x:c r="G1" s="178"/>
      <x:c r="H1" s="178"/>
      <x:c r="I1" s="178"/>
      <x:c r="J1" s="178"/>
      <x:c r="K1" s="178"/>
      <x:c r="L1" s="178"/>
    </x:row>
    <x:row r="2" ht="22" customHeight="1">
      <x:c r="A2" s="179" t="str">
        <x:v>DE-CMP-01 / CFG-C01 | 800 identical deterministic spectra | Synthetic eligibility review only</x:v>
      </x:c>
      <x:c r="B2" s="179"/>
      <x:c r="C2" s="179"/>
      <x:c r="D2" s="179"/>
      <x:c r="E2" s="179"/>
      <x:c r="F2" s="179"/>
      <x:c r="G2" s="179"/>
      <x:c r="H2" s="179"/>
      <x:c r="I2" s="179"/>
      <x:c r="J2" s="179"/>
      <x:c r="K2" s="179"/>
      <x:c r="L2" s="179"/>
    </x:row>
    <x:row r="3">
      <x:c r="A3" s="20"/>
      <x:c r="B3" s="20"/>
      <x:c r="C3" s="20"/>
      <x:c r="D3" s="20"/>
      <x:c r="E3" s="20"/>
      <x:c r="F3" s="20"/>
      <x:c r="G3" s="20"/>
      <x:c r="H3" s="20"/>
      <x:c r="I3" s="20"/>
      <x:c r="J3" s="20"/>
      <x:c r="K3" s="20"/>
      <x:c r="L3" s="20"/>
    </x:row>
    <x:row r="4">
      <x:c r="A4" s="180" t="str">
        <x:v>SYNTHETIC GATES PASSED</x:v>
      </x:c>
      <x:c r="B4" s="181"/>
      <x:c r="C4" s="182"/>
      <x:c r="D4" s="20"/>
      <x:c r="E4" s="183" t="str">
        <x:v>SHARED SPECTRA</x:v>
      </x:c>
      <x:c r="F4" s="184"/>
      <x:c r="G4" s="185"/>
      <x:c r="H4" s="20"/>
      <x:c r="I4" s="183" t="str">
        <x:v>FROZEN CONFIGURATION</x:v>
      </x:c>
      <x:c r="J4" s="184"/>
      <x:c r="K4" s="184"/>
      <x:c r="L4" s="185"/>
    </x:row>
    <x:row r="5">
      <x:c r="A5" s="186" t="str">
        <x:f>COUNTIF('Decision Gates'!F2:F7,"true")&amp;" / "&amp;COUNTA('Decision Gates'!A2:A7)</x:f>
        <x:v>5 / 6</x:v>
      </x:c>
      <x:c r="B5" s="187"/>
      <x:c r="C5" s="188"/>
      <x:c r="D5" s="20"/>
      <x:c r="E5" s="189" t="n">
        <x:v>800</x:v>
      </x:c>
      <x:c r="F5" s="190"/>
      <x:c r="G5" s="191"/>
      <x:c r="H5" s="20"/>
      <x:c r="I5" s="192" t="str">
        <x:v>FFT</x:v>
      </x:c>
      <x:c r="J5" s="193" t="str">
        <x:v>8,192 bins</x:v>
      </x:c>
      <x:c r="K5" s="193" t="str">
        <x:v>Spacing</x:v>
      </x:c>
      <x:c r="L5" s="194" t="str">
        <x:v>250 Hz</x:v>
      </x:c>
    </x:row>
    <x:row r="6">
      <x:c r="A6" s="195" t="str">
        <x:v>Purpose</x:v>
      </x:c>
      <x:c r="B6" s="187"/>
      <x:c r="C6" s="188"/>
      <x:c r="D6" s="20"/>
      <x:c r="E6" s="196" t="str">
        <x:v>Detector evaluations</x:v>
      </x:c>
      <x:c r="F6" s="190"/>
      <x:c r="G6" s="191"/>
      <x:c r="H6" s="20"/>
      <x:c r="I6" s="192" t="str">
        <x:v>Trials/scenario</x:v>
      </x:c>
      <x:c r="J6" s="193" t="n">
        <x:v>100</x:v>
      </x:c>
      <x:c r="K6" s="193" t="str">
        <x:v>Seed</x:v>
      </x:c>
      <x:c r="L6" s="194" t="n">
        <x:v>3104204</x:v>
      </x:c>
    </x:row>
    <x:row r="7">
      <x:c r="A7" s="197" t="str">
        <x:v>Eligibility for hardware validation; not production selection</x:v>
      </x:c>
      <x:c r="B7" s="198"/>
      <x:c r="C7" s="199"/>
      <x:c r="D7" s="20"/>
      <x:c r="E7" s="200" t="n">
        <x:v>1600</x:v>
      </x:c>
      <x:c r="F7" s="201"/>
      <x:c r="G7" s="202"/>
      <x:c r="H7" s="20"/>
      <x:c r="I7" s="203" t="str">
        <x:v>Runtime limit</x:v>
      </x:c>
      <x:c r="J7" s="204" t="str">
        <x:v>100 ms</x:v>
      </x:c>
      <x:c r="K7" s="204" t="str">
        <x:v>Match</x:v>
      </x:c>
      <x:c r="L7" s="205" t="str">
        <x:v>1 FFT bin</x:v>
      </x:c>
    </x:row>
    <x:row r="8">
      <x:c r="A8" s="20"/>
      <x:c r="B8" s="20"/>
      <x:c r="C8" s="20"/>
      <x:c r="D8" s="20"/>
      <x:c r="E8" s="20"/>
      <x:c r="F8" s="20"/>
      <x:c r="G8" s="20"/>
      <x:c r="H8" s="20"/>
      <x:c r="I8" s="20"/>
      <x:c r="J8" s="20"/>
      <x:c r="K8" s="20"/>
      <x:c r="L8" s="20"/>
    </x:row>
    <x:row r="9">
      <x:c r="A9" s="20"/>
      <x:c r="B9" s="20"/>
      <x:c r="C9" s="20"/>
      <x:c r="D9" s="20"/>
      <x:c r="E9" s="20"/>
      <x:c r="F9" s="20"/>
      <x:c r="G9" s="20"/>
      <x:c r="H9" s="20"/>
      <x:c r="I9" s="20"/>
      <x:c r="J9" s="20"/>
      <x:c r="K9" s="20"/>
      <x:c r="L9" s="20"/>
    </x:row>
    <x:row r="10" ht="34" customHeight="1">
      <x:c r="A10" s="26" t="str">
        <x:v>Gate</x:v>
      </x:c>
      <x:c r="B10" s="26" t="str">
        <x:v>Engineering requirement</x:v>
      </x:c>
      <x:c r="C10" s="26" t="str">
        <x:v>Criterion</x:v>
      </x:c>
      <x:c r="D10" s="26" t="str">
        <x:v>Adaptive</x:v>
      </x:c>
      <x:c r="E10" s="26" t="str">
        <x:v>OS-CFAR</x:v>
      </x:c>
      <x:c r="F10" s="26" t="str">
        <x:v>Result</x:v>
      </x:c>
      <x:c r="G10" s="26" t="str">
        <x:v>Interpretation</x:v>
      </x:c>
      <x:c r="H10" s="20"/>
      <x:c r="I10" s="20"/>
      <x:c r="J10" s="20"/>
      <x:c r="K10" s="20"/>
      <x:c r="L10" s="20"/>
    </x:row>
    <x:row r="11">
      <x:c r="A11" s="206" t="str">
        <x:f>'Decision Gates'!A2</x:f>
        <x:v>G1</x:v>
      </x:c>
      <x:c r="B11" s="206" t="str">
        <x:f>'Decision Gates'!B2</x:f>
        <x:v>Material noise-only false-alarm reduction</x:v>
      </x:c>
      <x:c r="C11" s="206" t="str">
        <x:f>'Decision Gates'!C2</x:f>
        <x:v>OS-CFAR frame Pfa &lt;= max(0.01, 50% of adaptive Pfa)</x:v>
      </x:c>
      <x:c r="D11" s="207" t="str">
        <x:f>'Decision Gates'!D2</x:f>
        <x:v>1.0</x:v>
      </x:c>
      <x:c r="E11" s="207" t="str">
        <x:f>'Decision Gates'!E2</x:f>
        <x:v>1.0</x:v>
      </x:c>
      <x:c r="F11" s="206" t="str">
        <x:f>IF('Decision Gates'!F2="true","PASS","FAIL")</x:f>
        <x:v>FAIL</x:v>
      </x:c>
      <x:c r="G11" s="206" t="str">
        <x:f>'Decision Gates'!G2</x:f>
        <x:v>Tests whether OS-CFAR addresses the measured raw-specificity weakness.</x:v>
      </x:c>
      <x:c r="H11" s="20"/>
      <x:c r="I11" s="20"/>
      <x:c r="J11" s="20"/>
      <x:c r="K11" s="20"/>
      <x:c r="L11" s="20"/>
    </x:row>
    <x:row r="12">
      <x:c r="A12" s="206" t="str">
        <x:f>'Decision Gates'!A3</x:f>
        <x:v>G2</x:v>
      </x:c>
      <x:c r="B12" s="206" t="str">
        <x:f>'Decision Gates'!B3</x:f>
        <x:v>Single-carrier sensitivity</x:v>
      </x:c>
      <x:c r="C12" s="206" t="str">
        <x:f>'Decision Gates'!C3</x:f>
        <x:v>OS-CFAR &gt;= adaptive - 0.05</x:v>
      </x:c>
      <x:c r="D12" s="207" t="str">
        <x:f>'Decision Gates'!D3</x:f>
        <x:v>1.0</x:v>
      </x:c>
      <x:c r="E12" s="207" t="str">
        <x:f>'Decision Gates'!E3</x:f>
        <x:v>1.0</x:v>
      </x:c>
      <x:c r="F12" s="206" t="str">
        <x:f>IF('Decision Gates'!F3="true","PASS","FAIL")</x:f>
        <x:v>PASS</x:v>
      </x:c>
      <x:c r="G12" s="206" t="str">
        <x:f>'Decision Gates'!G3</x:f>
        <x:v>Bounds the permitted sensitivity loss against the production baseline.</x:v>
      </x:c>
      <x:c r="H12" s="20"/>
      <x:c r="I12" s="20"/>
      <x:c r="J12" s="20"/>
      <x:c r="K12" s="20"/>
      <x:c r="L12" s="20"/>
    </x:row>
    <x:row r="13">
      <x:c r="A13" s="206" t="str">
        <x:f>'Decision Gates'!A4</x:f>
        <x:v>G3</x:v>
      </x:c>
      <x:c r="B13" s="206" t="str">
        <x:f>'Decision Gates'!B4</x:f>
        <x:v>Weak carrier beside strong carrier</x:v>
      </x:c>
      <x:c r="C13" s="206" t="str">
        <x:f>'Decision Gates'!C4</x:f>
        <x:v>OS-CFAR &gt;= adaptive - 0.10</x:v>
      </x:c>
      <x:c r="D13" s="207" t="str">
        <x:f>'Decision Gates'!D4</x:f>
        <x:v>0.99</x:v>
      </x:c>
      <x:c r="E13" s="207" t="str">
        <x:f>'Decision Gates'!E4</x:f>
        <x:v>0.99</x:v>
      </x:c>
      <x:c r="F13" s="206" t="str">
        <x:f>IF('Decision Gates'!F4="true","PASS","FAIL")</x:f>
        <x:v>PASS</x:v>
      </x:c>
      <x:c r="G13" s="206" t="str">
        <x:f>'Decision Gates'!G4</x:f>
        <x:v>Bounds the permitted sensitivity loss against the production baseline.</x:v>
      </x:c>
      <x:c r="H13" s="20"/>
      <x:c r="I13" s="20"/>
      <x:c r="J13" s="20"/>
      <x:c r="K13" s="20"/>
      <x:c r="L13" s="20"/>
    </x:row>
    <x:row r="14">
      <x:c r="A14" s="206" t="str">
        <x:f>'Decision Gates'!A5</x:f>
        <x:v>G4</x:v>
      </x:c>
      <x:c r="B14" s="206" t="str">
        <x:f>'Decision Gates'!B5</x:f>
        <x:v>Closely spaced carrier performance</x:v>
      </x:c>
      <x:c r="C14" s="206" t="str">
        <x:f>'Decision Gates'!C5</x:f>
        <x:v>OS-CFAR &gt;= adaptive - 0.05</x:v>
      </x:c>
      <x:c r="D14" s="207" t="str">
        <x:f>'Decision Gates'!D5</x:f>
        <x:v>1.0</x:v>
      </x:c>
      <x:c r="E14" s="207" t="str">
        <x:f>'Decision Gates'!E5</x:f>
        <x:v>1.0</x:v>
      </x:c>
      <x:c r="F14" s="206" t="str">
        <x:f>IF('Decision Gates'!F5="true","PASS","FAIL")</x:f>
        <x:v>PASS</x:v>
      </x:c>
      <x:c r="G14" s="206" t="str">
        <x:f>'Decision Gates'!G5</x:f>
        <x:v>Bounds the permitted sensitivity loss against the production baseline.</x:v>
      </x:c>
      <x:c r="H14" s="20"/>
      <x:c r="I14" s="20"/>
      <x:c r="J14" s="20"/>
      <x:c r="K14" s="20"/>
      <x:c r="L14" s="20"/>
    </x:row>
    <x:row r="15">
      <x:c r="A15" s="206" t="str">
        <x:f>'Decision Gates'!A6</x:f>
        <x:v>G5</x:v>
      </x:c>
      <x:c r="B15" s="206" t="str">
        <x:f>'Decision Gates'!B6</x:f>
        <x:v>Robustness across non-ideal scenarios</x:v>
      </x:c>
      <x:c r="C15" s="206" t="str">
        <x:f>'Decision Gates'!C6</x:f>
        <x:v>Mean OS-CFAR recall across edge, multiple, variable-floor, and Monte Carlo scenarios &gt;= adaptive - 0.05</x:v>
      </x:c>
      <x:c r="D15" s="207" t="str">
        <x:f>'Decision Gates'!D6</x:f>
        <x:v>1.0</x:v>
      </x:c>
      <x:c r="E15" s="207" t="str">
        <x:f>'Decision Gates'!E6</x:f>
        <x:v>1.0</x:v>
      </x:c>
      <x:c r="F15" s="206" t="str">
        <x:f>IF('Decision Gates'!F6="true","PASS","FAIL")</x:f>
        <x:v>PASS</x:v>
      </x:c>
      <x:c r="G15" s="206" t="str">
        <x:f>'Decision Gates'!G6</x:f>
        <x:v>Prevents selection based on one favorable scenario.</x:v>
      </x:c>
      <x:c r="H15" s="20"/>
      <x:c r="I15" s="20"/>
      <x:c r="J15" s="20"/>
      <x:c r="K15" s="20"/>
      <x:c r="L15" s="20"/>
    </x:row>
    <x:row r="16">
      <x:c r="A16" s="206" t="str">
        <x:f>'Decision Gates'!A7</x:f>
        <x:v>G6</x:v>
      </x:c>
      <x:c r="B16" s="206" t="str">
        <x:f>'Decision Gates'!B7</x:f>
        <x:v>Runtime compatible with the live processing interval</x:v>
      </x:c>
      <x:c r="C16" s="206" t="str">
        <x:f>'Decision Gates'!C7</x:f>
        <x:v>Worst scenario p95 runtime &lt;= 100.0 ms</x:v>
      </x:c>
      <x:c r="D16" s="207" t="str">
        <x:f>'Decision Gates'!D7</x:f>
        <x:v>0.5070124985650182</x:v>
      </x:c>
      <x:c r="E16" s="207" t="str">
        <x:f>'Decision Gates'!E7</x:f>
        <x:v>14.421754140494158</x:v>
      </x:c>
      <x:c r="F16" s="206" t="str">
        <x:f>IF('Decision Gates'!F7="true","PASS","FAIL")</x:f>
        <x:v>PASS</x:v>
      </x:c>
      <x:c r="G16" s="206" t="str">
        <x:f>'Decision Gates'!G7</x:f>
        <x:v>Runtime is measured after warmup and excludes FFT generation and file output.</x:v>
      </x:c>
      <x:c r="H16" s="20"/>
      <x:c r="I16" s="20"/>
      <x:c r="J16" s="20"/>
      <x:c r="K16" s="20"/>
      <x:c r="L16" s="20"/>
    </x:row>
    <x:row r="17">
      <x:c r="A17" s="20"/>
      <x:c r="B17" s="20"/>
      <x:c r="C17" s="20"/>
      <x:c r="D17" s="20"/>
      <x:c r="E17" s="20"/>
      <x:c r="F17" s="20"/>
      <x:c r="G17" s="20"/>
      <x:c r="H17" s="20"/>
      <x:c r="I17" s="20"/>
      <x:c r="J17" s="20"/>
      <x:c r="K17" s="20"/>
      <x:c r="L17" s="20"/>
    </x:row>
    <x:row r="18">
      <x:c r="A18" s="20"/>
      <x:c r="B18" s="20"/>
      <x:c r="C18" s="20"/>
      <x:c r="D18" s="20"/>
      <x:c r="E18" s="20"/>
      <x:c r="F18" s="20"/>
      <x:c r="G18" s="20"/>
      <x:c r="H18" s="20"/>
      <x:c r="I18" s="20"/>
      <x:c r="J18" s="20"/>
      <x:c r="K18" s="20"/>
      <x:c r="L18" s="20"/>
    </x:row>
    <x:row r="19">
      <x:c r="A19" s="24" t="str">
        <x:v>Scenario</x:v>
      </x:c>
      <x:c r="B19" s="24" t="str">
        <x:v>Adaptive recall</x:v>
      </x:c>
      <x:c r="C19" s="24" t="str">
        <x:v>OS-CFAR recall</x:v>
      </x:c>
      <x:c r="D19" s="20"/>
      <x:c r="E19" s="20"/>
      <x:c r="F19" s="20"/>
      <x:c r="G19" s="20"/>
      <x:c r="H19" s="20"/>
      <x:c r="I19" s="20"/>
      <x:c r="J19" s="20"/>
      <x:c r="K19" s="20"/>
      <x:c r="L19" s="20"/>
    </x:row>
    <x:row r="20">
      <x:c r="A20" s="20" t="str">
        <x:v>FFT edge</x:v>
      </x:c>
      <x:c r="B20" s="208" t="n">
        <x:f>SUMIFS('Scenario Summary'!$R$2:$R$17,'Scenario Summary'!$C$2:$C$17,"adaptive",'Scenario Summary'!$D$2:$D$17,"fft_edge")</x:f>
        <x:v>1</x:v>
      </x:c>
      <x:c r="C20" s="208" t="n">
        <x:f>SUMIFS('Scenario Summary'!$R$2:$R$17,'Scenario Summary'!$C$2:$C$17,"os_cfar",'Scenario Summary'!$D$2:$D$17,"fft_edge")</x:f>
        <x:v>1</x:v>
      </x:c>
      <x:c r="D20" s="20"/>
      <x:c r="E20" s="20"/>
      <x:c r="F20" s="20"/>
      <x:c r="G20" s="20"/>
      <x:c r="H20" s="20"/>
      <x:c r="I20" s="20"/>
      <x:c r="J20" s="20"/>
      <x:c r="K20" s="20"/>
      <x:c r="L20" s="20"/>
    </x:row>
    <x:row r="21">
      <x:c r="A21" s="20" t="str">
        <x:v>Single carrier</x:v>
      </x:c>
      <x:c r="B21" s="208" t="n">
        <x:f>SUMIFS('Scenario Summary'!$R$2:$R$17,'Scenario Summary'!$C$2:$C$17,"adaptive",'Scenario Summary'!$D$2:$D$17,"single_carrier")</x:f>
        <x:v>1</x:v>
      </x:c>
      <x:c r="C21" s="208" t="n">
        <x:f>SUMIFS('Scenario Summary'!$R$2:$R$17,'Scenario Summary'!$C$2:$C$17,"os_cfar",'Scenario Summary'!$D$2:$D$17,"single_carrier")</x:f>
        <x:v>1</x:v>
      </x:c>
      <x:c r="D21" s="20"/>
      <x:c r="E21" s="20"/>
      <x:c r="F21" s="20"/>
      <x:c r="G21" s="20"/>
      <x:c r="H21" s="20"/>
      <x:c r="I21" s="20"/>
      <x:c r="J21" s="20"/>
      <x:c r="K21" s="20"/>
      <x:c r="L21" s="20"/>
    </x:row>
    <x:row r="22">
      <x:c r="A22" s="20" t="str">
        <x:v>Weak beside strong</x:v>
      </x:c>
      <x:c r="B22" s="208" t="n">
        <x:f>SUMIFS('Scenario Summary'!$R$2:$R$17,'Scenario Summary'!$C$2:$C$17,"adaptive",'Scenario Summary'!$D$2:$D$17,"weak_beside_strong")</x:f>
        <x:v>0.99</x:v>
      </x:c>
      <x:c r="C22" s="208" t="n">
        <x:f>SUMIFS('Scenario Summary'!$R$2:$R$17,'Scenario Summary'!$C$2:$C$17,"os_cfar",'Scenario Summary'!$D$2:$D$17,"weak_beside_strong")</x:f>
        <x:v>0.99</x:v>
      </x:c>
      <x:c r="D22" s="20"/>
      <x:c r="E22" s="20"/>
      <x:c r="F22" s="20"/>
      <x:c r="G22" s="20"/>
      <x:c r="H22" s="20"/>
      <x:c r="I22" s="20"/>
      <x:c r="J22" s="20"/>
      <x:c r="K22" s="20"/>
      <x:c r="L22" s="20"/>
    </x:row>
    <x:row r="23">
      <x:c r="A23" s="20" t="str">
        <x:v>Multiple carriers</x:v>
      </x:c>
      <x:c r="B23" s="208" t="n">
        <x:f>SUMIFS('Scenario Summary'!$R$2:$R$17,'Scenario Summary'!$C$2:$C$17,"adaptive",'Scenario Summary'!$D$2:$D$17,"multiple_carriers")</x:f>
        <x:v>1</x:v>
      </x:c>
      <x:c r="C23" s="208" t="n">
        <x:f>SUMIFS('Scenario Summary'!$R$2:$R$17,'Scenario Summary'!$C$2:$C$17,"os_cfar",'Scenario Summary'!$D$2:$D$17,"multiple_carriers")</x:f>
        <x:v>1</x:v>
      </x:c>
      <x:c r="D23" s="20"/>
      <x:c r="E23" s="20"/>
      <x:c r="F23" s="20"/>
      <x:c r="G23" s="20"/>
      <x:c r="H23" s="20"/>
      <x:c r="I23" s="20"/>
      <x:c r="J23" s="20"/>
      <x:c r="K23" s="20"/>
      <x:c r="L23" s="20"/>
    </x:row>
    <x:row r="24">
      <x:c r="A24" s="20" t="str">
        <x:v>Closely spaced</x:v>
      </x:c>
      <x:c r="B24" s="208" t="n">
        <x:f>SUMIFS('Scenario Summary'!$R$2:$R$17,'Scenario Summary'!$C$2:$C$17,"adaptive",'Scenario Summary'!$D$2:$D$17,"closely_spaced_carriers")</x:f>
        <x:v>1</x:v>
      </x:c>
      <x:c r="C24" s="208" t="n">
        <x:f>SUMIFS('Scenario Summary'!$R$2:$R$17,'Scenario Summary'!$C$2:$C$17,"os_cfar",'Scenario Summary'!$D$2:$D$17,"closely_spaced_carriers")</x:f>
        <x:v>1</x:v>
      </x:c>
      <x:c r="D24" s="20"/>
      <x:c r="E24" s="20"/>
      <x:c r="F24" s="20"/>
      <x:c r="G24" s="20"/>
      <x:c r="H24" s="20"/>
      <x:c r="I24" s="20"/>
      <x:c r="J24" s="20"/>
      <x:c r="K24" s="20"/>
      <x:c r="L24" s="20"/>
    </x:row>
    <x:row r="25">
      <x:c r="A25" s="20" t="str">
        <x:v>Variable noise floor</x:v>
      </x:c>
      <x:c r="B25" s="208" t="n">
        <x:f>SUMIFS('Scenario Summary'!$R$2:$R$17,'Scenario Summary'!$C$2:$C$17,"adaptive",'Scenario Summary'!$D$2:$D$17,"variable_noise_floor")</x:f>
        <x:v>1</x:v>
      </x:c>
      <x:c r="C25" s="208" t="n">
        <x:f>SUMIFS('Scenario Summary'!$R$2:$R$17,'Scenario Summary'!$C$2:$C$17,"os_cfar",'Scenario Summary'!$D$2:$D$17,"variable_noise_floor")</x:f>
        <x:v>1</x:v>
      </x:c>
      <x:c r="D25" s="20"/>
      <x:c r="E25" s="20"/>
      <x:c r="F25" s="20"/>
      <x:c r="G25" s="20"/>
      <x:c r="H25" s="20"/>
      <x:c r="I25" s="20"/>
      <x:c r="J25" s="20"/>
      <x:c r="K25" s="20"/>
      <x:c r="L25" s="20"/>
    </x:row>
    <x:row r="26">
      <x:c r="A26" s="20" t="str">
        <x:v>Monte Carlo</x:v>
      </x:c>
      <x:c r="B26" s="208" t="n">
        <x:f>SUMIFS('Scenario Summary'!$R$2:$R$17,'Scenario Summary'!$C$2:$C$17,"adaptive",'Scenario Summary'!$D$2:$D$17,"monte_carlo")</x:f>
        <x:v>1</x:v>
      </x:c>
      <x:c r="C26" s="208" t="n">
        <x:f>SUMIFS('Scenario Summary'!$R$2:$R$17,'Scenario Summary'!$C$2:$C$17,"os_cfar",'Scenario Summary'!$D$2:$D$17,"monte_carlo")</x:f>
        <x:v>1</x:v>
      </x:c>
      <x:c r="D26" s="20"/>
      <x:c r="E26" s="20"/>
      <x:c r="F26" s="20"/>
      <x:c r="G26" s="20"/>
      <x:c r="H26" s="20"/>
      <x:c r="I26" s="20"/>
      <x:c r="J26" s="20"/>
      <x:c r="K26" s="20"/>
      <x:c r="L26" s="20"/>
    </x:row>
    <x:row r="27">
      <x:c r="A27" s="20"/>
      <x:c r="B27" s="20"/>
      <x:c r="C27" s="20"/>
      <x:c r="D27" s="20"/>
      <x:c r="E27" s="20"/>
      <x:c r="F27" s="20"/>
      <x:c r="G27" s="20"/>
      <x:c r="H27" s="20"/>
      <x:c r="I27" s="20"/>
      <x:c r="J27" s="20"/>
      <x:c r="K27" s="20"/>
      <x:c r="L27" s="20"/>
    </x:row>
    <x:row r="28">
      <x:c r="A28" s="20"/>
      <x:c r="B28" s="20"/>
      <x:c r="C28" s="20"/>
      <x:c r="D28" s="20"/>
      <x:c r="E28" s="20"/>
      <x:c r="F28" s="20"/>
      <x:c r="G28" s="20"/>
      <x:c r="H28" s="20"/>
      <x:c r="I28" s="20"/>
      <x:c r="J28" s="20"/>
      <x:c r="K28" s="20"/>
      <x:c r="L28" s="20"/>
    </x:row>
    <x:row r="29">
      <x:c r="A29" s="20"/>
      <x:c r="B29" s="20"/>
      <x:c r="C29" s="20"/>
      <x:c r="D29" s="20"/>
      <x:c r="E29" s="20"/>
      <x:c r="F29" s="20"/>
      <x:c r="G29" s="20"/>
      <x:c r="H29" s="20"/>
      <x:c r="I29" s="20"/>
      <x:c r="J29" s="20"/>
      <x:c r="K29" s="20"/>
      <x:c r="L29" s="20"/>
    </x:row>
    <x:row r="30">
      <x:c r="A30" s="20"/>
      <x:c r="B30" s="20"/>
      <x:c r="C30" s="20"/>
      <x:c r="D30" s="20"/>
      <x:c r="E30" s="20"/>
      <x:c r="F30" s="20"/>
      <x:c r="G30" s="20"/>
      <x:c r="H30" s="20"/>
      <x:c r="I30" s="20"/>
      <x:c r="J30" s="20"/>
      <x:c r="K30" s="20"/>
      <x:c r="L30" s="20"/>
    </x:row>
    <x:row r="31">
      <x:c r="A31" s="20"/>
      <x:c r="B31" s="20"/>
      <x:c r="C31" s="20"/>
      <x:c r="D31" s="20"/>
      <x:c r="E31" s="20"/>
      <x:c r="F31" s="20"/>
      <x:c r="G31" s="20"/>
      <x:c r="H31" s="20"/>
      <x:c r="I31" s="20"/>
      <x:c r="J31" s="20"/>
      <x:c r="K31" s="20"/>
      <x:c r="L31" s="20"/>
    </x:row>
    <x:row r="32">
      <x:c r="A32" s="20"/>
      <x:c r="B32" s="20"/>
      <x:c r="C32" s="20"/>
      <x:c r="D32" s="20"/>
      <x:c r="E32" s="20"/>
      <x:c r="F32" s="20"/>
      <x:c r="G32" s="20"/>
      <x:c r="H32" s="20"/>
      <x:c r="I32" s="20"/>
      <x:c r="J32" s="20"/>
      <x:c r="K32" s="20"/>
      <x:c r="L32" s="20"/>
    </x:row>
    <x:row r="33">
      <x:c r="A33" s="20"/>
      <x:c r="B33" s="20"/>
      <x:c r="C33" s="20"/>
      <x:c r="D33" s="20"/>
      <x:c r="E33" s="20"/>
      <x:c r="F33" s="20"/>
      <x:c r="G33" s="20"/>
      <x:c r="H33" s="20"/>
      <x:c r="I33" s="20"/>
      <x:c r="J33" s="20"/>
      <x:c r="K33" s="20"/>
      <x:c r="L33" s="20"/>
    </x:row>
    <x:row r="34">
      <x:c r="A34" s="20"/>
      <x:c r="B34" s="20"/>
      <x:c r="C34" s="20"/>
      <x:c r="D34" s="20"/>
      <x:c r="E34" s="20"/>
      <x:c r="F34" s="20"/>
      <x:c r="G34" s="20"/>
      <x:c r="H34" s="20"/>
      <x:c r="I34" s="20"/>
      <x:c r="J34" s="20"/>
      <x:c r="K34" s="20"/>
      <x:c r="L34" s="20"/>
    </x:row>
    <x:row r="35">
      <x:c r="A35" s="24" t="str">
        <x:v>Scenario</x:v>
      </x:c>
      <x:c r="B35" s="24" t="str">
        <x:v>Adaptive Pfa</x:v>
      </x:c>
      <x:c r="C35" s="24" t="str">
        <x:v>OS-CFAR Pfa</x:v>
      </x:c>
      <x:c r="D35" s="20"/>
      <x:c r="E35" s="20"/>
      <x:c r="F35" s="20"/>
      <x:c r="G35" s="20"/>
      <x:c r="H35" s="20"/>
      <x:c r="I35" s="20"/>
      <x:c r="J35" s="20"/>
      <x:c r="K35" s="20"/>
      <x:c r="L35" s="20"/>
    </x:row>
    <x:row r="36">
      <x:c r="A36" s="20" t="str">
        <x:v>Noise only</x:v>
      </x:c>
      <x:c r="B36" s="208" t="n">
        <x:f>SUMIFS('Scenario Summary'!$N$2:$N$17,'Scenario Summary'!$C$2:$C$17,"adaptive",'Scenario Summary'!$D$2:$D$17,"noise_only")</x:f>
        <x:v>1</x:v>
      </x:c>
      <x:c r="C36" s="208" t="n">
        <x:f>SUMIFS('Scenario Summary'!$N$2:$N$17,'Scenario Summary'!$C$2:$C$17,"os_cfar",'Scenario Summary'!$D$2:$D$17,"noise_only")</x:f>
        <x:v>1</x:v>
      </x:c>
      <x:c r="D36" s="20"/>
      <x:c r="E36" s="20"/>
      <x:c r="F36" s="20"/>
      <x:c r="G36" s="20"/>
      <x:c r="H36" s="20"/>
      <x:c r="I36" s="20"/>
      <x:c r="J36" s="20"/>
      <x:c r="K36" s="20"/>
      <x:c r="L36" s="20"/>
    </x:row>
    <x:row r="37">
      <x:c r="A37" s="20" t="str">
        <x:v>FFT edge</x:v>
      </x:c>
      <x:c r="B37" s="208" t="n">
        <x:f>SUMIFS('Scenario Summary'!$N$2:$N$17,'Scenario Summary'!$C$2:$C$17,"adaptive",'Scenario Summary'!$D$2:$D$17,"fft_edge")</x:f>
        <x:v>1</x:v>
      </x:c>
      <x:c r="C37" s="208" t="n">
        <x:f>SUMIFS('Scenario Summary'!$N$2:$N$17,'Scenario Summary'!$C$2:$C$17,"os_cfar",'Scenario Summary'!$D$2:$D$17,"fft_edge")</x:f>
        <x:v>1</x:v>
      </x:c>
      <x:c r="D37" s="20"/>
      <x:c r="E37" s="20"/>
      <x:c r="F37" s="20"/>
      <x:c r="G37" s="20"/>
      <x:c r="H37" s="20"/>
      <x:c r="I37" s="20"/>
      <x:c r="J37" s="20"/>
      <x:c r="K37" s="20"/>
      <x:c r="L37" s="20"/>
    </x:row>
    <x:row r="38">
      <x:c r="A38" s="20" t="str">
        <x:v>Single carrier</x:v>
      </x:c>
      <x:c r="B38" s="208" t="n">
        <x:f>SUMIFS('Scenario Summary'!$N$2:$N$17,'Scenario Summary'!$C$2:$C$17,"adaptive",'Scenario Summary'!$D$2:$D$17,"single_carrier")</x:f>
        <x:v>1</x:v>
      </x:c>
      <x:c r="C38" s="208" t="n">
        <x:f>SUMIFS('Scenario Summary'!$N$2:$N$17,'Scenario Summary'!$C$2:$C$17,"os_cfar",'Scenario Summary'!$D$2:$D$17,"single_carrier")</x:f>
        <x:v>1</x:v>
      </x:c>
      <x:c r="D38" s="20"/>
      <x:c r="E38" s="20"/>
      <x:c r="F38" s="20"/>
      <x:c r="G38" s="20"/>
      <x:c r="H38" s="20"/>
      <x:c r="I38" s="20"/>
      <x:c r="J38" s="20"/>
      <x:c r="K38" s="20"/>
      <x:c r="L38" s="20"/>
    </x:row>
    <x:row r="39">
      <x:c r="A39" s="20" t="str">
        <x:v>Weak beside strong</x:v>
      </x:c>
      <x:c r="B39" s="208" t="n">
        <x:f>SUMIFS('Scenario Summary'!$N$2:$N$17,'Scenario Summary'!$C$2:$C$17,"adaptive",'Scenario Summary'!$D$2:$D$17,"weak_beside_strong")</x:f>
        <x:v>1</x:v>
      </x:c>
      <x:c r="C39" s="208" t="n">
        <x:f>SUMIFS('Scenario Summary'!$N$2:$N$17,'Scenario Summary'!$C$2:$C$17,"os_cfar",'Scenario Summary'!$D$2:$D$17,"weak_beside_strong")</x:f>
        <x:v>1</x:v>
      </x:c>
      <x:c r="D39" s="20"/>
      <x:c r="E39" s="20"/>
      <x:c r="F39" s="20"/>
      <x:c r="G39" s="20"/>
      <x:c r="H39" s="20"/>
      <x:c r="I39" s="20"/>
      <x:c r="J39" s="20"/>
      <x:c r="K39" s="20"/>
      <x:c r="L39" s="20"/>
    </x:row>
    <x:row r="40">
      <x:c r="A40" s="20" t="str">
        <x:v>Multiple carriers</x:v>
      </x:c>
      <x:c r="B40" s="208" t="n">
        <x:f>SUMIFS('Scenario Summary'!$N$2:$N$17,'Scenario Summary'!$C$2:$C$17,"adaptive",'Scenario Summary'!$D$2:$D$17,"multiple_carriers")</x:f>
        <x:v>0</x:v>
      </x:c>
      <x:c r="C40" s="208" t="n">
        <x:f>SUMIFS('Scenario Summary'!$N$2:$N$17,'Scenario Summary'!$C$2:$C$17,"os_cfar",'Scenario Summary'!$D$2:$D$17,"multiple_carriers")</x:f>
        <x:v>0</x:v>
      </x:c>
      <x:c r="D40" s="20"/>
      <x:c r="E40" s="20"/>
      <x:c r="F40" s="20"/>
      <x:c r="G40" s="20"/>
      <x:c r="H40" s="20"/>
      <x:c r="I40" s="20"/>
      <x:c r="J40" s="20"/>
      <x:c r="K40" s="20"/>
      <x:c r="L40" s="20"/>
    </x:row>
    <x:row r="41">
      <x:c r="A41" s="20" t="str">
        <x:v>Closely spaced</x:v>
      </x:c>
      <x:c r="B41" s="208" t="n">
        <x:f>SUMIFS('Scenario Summary'!$N$2:$N$17,'Scenario Summary'!$C$2:$C$17,"adaptive",'Scenario Summary'!$D$2:$D$17,"closely_spaced_carriers")</x:f>
        <x:v>1</x:v>
      </x:c>
      <x:c r="C41" s="208" t="n">
        <x:f>SUMIFS('Scenario Summary'!$N$2:$N$17,'Scenario Summary'!$C$2:$C$17,"os_cfar",'Scenario Summary'!$D$2:$D$17,"closely_spaced_carriers")</x:f>
        <x:v>1</x:v>
      </x:c>
      <x:c r="D41" s="20"/>
      <x:c r="E41" s="20"/>
      <x:c r="F41" s="20"/>
      <x:c r="G41" s="20"/>
      <x:c r="H41" s="20"/>
      <x:c r="I41" s="20"/>
      <x:c r="J41" s="20"/>
      <x:c r="K41" s="20"/>
      <x:c r="L41" s="20"/>
    </x:row>
    <x:row r="42">
      <x:c r="A42" s="20" t="str">
        <x:v>Variable noise floor</x:v>
      </x:c>
      <x:c r="B42" s="208" t="n">
        <x:f>SUMIFS('Scenario Summary'!$N$2:$N$17,'Scenario Summary'!$C$2:$C$17,"adaptive",'Scenario Summary'!$D$2:$D$17,"variable_noise_floor")</x:f>
        <x:v>1</x:v>
      </x:c>
      <x:c r="C42" s="208" t="n">
        <x:f>SUMIFS('Scenario Summary'!$N$2:$N$17,'Scenario Summary'!$C$2:$C$17,"os_cfar",'Scenario Summary'!$D$2:$D$17,"variable_noise_floor")</x:f>
        <x:v>1</x:v>
      </x:c>
      <x:c r="D42" s="20"/>
      <x:c r="E42" s="20"/>
      <x:c r="F42" s="20"/>
      <x:c r="G42" s="20"/>
      <x:c r="H42" s="20"/>
      <x:c r="I42" s="20"/>
      <x:c r="J42" s="20"/>
      <x:c r="K42" s="20"/>
      <x:c r="L42" s="20"/>
    </x:row>
    <x:row r="43">
      <x:c r="A43" s="20" t="str">
        <x:v>Monte Carlo</x:v>
      </x:c>
      <x:c r="B43" s="208" t="n">
        <x:f>SUMIFS('Scenario Summary'!$N$2:$N$17,'Scenario Summary'!$C$2:$C$17,"adaptive",'Scenario Summary'!$D$2:$D$17,"monte_carlo")</x:f>
        <x:v>0.71</x:v>
      </x:c>
      <x:c r="C43" s="208" t="n">
        <x:f>SUMIFS('Scenario Summary'!$N$2:$N$17,'Scenario Summary'!$C$2:$C$17,"os_cfar",'Scenario Summary'!$D$2:$D$17,"monte_carlo")</x:f>
        <x:v>0.71</x:v>
      </x:c>
      <x:c r="D43" s="20"/>
      <x:c r="E43" s="20"/>
      <x:c r="F43" s="20"/>
      <x:c r="G43" s="20"/>
      <x:c r="H43" s="20"/>
      <x:c r="I43" s="20"/>
      <x:c r="J43" s="20"/>
      <x:c r="K43" s="20"/>
      <x:c r="L43" s="20"/>
    </x:row>
    <x:row r="44">
      <x:c r="A44" s="20"/>
      <x:c r="B44" s="20"/>
      <x:c r="C44" s="20"/>
      <x:c r="D44" s="20"/>
      <x:c r="E44" s="20"/>
      <x:c r="F44" s="20"/>
      <x:c r="G44" s="20"/>
      <x:c r="H44" s="20"/>
      <x:c r="I44" s="20"/>
      <x:c r="J44" s="20"/>
      <x:c r="K44" s="20"/>
      <x:c r="L44" s="20"/>
    </x:row>
    <x:row r="45">
      <x:c r="A45" s="20"/>
      <x:c r="B45" s="20"/>
      <x:c r="C45" s="20"/>
      <x:c r="D45" s="20"/>
      <x:c r="E45" s="20"/>
      <x:c r="F45" s="20"/>
      <x:c r="G45" s="20"/>
      <x:c r="H45" s="20"/>
      <x:c r="I45" s="20"/>
      <x:c r="J45" s="20"/>
      <x:c r="K45" s="20"/>
      <x:c r="L45" s="20"/>
    </x:row>
    <x:row r="46">
      <x:c r="A46" s="20"/>
      <x:c r="B46" s="20"/>
      <x:c r="C46" s="20"/>
      <x:c r="D46" s="20"/>
      <x:c r="E46" s="20"/>
      <x:c r="F46" s="20"/>
      <x:c r="G46" s="20"/>
      <x:c r="H46" s="20"/>
      <x:c r="I46" s="20"/>
      <x:c r="J46" s="20"/>
      <x:c r="K46" s="20"/>
      <x:c r="L46" s="20"/>
    </x:row>
    <x:row r="47">
      <x:c r="A47" s="20"/>
      <x:c r="B47" s="20"/>
      <x:c r="C47" s="20"/>
      <x:c r="D47" s="20"/>
      <x:c r="E47" s="20"/>
      <x:c r="F47" s="20"/>
      <x:c r="G47" s="20"/>
      <x:c r="H47" s="20"/>
      <x:c r="I47" s="20"/>
      <x:c r="J47" s="20"/>
      <x:c r="K47" s="20"/>
      <x:c r="L47" s="20"/>
    </x:row>
    <x:row r="48">
      <x:c r="A48" s="20"/>
      <x:c r="B48" s="20"/>
      <x:c r="C48" s="20"/>
      <x:c r="D48" s="20"/>
      <x:c r="E48" s="20"/>
      <x:c r="F48" s="20"/>
      <x:c r="G48" s="20"/>
      <x:c r="H48" s="20"/>
      <x:c r="I48" s="20"/>
      <x:c r="J48" s="20"/>
      <x:c r="K48" s="20"/>
      <x:c r="L48" s="20"/>
    </x:row>
    <x:row r="49">
      <x:c r="A49" s="20"/>
      <x:c r="B49" s="20"/>
      <x:c r="C49" s="20"/>
      <x:c r="D49" s="20"/>
      <x:c r="E49" s="20"/>
      <x:c r="F49" s="20"/>
      <x:c r="G49" s="20"/>
      <x:c r="H49" s="20"/>
      <x:c r="I49" s="20"/>
      <x:c r="J49" s="20"/>
      <x:c r="K49" s="20"/>
      <x:c r="L49" s="20"/>
    </x:row>
    <x:row r="50">
      <x:c r="A50" s="20"/>
      <x:c r="B50" s="20"/>
      <x:c r="C50" s="20"/>
      <x:c r="D50" s="20"/>
      <x:c r="E50" s="20"/>
      <x:c r="F50" s="20"/>
      <x:c r="G50" s="20"/>
      <x:c r="H50" s="20"/>
      <x:c r="I50" s="20"/>
      <x:c r="J50" s="20"/>
      <x:c r="K50" s="20"/>
      <x:c r="L50" s="20"/>
    </x:row>
    <x:row r="51">
      <x:c r="A51" s="20"/>
      <x:c r="B51" s="20"/>
      <x:c r="C51" s="20"/>
      <x:c r="D51" s="20"/>
      <x:c r="E51" s="20"/>
      <x:c r="F51" s="20"/>
      <x:c r="G51" s="20"/>
      <x:c r="H51" s="20"/>
      <x:c r="I51" s="20"/>
      <x:c r="J51" s="20"/>
      <x:c r="K51" s="20"/>
      <x:c r="L51" s="20"/>
    </x:row>
    <x:row r="52">
      <x:c r="A52" s="24" t="str">
        <x:v>Scenario</x:v>
      </x:c>
      <x:c r="B52" s="24" t="str">
        <x:v>Adaptive p95 (ms)</x:v>
      </x:c>
      <x:c r="C52" s="24" t="str">
        <x:v>OS-CFAR p95 (ms)</x:v>
      </x:c>
      <x:c r="D52" s="20"/>
      <x:c r="E52" s="20"/>
      <x:c r="F52" s="20"/>
      <x:c r="G52" s="20"/>
      <x:c r="H52" s="20"/>
      <x:c r="I52" s="20"/>
      <x:c r="J52" s="20"/>
      <x:c r="K52" s="20"/>
      <x:c r="L52" s="20"/>
    </x:row>
    <x:row r="53">
      <x:c r="A53" s="20" t="str">
        <x:v>Noise only</x:v>
      </x:c>
      <x:c r="B53" s="209" t="n">
        <x:f>SUMIFS('Scenario Summary'!$U$2:$U$17,'Scenario Summary'!$C$2:$C$17,"adaptive",'Scenario Summary'!$D$2:$D$17,"noise_only")</x:f>
        <x:v>0.5070124985650182</x:v>
      </x:c>
      <x:c r="C53" s="209" t="n">
        <x:f>SUMIFS('Scenario Summary'!$U$2:$U$17,'Scenario Summary'!$C$2:$C$17,"os_cfar",'Scenario Summary'!$D$2:$D$17,"noise_only")</x:f>
        <x:v>14.332929150987184</x:v>
      </x:c>
      <x:c r="D53" s="20"/>
      <x:c r="E53" s="20"/>
      <x:c r="F53" s="20"/>
      <x:c r="G53" s="20"/>
      <x:c r="H53" s="20"/>
      <x:c r="I53" s="20"/>
      <x:c r="J53" s="20"/>
      <x:c r="K53" s="20"/>
      <x:c r="L53" s="20"/>
    </x:row>
    <x:row r="54">
      <x:c r="A54" s="20" t="str">
        <x:v>FFT edge</x:v>
      </x:c>
      <x:c r="B54" s="209" t="n">
        <x:f>SUMIFS('Scenario Summary'!$U$2:$U$17,'Scenario Summary'!$C$2:$C$17,"adaptive",'Scenario Summary'!$D$2:$D$17,"fft_edge")</x:f>
        <x:v>0.46511214241036214</x:v>
      </x:c>
      <x:c r="C54" s="209" t="n">
        <x:f>SUMIFS('Scenario Summary'!$U$2:$U$17,'Scenario Summary'!$C$2:$C$17,"os_cfar",'Scenario Summary'!$D$2:$D$17,"fft_edge")</x:f>
        <x:v>14.165266990312375</x:v>
      </x:c>
      <x:c r="D54" s="20"/>
      <x:c r="E54" s="20"/>
      <x:c r="F54" s="20"/>
      <x:c r="G54" s="20"/>
      <x:c r="H54" s="20"/>
      <x:c r="I54" s="20"/>
      <x:c r="J54" s="20"/>
      <x:c r="K54" s="20"/>
      <x:c r="L54" s="20"/>
    </x:row>
    <x:row r="55">
      <x:c r="A55" s="20" t="str">
        <x:v>Single carrier</x:v>
      </x:c>
      <x:c r="B55" s="209" t="n">
        <x:f>SUMIFS('Scenario Summary'!$U$2:$U$17,'Scenario Summary'!$C$2:$C$17,"adaptive",'Scenario Summary'!$D$2:$D$17,"single_carrier")</x:f>
        <x:v>0.43513509808690287</x:v>
      </x:c>
      <x:c r="C55" s="209" t="n">
        <x:f>SUMIFS('Scenario Summary'!$U$2:$U$17,'Scenario Summary'!$C$2:$C$17,"os_cfar",'Scenario Summary'!$D$2:$D$17,"single_carrier")</x:f>
        <x:v>14.154996153229149</x:v>
      </x:c>
      <x:c r="D55" s="20"/>
      <x:c r="E55" s="20"/>
      <x:c r="F55" s="20"/>
      <x:c r="G55" s="20"/>
      <x:c r="H55" s="20"/>
      <x:c r="I55" s="20"/>
      <x:c r="J55" s="20"/>
      <x:c r="K55" s="20"/>
      <x:c r="L55" s="20"/>
    </x:row>
    <x:row r="56">
      <x:c r="A56" s="20" t="str">
        <x:v>Weak beside strong</x:v>
      </x:c>
      <x:c r="B56" s="209" t="n">
        <x:f>SUMIFS('Scenario Summary'!$U$2:$U$17,'Scenario Summary'!$C$2:$C$17,"adaptive",'Scenario Summary'!$D$2:$D$17,"weak_beside_strong")</x:f>
        <x:v>0.4666292130423243</x:v>
      </x:c>
      <x:c r="C56" s="209" t="n">
        <x:f>SUMIFS('Scenario Summary'!$U$2:$U$17,'Scenario Summary'!$C$2:$C$17,"os_cfar",'Scenario Summary'!$D$2:$D$17,"weak_beside_strong")</x:f>
        <x:v>14.421754140494158</x:v>
      </x:c>
      <x:c r="D56" s="20"/>
      <x:c r="E56" s="20"/>
      <x:c r="F56" s="20"/>
      <x:c r="G56" s="20"/>
      <x:c r="H56" s="20"/>
      <x:c r="I56" s="20"/>
      <x:c r="J56" s="20"/>
      <x:c r="K56" s="20"/>
      <x:c r="L56" s="20"/>
    </x:row>
    <x:row r="57">
      <x:c r="A57" s="20" t="str">
        <x:v>Multiple carriers</x:v>
      </x:c>
      <x:c r="B57" s="209" t="n">
        <x:f>SUMIFS('Scenario Summary'!$U$2:$U$17,'Scenario Summary'!$C$2:$C$17,"adaptive",'Scenario Summary'!$D$2:$D$17,"multiple_carriers")</x:f>
        <x:v>0.45585830448544584</x:v>
      </x:c>
      <x:c r="C57" s="209" t="n">
        <x:f>SUMIFS('Scenario Summary'!$U$2:$U$17,'Scenario Summary'!$C$2:$C$17,"os_cfar",'Scenario Summary'!$D$2:$D$17,"multiple_carriers")</x:f>
        <x:v>14.046154152310919</x:v>
      </x:c>
      <x:c r="D57" s="20"/>
      <x:c r="E57" s="20"/>
      <x:c r="F57" s="20"/>
      <x:c r="G57" s="20"/>
      <x:c r="H57" s="20"/>
      <x:c r="I57" s="20"/>
      <x:c r="J57" s="20"/>
      <x:c r="K57" s="20"/>
      <x:c r="L57" s="20"/>
    </x:row>
    <x:row r="58">
      <x:c r="A58" s="20" t="str">
        <x:v>Closely spaced</x:v>
      </x:c>
      <x:c r="B58" s="209" t="n">
        <x:f>SUMIFS('Scenario Summary'!$U$2:$U$17,'Scenario Summary'!$C$2:$C$17,"adaptive",'Scenario Summary'!$D$2:$D$17,"closely_spaced_carriers")</x:f>
        <x:v>0.4682916965975891</x:v>
      </x:c>
      <x:c r="C58" s="209" t="n">
        <x:f>SUMIFS('Scenario Summary'!$U$2:$U$17,'Scenario Summary'!$C$2:$C$17,"os_cfar",'Scenario Summary'!$D$2:$D$17,"closely_spaced_carriers")</x:f>
        <x:v>14.1127243405208</x:v>
      </x:c>
      <x:c r="D58" s="20"/>
      <x:c r="E58" s="20"/>
      <x:c r="F58" s="20"/>
      <x:c r="G58" s="20"/>
      <x:c r="H58" s="20"/>
      <x:c r="I58" s="20"/>
      <x:c r="J58" s="20"/>
      <x:c r="K58" s="20"/>
      <x:c r="L58" s="20"/>
    </x:row>
    <x:row r="59">
      <x:c r="A59" s="20" t="str">
        <x:v>Variable noise floor</x:v>
      </x:c>
      <x:c r="B59" s="209" t="n">
        <x:f>SUMIFS('Scenario Summary'!$U$2:$U$17,'Scenario Summary'!$C$2:$C$17,"adaptive",'Scenario Summary'!$D$2:$D$17,"variable_noise_floor")</x:f>
        <x:v>0.45790769945597276</x:v>
      </x:c>
      <x:c r="C59" s="209" t="n">
        <x:f>SUMIFS('Scenario Summary'!$U$2:$U$17,'Scenario Summary'!$C$2:$C$17,"os_cfar",'Scenario Summary'!$D$2:$D$17,"variable_noise_floor")</x:f>
        <x:v>14.079286850028438</x:v>
      </x:c>
      <x:c r="D59" s="20"/>
      <x:c r="E59" s="20"/>
      <x:c r="F59" s="20"/>
      <x:c r="G59" s="20"/>
      <x:c r="H59" s="20"/>
      <x:c r="I59" s="20"/>
      <x:c r="J59" s="20"/>
      <x:c r="K59" s="20"/>
      <x:c r="L59" s="20"/>
    </x:row>
    <x:row r="60">
      <x:c r="A60" s="20" t="str">
        <x:v>Monte Carlo</x:v>
      </x:c>
      <x:c r="B60" s="209" t="n">
        <x:f>SUMIFS('Scenario Summary'!$U$2:$U$17,'Scenario Summary'!$C$2:$C$17,"adaptive",'Scenario Summary'!$D$2:$D$17,"monte_carlo")</x:f>
        <x:v>0.44060589498258196</x:v>
      </x:c>
      <x:c r="C60" s="209" t="n">
        <x:f>SUMIFS('Scenario Summary'!$U$2:$U$17,'Scenario Summary'!$C$2:$C$17,"os_cfar",'Scenario Summary'!$D$2:$D$17,"monte_carlo")</x:f>
        <x:v>13.865653852553805</x:v>
      </x:c>
      <x:c r="D60" s="20"/>
      <x:c r="E60" s="20"/>
      <x:c r="F60" s="20"/>
      <x:c r="G60" s="20"/>
      <x:c r="H60" s="20"/>
      <x:c r="I60" s="20"/>
      <x:c r="J60" s="20"/>
      <x:c r="K60" s="20"/>
      <x:c r="L60" s="20"/>
    </x:row>
    <x:row r="61">
      <x:c r="A61" s="20"/>
      <x:c r="B61" s="20"/>
      <x:c r="C61" s="20"/>
      <x:c r="D61" s="20"/>
      <x:c r="E61" s="20"/>
      <x:c r="F61" s="20"/>
      <x:c r="G61" s="20"/>
      <x:c r="H61" s="20"/>
      <x:c r="I61" s="20"/>
      <x:c r="J61" s="20"/>
      <x:c r="K61" s="20"/>
      <x:c r="L61" s="20"/>
    </x:row>
    <x:row r="62">
      <x:c r="A62" s="20"/>
      <x:c r="B62" s="20"/>
      <x:c r="C62" s="20"/>
      <x:c r="D62" s="20"/>
      <x:c r="E62" s="20"/>
      <x:c r="F62" s="20"/>
      <x:c r="G62" s="20"/>
      <x:c r="H62" s="20"/>
      <x:c r="I62" s="20"/>
      <x:c r="J62" s="20"/>
      <x:c r="K62" s="20"/>
      <x:c r="L62" s="20"/>
    </x:row>
    <x:row r="63">
      <x:c r="A63" s="20"/>
      <x:c r="B63" s="20"/>
      <x:c r="C63" s="20"/>
      <x:c r="D63" s="20"/>
      <x:c r="E63" s="20"/>
      <x:c r="F63" s="20"/>
      <x:c r="G63" s="20"/>
      <x:c r="H63" s="20"/>
      <x:c r="I63" s="20"/>
      <x:c r="J63" s="20"/>
      <x:c r="K63" s="20"/>
      <x:c r="L63" s="20"/>
    </x:row>
    <x:row r="64">
      <x:c r="A64" s="20"/>
      <x:c r="B64" s="20"/>
      <x:c r="C64" s="20"/>
      <x:c r="D64" s="20"/>
      <x:c r="E64" s="20"/>
      <x:c r="F64" s="20"/>
      <x:c r="G64" s="20"/>
      <x:c r="H64" s="20"/>
      <x:c r="I64" s="20"/>
      <x:c r="J64" s="20"/>
      <x:c r="K64" s="20"/>
      <x:c r="L64" s="20"/>
    </x:row>
    <x:row r="65">
      <x:c r="A65" s="20"/>
      <x:c r="B65" s="20"/>
      <x:c r="C65" s="20"/>
      <x:c r="D65" s="20"/>
      <x:c r="E65" s="20"/>
      <x:c r="F65" s="20"/>
      <x:c r="G65" s="20"/>
      <x:c r="H65" s="20"/>
      <x:c r="I65" s="20"/>
      <x:c r="J65" s="20"/>
      <x:c r="K65" s="20"/>
      <x:c r="L65" s="20"/>
    </x:row>
    <x:row r="66">
      <x:c r="A66" s="20"/>
      <x:c r="B66" s="20"/>
      <x:c r="C66" s="20"/>
      <x:c r="D66" s="20"/>
      <x:c r="E66" s="20"/>
      <x:c r="F66" s="20"/>
      <x:c r="G66" s="20"/>
      <x:c r="H66" s="20"/>
      <x:c r="I66" s="20"/>
      <x:c r="J66" s="20"/>
      <x:c r="K66" s="20"/>
      <x:c r="L66" s="20"/>
    </x:row>
    <x:row r="67">
      <x:c r="A67" s="20"/>
      <x:c r="B67" s="20"/>
      <x:c r="C67" s="20"/>
      <x:c r="D67" s="20"/>
      <x:c r="E67" s="20"/>
      <x:c r="F67" s="20"/>
      <x:c r="G67" s="20"/>
      <x:c r="H67" s="20"/>
      <x:c r="I67" s="20"/>
      <x:c r="J67" s="20"/>
      <x:c r="K67" s="20"/>
      <x:c r="L67" s="20"/>
    </x:row>
    <x:row r="68">
      <x:c r="A68" s="20"/>
      <x:c r="B68" s="20"/>
      <x:c r="C68" s="20"/>
      <x:c r="D68" s="20"/>
      <x:c r="E68" s="20"/>
      <x:c r="F68" s="20"/>
      <x:c r="G68" s="20"/>
      <x:c r="H68" s="20"/>
      <x:c r="I68" s="20"/>
      <x:c r="J68" s="20"/>
      <x:c r="K68" s="20"/>
      <x:c r="L68" s="20"/>
    </x:row>
    <x:row r="69">
      <x:c r="A69" s="210" t="str">
        <x:v>Interpretation boundary</x:v>
      </x:c>
      <x:c r="B69" s="210"/>
      <x:c r="C69" s="210"/>
      <x:c r="D69" s="210"/>
      <x:c r="E69" s="210"/>
      <x:c r="F69" s="210"/>
      <x:c r="G69" s="210"/>
      <x:c r="H69" s="210"/>
      <x:c r="I69" s="210"/>
      <x:c r="J69" s="210"/>
      <x:c r="K69" s="210"/>
      <x:c r="L69" s="210"/>
    </x:row>
    <x:row r="70">
      <x:c r="A70" s="211" t="str">
        <x:v>Phase 4 compares raw peak detectors on deterministic synthetic spectra. Passing every gate would make OS-CFAR eligible for Phase 5 hardware comparison; it would not authorize production integration. Inputs are unmodulated synthetic tones and noise, FFT levels are relative rather than calibrated dBm, temporal confirmation is excluded, and runtime applies only to the recorded development environment.</x:v>
      </x:c>
      <x:c r="B70" s="212"/>
      <x:c r="C70" s="212"/>
      <x:c r="D70" s="212"/>
      <x:c r="E70" s="212"/>
      <x:c r="F70" s="212"/>
      <x:c r="G70" s="212"/>
      <x:c r="H70" s="212"/>
      <x:c r="I70" s="212"/>
      <x:c r="J70" s="212"/>
      <x:c r="K70" s="212"/>
      <x:c r="L70" s="213"/>
    </x:row>
    <x:row r="71">
      <x:c r="A71" s="214"/>
      <x:c r="B71" s="215"/>
      <x:c r="C71" s="215"/>
      <x:c r="D71" s="215"/>
      <x:c r="E71" s="215"/>
      <x:c r="F71" s="215"/>
      <x:c r="G71" s="215"/>
      <x:c r="H71" s="215"/>
      <x:c r="I71" s="215"/>
      <x:c r="J71" s="215"/>
      <x:c r="K71" s="215"/>
      <x:c r="L71" s="216"/>
    </x:row>
    <x:row r="72">
      <x:c r="A72" s="214"/>
      <x:c r="B72" s="215"/>
      <x:c r="C72" s="215"/>
      <x:c r="D72" s="215"/>
      <x:c r="E72" s="215"/>
      <x:c r="F72" s="215"/>
      <x:c r="G72" s="215"/>
      <x:c r="H72" s="215"/>
      <x:c r="I72" s="215"/>
      <x:c r="J72" s="215"/>
      <x:c r="K72" s="215"/>
      <x:c r="L72" s="216"/>
    </x:row>
    <x:row r="73">
      <x:c r="A73" s="217"/>
      <x:c r="B73" s="218"/>
      <x:c r="C73" s="218"/>
      <x:c r="D73" s="218"/>
      <x:c r="E73" s="218"/>
      <x:c r="F73" s="218"/>
      <x:c r="G73" s="218"/>
      <x:c r="H73" s="218"/>
      <x:c r="I73" s="218"/>
      <x:c r="J73" s="218"/>
      <x:c r="K73" s="218"/>
      <x:c r="L73" s="219"/>
    </x:row>
  </x:sheetData>
  <x:mergeCells>
    <x:mergeCell ref="A1:L1"/>
    <x:mergeCell ref="A2:L2"/>
    <x:mergeCell ref="A4:C4"/>
    <x:mergeCell ref="A5:C5"/>
    <x:mergeCell ref="A6:C6"/>
    <x:mergeCell ref="A7:C7"/>
    <x:mergeCell ref="E4:G4"/>
    <x:mergeCell ref="E5:G5"/>
    <x:mergeCell ref="E6:G6"/>
    <x:mergeCell ref="E7:G7"/>
    <x:mergeCell ref="I4:L4"/>
    <x:mergeCell ref="A69:L69"/>
    <x:mergeCell ref="A70:L73"/>
  </x:mergeCells>
  <x:conditionalFormatting sqref="F11:F16">
    <x:cfRule type="containsText" dxfId="2" priority="1" operator="containsText" text="PASS"/>
    <x:cfRule type="containsText" dxfId="3" priority="2" operator="containsText" text="FAIL"/>
  </x:conditionalFormatting>
  <x:pageMargins left="0.7" right="0.7" top="0.75" bottom="0.75" header="0.3" footer="0.3"/>
  <x:drawing xmlns:r="http://schemas.openxmlformats.org/officeDocument/2006/relationships" r:id="R3857e6ed7ddc40a2"/>
</x:worksheet>
</file>