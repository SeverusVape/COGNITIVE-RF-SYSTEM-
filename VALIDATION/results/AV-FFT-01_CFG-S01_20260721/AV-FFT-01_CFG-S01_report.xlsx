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8a4f1a604041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 Trials" sheetId="1" r:id="R9f1cd892874346fd"/>
    <x:sheet xmlns:r="http://schemas.openxmlformats.org/officeDocument/2006/relationships" name="Summary" sheetId="2" r:id="R0d045307cbe544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"/>
  </x:numFmts>
  <x:fonts count="14">
    <x:font>
      <x:sz val="11"/>
      <x:name val="Carlito"/>
    </x:font>
    <x:font>
      <x:sz val="9"/>
      <x:name val="Aptos"/>
    </x:font>
    <x:font>
      <x:b/>
      <x:sz val="9"/>
      <x:color rgb="FFFFFFFF"/>
      <x:name val="Aptos"/>
    </x:font>
    <x:font>
      <x:b/>
      <x:sz val="18"/>
      <x:color rgb="FFFFFFFF"/>
      <x:name val="Aptos Display"/>
    </x:font>
    <x:font>
      <x:sz val="10"/>
      <x:color rgb="FFA8B3BD"/>
      <x:name val="Aptos"/>
    </x:font>
    <x:font>
      <x:b/>
      <x:sz val="11"/>
      <x:color rgb="FFFFFFFF"/>
      <x:name val="Carlito"/>
    </x:font>
    <x:font>
      <x:b/>
      <x:sz val="11"/>
      <x:color rgb="FF334155"/>
      <x:name val="Carlito"/>
    </x:font>
    <x:font>
      <x:sz val="11"/>
      <x:color rgb="FF163845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0"/>
      <x:color rgb="FF334155"/>
      <x:name val="Aptos"/>
    </x:font>
    <x:font>
      <x:sz val="10"/>
      <x:color rgb="FF163845"/>
      <x:name val="Aptos"/>
    </x:font>
    <x:font>
      <x:b/>
      <x:sz val="12"/>
      <x:color rgb="FFFFFFFF"/>
      <x:name val="Aptos Display"/>
    </x:font>
    <x:font>
      <x:sz val="12"/>
      <x:color rgb="FFFFFFFF"/>
      <x:name val="Aptos Display"/>
    </x:font>
  </x:fonts>
  <x:fills count="6">
    <x:fill>
      <x:patternFill patternType="none"/>
    </x:fill>
    <x:fill>
      <x:patternFill patternType="gray125"/>
    </x:fill>
    <x:fill>
      <x:patternFill patternType="solid">
        <x:fgColor rgb="FF25313B"/>
      </x:patternFill>
    </x:fill>
    <x:fill>
      <x:patternFill patternType="solid">
        <x:fgColor rgb="FF18232C"/>
      </x:patternFill>
    </x:fill>
    <x:fill>
      <x:patternFill patternType="solid">
        <x:fgColor rgb="FF0B6E8E"/>
      </x:patternFill>
    </x:fill>
    <x:fill>
      <x:patternFill patternType="solid">
        <x:fgColor rgb="FFE8F5F9"/>
      </x:patternFill>
    </x:fill>
  </x:fills>
  <x:borders count="20">
    <x:border/>
    <x:border/>
    <x:border>
      <x:bottom style="thin">
        <x:color rgb="FFD8DEE4"/>
      </x:bottom>
    </x:border>
    <x:border>
      <x:top style="thin">
        <x:color rgb="FFD8DEE4"/>
      </x:top>
      <x:bottom style="thin">
        <x:color rgb="FFD8DEE4"/>
      </x:bottom>
    </x:border>
    <x:border>
      <x:top style="thin">
        <x:color rgb="FFD8DEE4"/>
      </x:top>
    </x:border>
    <x:border>
      <x:bottom style="thin">
        <x:color rgb="FFD8DEE4"/>
      </x:bottom>
    </x:border>
    <x:border>
      <x:top style="thin">
        <x:color rgb="FFD8DEE4"/>
      </x:top>
      <x:bottom style="thin">
        <x:color rgb="FFD8DEE4"/>
      </x:bottom>
    </x:border>
    <x:border>
      <x:top style="thin">
        <x:color rgb="FFD8DEE4"/>
      </x:top>
    </x:border>
    <x:border>
      <x:left style="thin">
        <x:color rgb="FF77B9CD"/>
      </x:left>
      <x:top style="thin">
        <x:color rgb="FF77B9CD"/>
      </x:top>
    </x:border>
    <x:border>
      <x:top style="thin">
        <x:color rgb="FF77B9CD"/>
      </x:top>
    </x:border>
    <x:border>
      <x:right style="thin">
        <x:color rgb="FF77B9CD"/>
      </x:right>
      <x:top style="thin">
        <x:color rgb="FF77B9CD"/>
      </x:top>
    </x:border>
    <x:border>
      <x:left style="thin">
        <x:color rgb="FF77B9CD"/>
      </x:left>
      <x:bottom style="thin">
        <x:color rgb="FF77B9CD"/>
      </x:bottom>
    </x:border>
    <x:border>
      <x:bottom style="thin">
        <x:color rgb="FF77B9CD"/>
      </x:bottom>
    </x:border>
    <x:border>
      <x:right style="thin">
        <x:color rgb="FF77B9CD"/>
      </x:right>
      <x:bottom style="thin">
        <x:color rgb="FF77B9CD"/>
      </x:bottom>
    </x:border>
    <x:border>
      <x:left style="thin">
        <x:color rgb="FF77B9CD"/>
      </x:left>
      <x:top style="thin">
        <x:color rgb="FF77B9CD"/>
      </x:top>
    </x:border>
    <x:border>
      <x:top style="thin">
        <x:color rgb="FF77B9CD"/>
      </x:top>
    </x:border>
    <x:border>
      <x:right style="thin">
        <x:color rgb="FF77B9CD"/>
      </x:right>
      <x:top style="thin">
        <x:color rgb="FF77B9CD"/>
      </x:top>
    </x:border>
    <x:border>
      <x:left style="thin">
        <x:color rgb="FF77B9CD"/>
      </x:left>
      <x:bottom style="thin">
        <x:color rgb="FF77B9CD"/>
      </x:bottom>
    </x:border>
    <x:border>
      <x:bottom style="thin">
        <x:color rgb="FF77B9CD"/>
      </x:bottom>
    </x:border>
    <x:border>
      <x:right style="thin">
        <x:color rgb="FF77B9CD"/>
      </x:right>
      <x:bottom style="thin">
        <x:color rgb="FF77B9CD"/>
      </x:bottom>
    </x:border>
  </x:borders>
  <x:cellStyleXfs count="1">
    <x:xf numFmtId="0" fontId="0" fillId="0" borderId="0"/>
  </x:cellStyleXfs>
  <x:cellXfs count="142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200" fontId="1" fillId="0" borderId="2" xfId="0" applyNumberFormat="1" applyFont="1" applyFill="1" applyBorder="1"/>
    <x:xf numFmtId="200" fontId="1" fillId="0" borderId="3" xfId="0" applyNumberFormat="1" applyFont="1" applyFill="1" applyBorder="1"/>
    <x:xf numFmtId="200" fontId="1" fillId="0" borderId="4" xfId="0" applyNumberFormat="1" applyFont="1" applyFill="1" applyBorder="1"/>
    <x:xf numFmtId="200" fontId="1" fillId="0" borderId="5" xfId="0" applyNumberFormat="1" applyFont="1" applyFill="1" applyBorder="1"/>
    <x:xf numFmtId="200" fontId="1" fillId="0" borderId="6" xfId="0" applyNumberFormat="1" applyFont="1" applyFill="1" applyBorder="1"/>
    <x:xf numFmtId="200" fontId="1" fillId="0" borderId="7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5" fillId="2" borderId="2" xfId="0" applyNumberFormat="1" applyFont="1" applyFill="1" applyBorder="1"/>
    <x:xf numFmtId="0" fontId="6" fillId="0" borderId="3" xfId="0" applyNumberFormat="1" applyFont="1" applyFill="1" applyBorder="1"/>
    <x:xf numFmtId="201" fontId="0" fillId="0" borderId="3" xfId="0" applyNumberFormat="1" applyFont="1" applyFill="1" applyBorder="1"/>
    <x:xf numFmtId="200" fontId="0" fillId="0" borderId="3" xfId="0" applyNumberFormat="1" applyFont="1" applyFill="1" applyBorder="1"/>
    <x:xf numFmtId="0" fontId="6" fillId="0" borderId="4" xfId="0" applyNumberFormat="1" applyFont="1" applyFill="1" applyBorder="1"/>
    <x:xf numFmtId="200" fontId="0" fillId="0" borderId="4" xfId="0" applyNumberFormat="1" applyFont="1" applyFill="1" applyBorder="1"/>
    <x:xf numFmtId="0" fontId="5" fillId="2" borderId="5" xfId="0" applyNumberFormat="1" applyFont="1" applyFill="1" applyBorder="1"/>
    <x:xf numFmtId="0" fontId="6" fillId="0" borderId="6" xfId="0" applyNumberFormat="1" applyFont="1" applyFill="1" applyBorder="1"/>
    <x:xf numFmtId="201" fontId="0" fillId="0" borderId="6" xfId="0" applyNumberFormat="1" applyFont="1" applyFill="1" applyBorder="1"/>
    <x:xf numFmtId="200" fontId="0" fillId="0" borderId="6" xfId="0" applyNumberFormat="1" applyFont="1" applyFill="1" applyBorder="1"/>
    <x:xf numFmtId="0" fontId="6" fillId="0" borderId="7" xfId="0" applyNumberFormat="1" applyFont="1" applyFill="1" applyBorder="1"/>
    <x:xf numFmtId="200" fontId="0" fillId="0" borderId="7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201" fontId="0" fillId="0" borderId="4" xfId="0" applyNumberFormat="1" applyFont="1" applyFill="1" applyBorder="1"/>
    <x:xf numFmtId="201" fontId="0" fillId="0" borderId="7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7" fillId="5" borderId="0" xfId="0" applyNumberFormat="1" applyFont="1" applyFill="1" applyBorder="1"/>
    <x:xf numFmtId="0" fontId="7" fillId="5" borderId="1" xfId="0" applyNumberFormat="1" applyFont="1" applyFill="1" applyBorder="1"/>
    <x:xf numFmtId="0" fontId="7" fillId="5" borderId="8" xfId="0" applyNumberFormat="1" applyFont="1" applyFill="1" applyBorder="1"/>
    <x:xf numFmtId="0" fontId="7" fillId="5" borderId="9" xfId="0" applyNumberFormat="1" applyFont="1" applyFill="1" applyBorder="1"/>
    <x:xf numFmtId="0" fontId="7" fillId="5" borderId="10" xfId="0" applyNumberFormat="1" applyFont="1" applyFill="1" applyBorder="1"/>
    <x:xf numFmtId="0" fontId="7" fillId="5" borderId="11" xfId="0" applyNumberFormat="1" applyFont="1" applyFill="1" applyBorder="1"/>
    <x:xf numFmtId="0" fontId="7" fillId="5" borderId="12" xfId="0" applyNumberFormat="1" applyFont="1" applyFill="1" applyBorder="1"/>
    <x:xf numFmtId="0" fontId="7" fillId="5" borderId="13" xfId="0" applyNumberFormat="1" applyFont="1" applyFill="1" applyBorder="1"/>
    <x:xf numFmtId="0" fontId="7" fillId="5" borderId="14" xfId="0" applyNumberFormat="1" applyFont="1" applyFill="1" applyBorder="1"/>
    <x:xf numFmtId="0" fontId="7" fillId="5" borderId="15" xfId="0" applyNumberFormat="1" applyFont="1" applyFill="1" applyBorder="1"/>
    <x:xf numFmtId="0" fontId="7" fillId="5" borderId="16" xfId="0" applyNumberFormat="1" applyFont="1" applyFill="1" applyBorder="1"/>
    <x:xf numFmtId="0" fontId="7" fillId="5" borderId="17" xfId="0" applyNumberFormat="1" applyFont="1" applyFill="1" applyBorder="1"/>
    <x:xf numFmtId="0" fontId="7" fillId="5" borderId="18" xfId="0" applyNumberFormat="1" applyFont="1" applyFill="1" applyBorder="1"/>
    <x:xf numFmtId="0" fontId="7" fillId="5" borderId="19" xfId="0" applyNumberFormat="1" applyFont="1" applyFill="1" applyBorder="1"/>
    <x:xf numFmtId="0" fontId="7" fillId="5" borderId="8" xfId="0" applyNumberFormat="1" applyFont="1" applyFill="1" applyBorder="1" applyAlignment="1">
      <x:alignment wrapText="1"/>
    </x:xf>
    <x:xf numFmtId="0" fontId="7" fillId="5" borderId="9" xfId="0" applyNumberFormat="1" applyFont="1" applyFill="1" applyBorder="1" applyAlignment="1">
      <x:alignment wrapText="1"/>
    </x:xf>
    <x:xf numFmtId="0" fontId="7" fillId="5" borderId="10" xfId="0" applyNumberFormat="1" applyFont="1" applyFill="1" applyBorder="1" applyAlignment="1">
      <x:alignment wrapText="1"/>
    </x:xf>
    <x:xf numFmtId="0" fontId="7" fillId="5" borderId="11" xfId="0" applyNumberFormat="1" applyFont="1" applyFill="1" applyBorder="1" applyAlignment="1">
      <x:alignment wrapText="1"/>
    </x:xf>
    <x:xf numFmtId="0" fontId="7" fillId="5" borderId="12" xfId="0" applyNumberFormat="1" applyFont="1" applyFill="1" applyBorder="1" applyAlignment="1">
      <x:alignment wrapText="1"/>
    </x:xf>
    <x:xf numFmtId="0" fontId="7" fillId="5" borderId="13" xfId="0" applyNumberFormat="1" applyFont="1" applyFill="1" applyBorder="1" applyAlignment="1">
      <x:alignment wrapText="1"/>
    </x:xf>
    <x:xf numFmtId="0" fontId="7" fillId="5" borderId="14" xfId="0" applyNumberFormat="1" applyFont="1" applyFill="1" applyBorder="1" applyAlignment="1">
      <x:alignment wrapText="1"/>
    </x:xf>
    <x:xf numFmtId="0" fontId="7" fillId="5" borderId="15" xfId="0" applyNumberFormat="1" applyFont="1" applyFill="1" applyBorder="1" applyAlignment="1">
      <x:alignment wrapText="1"/>
    </x:xf>
    <x:xf numFmtId="0" fontId="7" fillId="5" borderId="16" xfId="0" applyNumberFormat="1" applyFont="1" applyFill="1" applyBorder="1" applyAlignment="1">
      <x:alignment wrapText="1"/>
    </x:xf>
    <x:xf numFmtId="0" fontId="7" fillId="5" borderId="17" xfId="0" applyNumberFormat="1" applyFont="1" applyFill="1" applyBorder="1" applyAlignment="1">
      <x:alignment wrapText="1"/>
    </x:xf>
    <x:xf numFmtId="0" fontId="7" fillId="5" borderId="18" xfId="0" applyNumberFormat="1" applyFont="1" applyFill="1" applyBorder="1" applyAlignment="1">
      <x:alignment wrapText="1"/>
    </x:xf>
    <x:xf numFmtId="0" fontId="7" fillId="5" borderId="19" xfId="0" applyNumberFormat="1" applyFont="1" applyFill="1" applyBorder="1" applyAlignment="1">
      <x:alignment wrapText="1"/>
    </x:xf>
    <x:xf numFmtId="0" fontId="7" fillId="5" borderId="8" xfId="0" applyNumberFormat="1" applyFont="1" applyFill="1" applyBorder="1" applyAlignment="1">
      <x:alignment vertical="center" wrapText="1"/>
    </x:xf>
    <x:xf numFmtId="0" fontId="7" fillId="5" borderId="9" xfId="0" applyNumberFormat="1" applyFont="1" applyFill="1" applyBorder="1" applyAlignment="1">
      <x:alignment vertical="center" wrapText="1"/>
    </x:xf>
    <x:xf numFmtId="0" fontId="7" fillId="5" borderId="10" xfId="0" applyNumberFormat="1" applyFont="1" applyFill="1" applyBorder="1" applyAlignment="1">
      <x:alignment vertical="center" wrapText="1"/>
    </x:xf>
    <x:xf numFmtId="0" fontId="7" fillId="5" borderId="11" xfId="0" applyNumberFormat="1" applyFont="1" applyFill="1" applyBorder="1" applyAlignment="1">
      <x:alignment vertical="center" wrapText="1"/>
    </x:xf>
    <x:xf numFmtId="0" fontId="7" fillId="5" borderId="12" xfId="0" applyNumberFormat="1" applyFont="1" applyFill="1" applyBorder="1" applyAlignment="1">
      <x:alignment vertical="center" wrapText="1"/>
    </x:xf>
    <x:xf numFmtId="0" fontId="7" fillId="5" borderId="13" xfId="0" applyNumberFormat="1" applyFont="1" applyFill="1" applyBorder="1" applyAlignment="1">
      <x:alignment vertical="center" wrapText="1"/>
    </x:xf>
    <x:xf numFmtId="0" fontId="7" fillId="5" borderId="14" xfId="0" applyNumberFormat="1" applyFont="1" applyFill="1" applyBorder="1" applyAlignment="1">
      <x:alignment vertical="center" wrapText="1"/>
    </x:xf>
    <x:xf numFmtId="0" fontId="7" fillId="5" borderId="15" xfId="0" applyNumberFormat="1" applyFont="1" applyFill="1" applyBorder="1" applyAlignment="1">
      <x:alignment vertical="center" wrapText="1"/>
    </x:xf>
    <x:xf numFmtId="0" fontId="7" fillId="5" borderId="16" xfId="0" applyNumberFormat="1" applyFont="1" applyFill="1" applyBorder="1" applyAlignment="1">
      <x:alignment vertical="center" wrapText="1"/>
    </x:xf>
    <x:xf numFmtId="0" fontId="7" fillId="5" borderId="17" xfId="0" applyNumberFormat="1" applyFont="1" applyFill="1" applyBorder="1" applyAlignment="1">
      <x:alignment vertical="center" wrapText="1"/>
    </x:xf>
    <x:xf numFmtId="0" fontId="7" fillId="5" borderId="18" xfId="0" applyNumberFormat="1" applyFont="1" applyFill="1" applyBorder="1" applyAlignment="1">
      <x:alignment vertical="center" wrapText="1"/>
    </x:xf>
    <x:xf numFmtId="0" fontId="7" fillId="5" borderId="19" xfId="0" applyNumberFormat="1" applyFont="1" applyFill="1" applyBorder="1" applyAlignment="1">
      <x:alignment vertical="center" wrapText="1"/>
    </x:xf>
    <x:xf numFmtId="0" fontId="8" fillId="3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/>
    <x:xf numFmtId="0" fontId="8" fillId="2" borderId="2" xfId="0" applyNumberFormat="1" applyFont="1" applyFill="1" applyBorder="1"/>
    <x:xf numFmtId="0" fontId="10" fillId="0" borderId="3" xfId="0" applyNumberFormat="1" applyFont="1" applyFill="1" applyBorder="1"/>
    <x:xf numFmtId="201" fontId="9" fillId="0" borderId="3" xfId="0" applyNumberFormat="1" applyFont="1" applyFill="1" applyBorder="1"/>
    <x:xf numFmtId="200" fontId="9" fillId="0" borderId="3" xfId="0" applyNumberFormat="1" applyFont="1" applyFill="1" applyBorder="1"/>
    <x:xf numFmtId="0" fontId="10" fillId="0" borderId="4" xfId="0" applyNumberFormat="1" applyFont="1" applyFill="1" applyBorder="1"/>
    <x:xf numFmtId="200" fontId="9" fillId="0" borderId="4" xfId="0" applyNumberFormat="1" applyFont="1" applyFill="1" applyBorder="1"/>
    <x:xf numFmtId="0" fontId="9" fillId="0" borderId="3" xfId="0" applyNumberFormat="1" applyFont="1" applyFill="1" applyBorder="1"/>
    <x:xf numFmtId="0" fontId="9" fillId="0" borderId="4" xfId="0" applyNumberFormat="1" applyFont="1" applyFill="1" applyBorder="1"/>
    <x:xf numFmtId="201" fontId="9" fillId="0" borderId="4" xfId="0" applyNumberFormat="1" applyFont="1" applyFill="1" applyBorder="1"/>
    <x:xf numFmtId="0" fontId="8" fillId="4" borderId="0" xfId="0" applyNumberFormat="1" applyFont="1" applyFill="1" applyBorder="1"/>
    <x:xf numFmtId="0" fontId="11" fillId="5" borderId="8" xfId="0" applyNumberFormat="1" applyFont="1" applyFill="1" applyBorder="1" applyAlignment="1">
      <x:alignment vertical="center" wrapText="1"/>
    </x:xf>
    <x:xf numFmtId="0" fontId="11" fillId="5" borderId="9" xfId="0" applyNumberFormat="1" applyFont="1" applyFill="1" applyBorder="1" applyAlignment="1">
      <x:alignment vertical="center" wrapText="1"/>
    </x:xf>
    <x:xf numFmtId="0" fontId="11" fillId="5" borderId="10" xfId="0" applyNumberFormat="1" applyFont="1" applyFill="1" applyBorder="1" applyAlignment="1">
      <x:alignment vertical="center" wrapText="1"/>
    </x:xf>
    <x:xf numFmtId="0" fontId="11" fillId="5" borderId="11" xfId="0" applyNumberFormat="1" applyFont="1" applyFill="1" applyBorder="1" applyAlignment="1">
      <x:alignment vertical="center" wrapText="1"/>
    </x:xf>
    <x:xf numFmtId="0" fontId="11" fillId="5" borderId="12" xfId="0" applyNumberFormat="1" applyFont="1" applyFill="1" applyBorder="1" applyAlignment="1">
      <x:alignment vertical="center" wrapText="1"/>
    </x:xf>
    <x:xf numFmtId="0" fontId="11" fillId="5" borderId="13" xfId="0" applyNumberFormat="1" applyFont="1" applyFill="1" applyBorder="1" applyAlignment="1">
      <x:alignment vertical="center" wrapText="1"/>
    </x:xf>
    <x:xf numFmtId="0" fontId="8" fillId="3" borderId="1" xfId="0" applyNumberFormat="1" applyFont="1" applyFill="1" applyBorder="1" applyAlignment="1">
      <x:alignment vertical="center"/>
    </x:xf>
    <x:xf numFmtId="0" fontId="9" fillId="0" borderId="1" xfId="0" applyNumberFormat="1" applyFont="1" applyFill="1" applyBorder="1"/>
    <x:xf numFmtId="0" fontId="8" fillId="2" borderId="5" xfId="0" applyNumberFormat="1" applyFont="1" applyFill="1" applyBorder="1"/>
    <x:xf numFmtId="0" fontId="10" fillId="0" borderId="6" xfId="0" applyNumberFormat="1" applyFont="1" applyFill="1" applyBorder="1"/>
    <x:xf numFmtId="201" fontId="9" fillId="0" borderId="6" xfId="0" applyNumberFormat="1" applyFont="1" applyFill="1" applyBorder="1"/>
    <x:xf numFmtId="200" fontId="9" fillId="0" borderId="6" xfId="0" applyNumberFormat="1" applyFont="1" applyFill="1" applyBorder="1"/>
    <x:xf numFmtId="0" fontId="10" fillId="0" borderId="7" xfId="0" applyNumberFormat="1" applyFont="1" applyFill="1" applyBorder="1"/>
    <x:xf numFmtId="200" fontId="9" fillId="0" borderId="7" xfId="0" applyNumberFormat="1" applyFont="1" applyFill="1" applyBorder="1"/>
    <x:xf numFmtId="0" fontId="9" fillId="0" borderId="6" xfId="0" applyNumberFormat="1" applyFont="1" applyFill="1" applyBorder="1"/>
    <x:xf numFmtId="0" fontId="9" fillId="0" borderId="7" xfId="0" applyNumberFormat="1" applyFont="1" applyFill="1" applyBorder="1"/>
    <x:xf numFmtId="201" fontId="9" fillId="0" borderId="7" xfId="0" applyNumberFormat="1" applyFont="1" applyFill="1" applyBorder="1"/>
    <x:xf numFmtId="0" fontId="8" fillId="4" borderId="1" xfId="0" applyNumberFormat="1" applyFont="1" applyFill="1" applyBorder="1"/>
    <x:xf numFmtId="0" fontId="11" fillId="5" borderId="14" xfId="0" applyNumberFormat="1" applyFont="1" applyFill="1" applyBorder="1" applyAlignment="1">
      <x:alignment vertical="center" wrapText="1"/>
    </x:xf>
    <x:xf numFmtId="0" fontId="11" fillId="5" borderId="15" xfId="0" applyNumberFormat="1" applyFont="1" applyFill="1" applyBorder="1" applyAlignment="1">
      <x:alignment vertical="center" wrapText="1"/>
    </x:xf>
    <x:xf numFmtId="0" fontId="11" fillId="5" borderId="16" xfId="0" applyNumberFormat="1" applyFont="1" applyFill="1" applyBorder="1" applyAlignment="1">
      <x:alignment vertical="center" wrapText="1"/>
    </x:xf>
    <x:xf numFmtId="0" fontId="11" fillId="5" borderId="17" xfId="0" applyNumberFormat="1" applyFont="1" applyFill="1" applyBorder="1" applyAlignment="1">
      <x:alignment vertical="center" wrapText="1"/>
    </x:xf>
    <x:xf numFmtId="0" fontId="11" fillId="5" borderId="18" xfId="0" applyNumberFormat="1" applyFont="1" applyFill="1" applyBorder="1" applyAlignment="1">
      <x:alignment vertical="center" wrapText="1"/>
    </x:xf>
    <x:xf numFmtId="0" fontId="11" fillId="5" borderId="19" xfId="0" applyNumberFormat="1" applyFont="1" applyFill="1" applyBorder="1" applyAlignment="1">
      <x:alignment vertical="center" wrapText="1"/>
    </x:xf>
    <x:xf numFmtId="0" fontId="12" fillId="3" borderId="0" xfId="0" applyNumberFormat="1" applyFont="1" applyFill="1" applyBorder="1" applyAlignment="1">
      <x:alignment vertical="center"/>
    </x:xf>
    <x:xf numFmtId="0" fontId="13" fillId="3" borderId="0" xfId="0" applyNumberFormat="1" applyFont="1" applyFill="1" applyBorder="1"/>
    <x:xf numFmtId="0" fontId="12" fillId="3" borderId="1" xfId="0" applyNumberFormat="1" applyFont="1" applyFill="1" applyBorder="1" applyAlignment="1">
      <x:alignment vertical="center"/>
    </x:xf>
    <x:xf numFmtId="0" fontId="13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42755f3868456c" /><Relationship Type="http://schemas.openxmlformats.org/officeDocument/2006/relationships/theme" Target="/xl/theme/theme1.xml" Id="R113e14bdca844756" /><Relationship Type="http://schemas.openxmlformats.org/officeDocument/2006/relationships/sharedStrings" Target="/xl/sharedStrings.xml" Id="R57868950679f4841" /><Relationship Type="http://schemas.openxmlformats.org/officeDocument/2006/relationships/worksheet" Target="/xl/worksheets/sheet1.xml" Id="R9f1cd892874346fd" /><Relationship Type="http://schemas.openxmlformats.org/officeDocument/2006/relationships/worksheet" Target="/xl/worksheets/sheet2.xml" Id="R0d045307cbe5448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4116c2693f6490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Signed Frequency Error Across FFT Span (Hz)</a:t>
            </a:r>
          </a:p>
        </c:rich>
      </c:tx>
    </c:title>
    <c:plotArea>
      <c:lineChart>
        <c:grouping val="standard"/>
        <c:ser>
          <c:idx val="0"/>
          <c:order val="0"/>
          <c:tx>
            <c:v>Mean error (Hz)</c:v>
          </c:tx>
          <c:marker>
            <c:symbol val="none"/>
          </c:marker>
          <c:cat>
            <c:strRef>
              <c:f>'Summary'!$A$13:$A$17</c:f>
              <c:strCache>
                <c:ptCount val="0"/>
              </c:strCache>
            </c:strRef>
          </c:cat>
          <c:val>
            <c:numRef>
              <c:f>'Summary'!$B$13:$B$17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  <c:max val="125"/>
          <c:min val="-125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3</xdr:row>
      <xdr:rowOff>0</xdr:rowOff>
    </xdr:from>
    <xdr:to>
      <xdr:col>8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4116c2693f6490f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b729db70a55242f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4399995803833" hidden="0" customWidth="1"/>
    <x:col min="2" max="2" width="10.779999732971191" hidden="0" customWidth="1"/>
    <x:col min="3" max="3" width="4.78000020980835" hidden="0" customWidth="1"/>
    <x:col min="4" max="4" width="8.329999923706055" hidden="0" customWidth="1"/>
    <x:col min="5" max="5" width="9.109999656677246" hidden="0" customWidth="1"/>
    <x:col min="6" max="6" width="10.4399995803833" hidden="0" customWidth="1"/>
    <x:col min="7" max="7" width="6.110000133514404" hidden="0" customWidth="1"/>
    <x:col min="8" max="8" width="10.220000267028809" hidden="0" customWidth="1"/>
    <x:col min="9" max="9" width="11.5600004196167" hidden="0" customWidth="1"/>
    <x:col min="10" max="10" width="9.779999732971191" hidden="0" customWidth="1"/>
    <x:col min="11" max="11" width="7.110000133514404" hidden="0" customWidth="1"/>
    <x:col min="12" max="12" width="13.220000267028809" hidden="0" customWidth="1"/>
    <x:col min="13" max="13" width="5.78000020980835" hidden="0" customWidth="1"/>
    <x:col min="14" max="14" width="11.890000343322754" hidden="0" customWidth="1"/>
    <x:col min="15" max="15" width="11.220000267028809" hidden="0" customWidth="1"/>
    <x:col min="16" max="16" width="13.4399995803833" hidden="0" customWidth="1"/>
    <x:col min="17" max="17" width="5.110000133514404" hidden="0" customWidth="1"/>
    <x:col min="18" max="18" width="24.559999465942383" hidden="0" customWidth="1"/>
  </x:cols>
  <x:sheetData>
    <x:row r="1" ht="34" customHeight="1">
      <x:c r="A1" s="8" t="str">
        <x:v>validation_id</x:v>
      </x:c>
      <x:c r="B1" s="8" t="str">
        <x:v>configuration_id</x:v>
      </x:c>
      <x:c r="C1" s="8" t="str">
        <x:v>trial_id</x:v>
      </x:c>
      <x:c r="D1" s="8" t="str">
        <x:v>timestamp</x:v>
      </x:c>
      <x:c r="E1" s="8" t="str">
        <x:v>random_seed</x:v>
      </x:c>
      <x:c r="F1" s="8" t="str">
        <x:v>sample_rate_hz</x:v>
      </x:c>
      <x:c r="G1" s="8" t="str">
        <x:v>fft_size</x:v>
      </x:c>
      <x:c r="H1" s="8" t="str">
        <x:v>bin_spacing_hz</x:v>
      </x:c>
      <x:c r="I1" s="8" t="str">
        <x:v>shifted_bin_index</x:v>
      </x:c>
      <x:c r="J1" s="8" t="str">
        <x:v>tone_offset_hz</x:v>
      </x:c>
      <x:c r="K1" s="8" t="str">
        <x:v>phase_rad</x:v>
      </x:c>
      <x:c r="L1" s="8" t="str">
        <x:v>measured_offset_hz</x:v>
      </x:c>
      <x:c r="M1" s="8" t="str">
        <x:v>error_hz</x:v>
      </x:c>
      <x:c r="N1" s="8" t="str">
        <x:v>absolute_error_hz</x:v>
      </x:c>
      <x:c r="O1" s="8" t="str">
        <x:v>peak_relative_db</x:v>
      </x:c>
      <x:c r="P1" s="8" t="str">
        <x:v>acceptance_limit_hz</x:v>
      </x:c>
      <x:c r="Q1" s="8" t="str">
        <x:v>passed</x:v>
      </x:c>
      <x:c r="R1" s="8" t="str">
        <x:v>notes</x:v>
      </x:c>
    </x:row>
    <x:row r="2">
      <x:c r="A2" s="10" t="str">
        <x:v>AV-FFT-01</x:v>
      </x:c>
      <x:c r="B2" s="10" t="str">
        <x:v>CFG-S01</x:v>
      </x:c>
      <x:c r="C2" s="10" t="str">
        <x:v>1</x:v>
      </x:c>
      <x:c r="D2" s="10" t="n">
        <x:v>46225.00811957176</x:v>
      </x:c>
      <x:c r="E2" s="10" t="str">
        <x:v>3102026</x:v>
      </x:c>
      <x:c r="F2" s="16" t="str">
        <x:v>2048000.0</x:v>
      </x:c>
      <x:c r="G2" s="16" t="str">
        <x:v>8192</x:v>
      </x:c>
      <x:c r="H2" s="16" t="str">
        <x:v>250.0</x:v>
      </x:c>
      <x:c r="I2" s="16" t="str">
        <x:v>1024</x:v>
      </x:c>
      <x:c r="J2" s="16" t="str">
        <x:v>-768000.0</x:v>
      </x:c>
      <x:c r="K2" s="16" t="str">
        <x:v>3.1107914426278955</x:v>
      </x:c>
      <x:c r="L2" s="16" t="str">
        <x:v>-768000.0</x:v>
      </x:c>
      <x:c r="M2" s="16" t="str">
        <x:v>0.0</x:v>
      </x:c>
      <x:c r="N2" s="16" t="str">
        <x:v>0.0</x:v>
      </x:c>
      <x:c r="O2" s="16" t="str">
        <x:v>78.26779887263511</x:v>
      </x:c>
      <x:c r="P2" s="16" t="str">
        <x:v>125.0</x:v>
      </x:c>
      <x:c r="Q2" s="10" t="str">
        <x:v>true</x:v>
      </x:c>
      <x:c r="R2" s="10" t="str">
        <x:v>bin-centered deterministic complex tone</x:v>
      </x:c>
    </x:row>
    <x:row r="3">
      <x:c r="A3" s="11" t="str">
        <x:v>AV-FFT-01</x:v>
      </x:c>
      <x:c r="B3" s="11" t="str">
        <x:v>CFG-S01</x:v>
      </x:c>
      <x:c r="C3" s="11" t="str">
        <x:v>2</x:v>
      </x:c>
      <x:c r="D3" s="11" t="n">
        <x:v>46225.00811957176</x:v>
      </x:c>
      <x:c r="E3" s="11" t="str">
        <x:v>3102027</x:v>
      </x:c>
      <x:c r="F3" s="17" t="str">
        <x:v>2048000.0</x:v>
      </x:c>
      <x:c r="G3" s="17" t="str">
        <x:v>8192</x:v>
      </x:c>
      <x:c r="H3" s="17" t="str">
        <x:v>250.0</x:v>
      </x:c>
      <x:c r="I3" s="17" t="str">
        <x:v>1024</x:v>
      </x:c>
      <x:c r="J3" s="17" t="str">
        <x:v>-768000.0</x:v>
      </x:c>
      <x:c r="K3" s="17" t="str">
        <x:v>2.5138644674490216</x:v>
      </x:c>
      <x:c r="L3" s="17" t="str">
        <x:v>-768000.0</x:v>
      </x:c>
      <x:c r="M3" s="17" t="str">
        <x:v>0.0</x:v>
      </x:c>
      <x:c r="N3" s="17" t="str">
        <x:v>0.0</x:v>
      </x:c>
      <x:c r="O3" s="17" t="str">
        <x:v>78.26779887263511</x:v>
      </x:c>
      <x:c r="P3" s="17" t="str">
        <x:v>125.0</x:v>
      </x:c>
      <x:c r="Q3" s="11" t="str">
        <x:v>true</x:v>
      </x:c>
      <x:c r="R3" s="11" t="str">
        <x:v>bin-centered deterministic complex tone</x:v>
      </x:c>
    </x:row>
    <x:row r="4">
      <x:c r="A4" s="11" t="str">
        <x:v>AV-FFT-01</x:v>
      </x:c>
      <x:c r="B4" s="11" t="str">
        <x:v>CFG-S01</x:v>
      </x:c>
      <x:c r="C4" s="11" t="str">
        <x:v>3</x:v>
      </x:c>
      <x:c r="D4" s="11" t="n">
        <x:v>46225.00811957176</x:v>
      </x:c>
      <x:c r="E4" s="11" t="str">
        <x:v>3102028</x:v>
      </x:c>
      <x:c r="F4" s="17" t="str">
        <x:v>2048000.0</x:v>
      </x:c>
      <x:c r="G4" s="17" t="str">
        <x:v>8192</x:v>
      </x:c>
      <x:c r="H4" s="17" t="str">
        <x:v>250.0</x:v>
      </x:c>
      <x:c r="I4" s="17" t="str">
        <x:v>1024</x:v>
      </x:c>
      <x:c r="J4" s="17" t="str">
        <x:v>-768000.0</x:v>
      </x:c>
      <x:c r="K4" s="17" t="str">
        <x:v>0.5873525507839275</x:v>
      </x:c>
      <x:c r="L4" s="17" t="str">
        <x:v>-768000.0</x:v>
      </x:c>
      <x:c r="M4" s="17" t="str">
        <x:v>0.0</x:v>
      </x:c>
      <x:c r="N4" s="17" t="str">
        <x:v>0.0</x:v>
      </x:c>
      <x:c r="O4" s="17" t="str">
        <x:v>78.26779887263511</x:v>
      </x:c>
      <x:c r="P4" s="17" t="str">
        <x:v>125.0</x:v>
      </x:c>
      <x:c r="Q4" s="11" t="str">
        <x:v>true</x:v>
      </x:c>
      <x:c r="R4" s="11" t="str">
        <x:v>bin-centered deterministic complex tone</x:v>
      </x:c>
    </x:row>
    <x:row r="5">
      <x:c r="A5" s="11" t="str">
        <x:v>AV-FFT-01</x:v>
      </x:c>
      <x:c r="B5" s="11" t="str">
        <x:v>CFG-S01</x:v>
      </x:c>
      <x:c r="C5" s="11" t="str">
        <x:v>4</x:v>
      </x:c>
      <x:c r="D5" s="11" t="n">
        <x:v>46225.00811957176</x:v>
      </x:c>
      <x:c r="E5" s="11" t="str">
        <x:v>3102029</x:v>
      </x:c>
      <x:c r="F5" s="17" t="str">
        <x:v>2048000.0</x:v>
      </x:c>
      <x:c r="G5" s="17" t="str">
        <x:v>8192</x:v>
      </x:c>
      <x:c r="H5" s="17" t="str">
        <x:v>250.0</x:v>
      </x:c>
      <x:c r="I5" s="17" t="str">
        <x:v>1024</x:v>
      </x:c>
      <x:c r="J5" s="17" t="str">
        <x:v>-768000.0</x:v>
      </x:c>
      <x:c r="K5" s="17" t="str">
        <x:v>2.262636609777758</x:v>
      </x:c>
      <x:c r="L5" s="17" t="str">
        <x:v>-768000.0</x:v>
      </x:c>
      <x:c r="M5" s="17" t="str">
        <x:v>0.0</x:v>
      </x:c>
      <x:c r="N5" s="17" t="str">
        <x:v>0.0</x:v>
      </x:c>
      <x:c r="O5" s="17" t="str">
        <x:v>78.26779887263511</x:v>
      </x:c>
      <x:c r="P5" s="17" t="str">
        <x:v>125.0</x:v>
      </x:c>
      <x:c r="Q5" s="11" t="str">
        <x:v>true</x:v>
      </x:c>
      <x:c r="R5" s="11" t="str">
        <x:v>bin-centered deterministic complex tone</x:v>
      </x:c>
    </x:row>
    <x:row r="6">
      <x:c r="A6" s="11" t="str">
        <x:v>AV-FFT-01</x:v>
      </x:c>
      <x:c r="B6" s="11" t="str">
        <x:v>CFG-S01</x:v>
      </x:c>
      <x:c r="C6" s="11" t="str">
        <x:v>5</x:v>
      </x:c>
      <x:c r="D6" s="11" t="n">
        <x:v>46225.00811957176</x:v>
      </x:c>
      <x:c r="E6" s="11" t="str">
        <x:v>3102030</x:v>
      </x:c>
      <x:c r="F6" s="17" t="str">
        <x:v>2048000.0</x:v>
      </x:c>
      <x:c r="G6" s="17" t="str">
        <x:v>8192</x:v>
      </x:c>
      <x:c r="H6" s="17" t="str">
        <x:v>250.0</x:v>
      </x:c>
      <x:c r="I6" s="17" t="str">
        <x:v>1024</x:v>
      </x:c>
      <x:c r="J6" s="17" t="str">
        <x:v>-768000.0</x:v>
      </x:c>
      <x:c r="K6" s="17" t="str">
        <x:v>0.7400795853029687</x:v>
      </x:c>
      <x:c r="L6" s="17" t="str">
        <x:v>-768000.0</x:v>
      </x:c>
      <x:c r="M6" s="17" t="str">
        <x:v>0.0</x:v>
      </x:c>
      <x:c r="N6" s="17" t="str">
        <x:v>0.0</x:v>
      </x:c>
      <x:c r="O6" s="17" t="str">
        <x:v>78.26779887263511</x:v>
      </x:c>
      <x:c r="P6" s="17" t="str">
        <x:v>125.0</x:v>
      </x:c>
      <x:c r="Q6" s="11" t="str">
        <x:v>true</x:v>
      </x:c>
      <x:c r="R6" s="11" t="str">
        <x:v>bin-centered deterministic complex tone</x:v>
      </x:c>
    </x:row>
    <x:row r="7">
      <x:c r="A7" s="11" t="str">
        <x:v>AV-FFT-01</x:v>
      </x:c>
      <x:c r="B7" s="11" t="str">
        <x:v>CFG-S01</x:v>
      </x:c>
      <x:c r="C7" s="11" t="str">
        <x:v>6</x:v>
      </x:c>
      <x:c r="D7" s="11" t="n">
        <x:v>46225.00811957176</x:v>
      </x:c>
      <x:c r="E7" s="11" t="str">
        <x:v>3102031</x:v>
      </x:c>
      <x:c r="F7" s="17" t="str">
        <x:v>2048000.0</x:v>
      </x:c>
      <x:c r="G7" s="17" t="str">
        <x:v>8192</x:v>
      </x:c>
      <x:c r="H7" s="17" t="str">
        <x:v>250.0</x:v>
      </x:c>
      <x:c r="I7" s="17" t="str">
        <x:v>2560</x:v>
      </x:c>
      <x:c r="J7" s="17" t="str">
        <x:v>-384000.0</x:v>
      </x:c>
      <x:c r="K7" s="17" t="str">
        <x:v>2.5910295646977675</x:v>
      </x:c>
      <x:c r="L7" s="17" t="str">
        <x:v>-384000.0</x:v>
      </x:c>
      <x:c r="M7" s="17" t="str">
        <x:v>0.0</x:v>
      </x:c>
      <x:c r="N7" s="17" t="str">
        <x:v>0.0</x:v>
      </x:c>
      <x:c r="O7" s="17" t="str">
        <x:v>78.26779887263511</x:v>
      </x:c>
      <x:c r="P7" s="17" t="str">
        <x:v>125.0</x:v>
      </x:c>
      <x:c r="Q7" s="11" t="str">
        <x:v>true</x:v>
      </x:c>
      <x:c r="R7" s="11" t="str">
        <x:v>bin-centered deterministic complex tone</x:v>
      </x:c>
    </x:row>
    <x:row r="8">
      <x:c r="A8" s="11" t="str">
        <x:v>AV-FFT-01</x:v>
      </x:c>
      <x:c r="B8" s="11" t="str">
        <x:v>CFG-S01</x:v>
      </x:c>
      <x:c r="C8" s="11" t="str">
        <x:v>7</x:v>
      </x:c>
      <x:c r="D8" s="11" t="n">
        <x:v>46225.00811957176</x:v>
      </x:c>
      <x:c r="E8" s="11" t="str">
        <x:v>3102032</x:v>
      </x:c>
      <x:c r="F8" s="17" t="str">
        <x:v>2048000.0</x:v>
      </x:c>
      <x:c r="G8" s="17" t="str">
        <x:v>8192</x:v>
      </x:c>
      <x:c r="H8" s="17" t="str">
        <x:v>250.0</x:v>
      </x:c>
      <x:c r="I8" s="17" t="str">
        <x:v>2560</x:v>
      </x:c>
      <x:c r="J8" s="17" t="str">
        <x:v>-384000.0</x:v>
      </x:c>
      <x:c r="K8" s="17" t="str">
        <x:v>1.474781310629521</x:v>
      </x:c>
      <x:c r="L8" s="17" t="str">
        <x:v>-384000.0</x:v>
      </x:c>
      <x:c r="M8" s="17" t="str">
        <x:v>0.0</x:v>
      </x:c>
      <x:c r="N8" s="17" t="str">
        <x:v>0.0</x:v>
      </x:c>
      <x:c r="O8" s="17" t="str">
        <x:v>78.26779887263511</x:v>
      </x:c>
      <x:c r="P8" s="17" t="str">
        <x:v>125.0</x:v>
      </x:c>
      <x:c r="Q8" s="11" t="str">
        <x:v>true</x:v>
      </x:c>
      <x:c r="R8" s="11" t="str">
        <x:v>bin-centered deterministic complex tone</x:v>
      </x:c>
    </x:row>
    <x:row r="9">
      <x:c r="A9" s="11" t="str">
        <x:v>AV-FFT-01</x:v>
      </x:c>
      <x:c r="B9" s="11" t="str">
        <x:v>CFG-S01</x:v>
      </x:c>
      <x:c r="C9" s="11" t="str">
        <x:v>8</x:v>
      </x:c>
      <x:c r="D9" s="11" t="n">
        <x:v>46225.00811957176</x:v>
      </x:c>
      <x:c r="E9" s="11" t="str">
        <x:v>3102033</x:v>
      </x:c>
      <x:c r="F9" s="17" t="str">
        <x:v>2048000.0</x:v>
      </x:c>
      <x:c r="G9" s="17" t="str">
        <x:v>8192</x:v>
      </x:c>
      <x:c r="H9" s="17" t="str">
        <x:v>250.0</x:v>
      </x:c>
      <x:c r="I9" s="17" t="str">
        <x:v>2560</x:v>
      </x:c>
      <x:c r="J9" s="17" t="str">
        <x:v>-384000.0</x:v>
      </x:c>
      <x:c r="K9" s="17" t="str">
        <x:v>4.43370451218106</x:v>
      </x:c>
      <x:c r="L9" s="17" t="str">
        <x:v>-384000.0</x:v>
      </x:c>
      <x:c r="M9" s="17" t="str">
        <x:v>0.0</x:v>
      </x:c>
      <x:c r="N9" s="17" t="str">
        <x:v>0.0</x:v>
      </x:c>
      <x:c r="O9" s="17" t="str">
        <x:v>78.26779887263511</x:v>
      </x:c>
      <x:c r="P9" s="17" t="str">
        <x:v>125.0</x:v>
      </x:c>
      <x:c r="Q9" s="11" t="str">
        <x:v>true</x:v>
      </x:c>
      <x:c r="R9" s="11" t="str">
        <x:v>bin-centered deterministic complex tone</x:v>
      </x:c>
    </x:row>
    <x:row r="10">
      <x:c r="A10" s="11" t="str">
        <x:v>AV-FFT-01</x:v>
      </x:c>
      <x:c r="B10" s="11" t="str">
        <x:v>CFG-S01</x:v>
      </x:c>
      <x:c r="C10" s="11" t="str">
        <x:v>9</x:v>
      </x:c>
      <x:c r="D10" s="11" t="n">
        <x:v>46225.00811957176</x:v>
      </x:c>
      <x:c r="E10" s="11" t="str">
        <x:v>3102034</x:v>
      </x:c>
      <x:c r="F10" s="17" t="str">
        <x:v>2048000.0</x:v>
      </x:c>
      <x:c r="G10" s="17" t="str">
        <x:v>8192</x:v>
      </x:c>
      <x:c r="H10" s="17" t="str">
        <x:v>250.0</x:v>
      </x:c>
      <x:c r="I10" s="17" t="str">
        <x:v>2560</x:v>
      </x:c>
      <x:c r="J10" s="17" t="str">
        <x:v>-384000.0</x:v>
      </x:c>
      <x:c r="K10" s="17" t="str">
        <x:v>0.7038429963555559</x:v>
      </x:c>
      <x:c r="L10" s="17" t="str">
        <x:v>-384000.0</x:v>
      </x:c>
      <x:c r="M10" s="17" t="str">
        <x:v>0.0</x:v>
      </x:c>
      <x:c r="N10" s="17" t="str">
        <x:v>0.0</x:v>
      </x:c>
      <x:c r="O10" s="17" t="str">
        <x:v>78.26779887263511</x:v>
      </x:c>
      <x:c r="P10" s="17" t="str">
        <x:v>125.0</x:v>
      </x:c>
      <x:c r="Q10" s="11" t="str">
        <x:v>true</x:v>
      </x:c>
      <x:c r="R10" s="11" t="str">
        <x:v>bin-centered deterministic complex tone</x:v>
      </x:c>
    </x:row>
    <x:row r="11">
      <x:c r="A11" s="11" t="str">
        <x:v>AV-FFT-01</x:v>
      </x:c>
      <x:c r="B11" s="11" t="str">
        <x:v>CFG-S01</x:v>
      </x:c>
      <x:c r="C11" s="11" t="str">
        <x:v>10</x:v>
      </x:c>
      <x:c r="D11" s="11" t="n">
        <x:v>46225.00811957176</x:v>
      </x:c>
      <x:c r="E11" s="11" t="str">
        <x:v>3102035</x:v>
      </x:c>
      <x:c r="F11" s="17" t="str">
        <x:v>2048000.0</x:v>
      </x:c>
      <x:c r="G11" s="17" t="str">
        <x:v>8192</x:v>
      </x:c>
      <x:c r="H11" s="17" t="str">
        <x:v>250.0</x:v>
      </x:c>
      <x:c r="I11" s="17" t="str">
        <x:v>2560</x:v>
      </x:c>
      <x:c r="J11" s="17" t="str">
        <x:v>-384000.0</x:v>
      </x:c>
      <x:c r="K11" s="17" t="str">
        <x:v>3.562285143315437</x:v>
      </x:c>
      <x:c r="L11" s="17" t="str">
        <x:v>-384000.0</x:v>
      </x:c>
      <x:c r="M11" s="17" t="str">
        <x:v>0.0</x:v>
      </x:c>
      <x:c r="N11" s="17" t="str">
        <x:v>0.0</x:v>
      </x:c>
      <x:c r="O11" s="17" t="str">
        <x:v>78.26779887263511</x:v>
      </x:c>
      <x:c r="P11" s="17" t="str">
        <x:v>125.0</x:v>
      </x:c>
      <x:c r="Q11" s="11" t="str">
        <x:v>true</x:v>
      </x:c>
      <x:c r="R11" s="11" t="str">
        <x:v>bin-centered deterministic complex tone</x:v>
      </x:c>
    </x:row>
    <x:row r="12">
      <x:c r="A12" s="11" t="str">
        <x:v>AV-FFT-01</x:v>
      </x:c>
      <x:c r="B12" s="11" t="str">
        <x:v>CFG-S01</x:v>
      </x:c>
      <x:c r="C12" s="11" t="str">
        <x:v>11</x:v>
      </x:c>
      <x:c r="D12" s="11" t="n">
        <x:v>46225.00811957176</x:v>
      </x:c>
      <x:c r="E12" s="11" t="str">
        <x:v>3102036</x:v>
      </x:c>
      <x:c r="F12" s="17" t="str">
        <x:v>2048000.0</x:v>
      </x:c>
      <x:c r="G12" s="17" t="str">
        <x:v>8192</x:v>
      </x:c>
      <x:c r="H12" s="17" t="str">
        <x:v>250.0</x:v>
      </x:c>
      <x:c r="I12" s="17" t="str">
        <x:v>4096</x:v>
      </x:c>
      <x:c r="J12" s="17" t="str">
        <x:v>0.0</x:v>
      </x:c>
      <x:c r="K12" s="17" t="str">
        <x:v>3.8270089939515963</x:v>
      </x:c>
      <x:c r="L12" s="17" t="str">
        <x:v>0.0</x:v>
      </x:c>
      <x:c r="M12" s="17" t="str">
        <x:v>0.0</x:v>
      </x:c>
      <x:c r="N12" s="17" t="str">
        <x:v>0.0</x:v>
      </x:c>
      <x:c r="O12" s="17" t="str">
        <x:v>78.26779887263511</x:v>
      </x:c>
      <x:c r="P12" s="17" t="str">
        <x:v>125.0</x:v>
      </x:c>
      <x:c r="Q12" s="11" t="str">
        <x:v>true</x:v>
      </x:c>
      <x:c r="R12" s="11" t="str">
        <x:v>bin-centered deterministic complex tone</x:v>
      </x:c>
    </x:row>
    <x:row r="13">
      <x:c r="A13" s="11" t="str">
        <x:v>AV-FFT-01</x:v>
      </x:c>
      <x:c r="B13" s="11" t="str">
        <x:v>CFG-S01</x:v>
      </x:c>
      <x:c r="C13" s="11" t="str">
        <x:v>12</x:v>
      </x:c>
      <x:c r="D13" s="11" t="n">
        <x:v>46225.00811957176</x:v>
      </x:c>
      <x:c r="E13" s="11" t="str">
        <x:v>3102037</x:v>
      </x:c>
      <x:c r="F13" s="17" t="str">
        <x:v>2048000.0</x:v>
      </x:c>
      <x:c r="G13" s="17" t="str">
        <x:v>8192</x:v>
      </x:c>
      <x:c r="H13" s="17" t="str">
        <x:v>250.0</x:v>
      </x:c>
      <x:c r="I13" s="17" t="str">
        <x:v>4096</x:v>
      </x:c>
      <x:c r="J13" s="17" t="str">
        <x:v>0.0</x:v>
      </x:c>
      <x:c r="K13" s="17" t="str">
        <x:v>2.5654590677805182</x:v>
      </x:c>
      <x:c r="L13" s="17" t="str">
        <x:v>0.0</x:v>
      </x:c>
      <x:c r="M13" s="17" t="str">
        <x:v>0.0</x:v>
      </x:c>
      <x:c r="N13" s="17" t="str">
        <x:v>0.0</x:v>
      </x:c>
      <x:c r="O13" s="17" t="str">
        <x:v>78.26779887263511</x:v>
      </x:c>
      <x:c r="P13" s="17" t="str">
        <x:v>125.0</x:v>
      </x:c>
      <x:c r="Q13" s="11" t="str">
        <x:v>true</x:v>
      </x:c>
      <x:c r="R13" s="11" t="str">
        <x:v>bin-centered deterministic complex tone</x:v>
      </x:c>
    </x:row>
    <x:row r="14">
      <x:c r="A14" s="11" t="str">
        <x:v>AV-FFT-01</x:v>
      </x:c>
      <x:c r="B14" s="11" t="str">
        <x:v>CFG-S01</x:v>
      </x:c>
      <x:c r="C14" s="11" t="str">
        <x:v>13</x:v>
      </x:c>
      <x:c r="D14" s="11" t="n">
        <x:v>46225.00811957176</x:v>
      </x:c>
      <x:c r="E14" s="11" t="str">
        <x:v>3102038</x:v>
      </x:c>
      <x:c r="F14" s="17" t="str">
        <x:v>2048000.0</x:v>
      </x:c>
      <x:c r="G14" s="17" t="str">
        <x:v>8192</x:v>
      </x:c>
      <x:c r="H14" s="17" t="str">
        <x:v>250.0</x:v>
      </x:c>
      <x:c r="I14" s="17" t="str">
        <x:v>4096</x:v>
      </x:c>
      <x:c r="J14" s="17" t="str">
        <x:v>0.0</x:v>
      </x:c>
      <x:c r="K14" s="17" t="str">
        <x:v>5.09604954267079</x:v>
      </x:c>
      <x:c r="L14" s="17" t="str">
        <x:v>0.0</x:v>
      </x:c>
      <x:c r="M14" s="17" t="str">
        <x:v>0.0</x:v>
      </x:c>
      <x:c r="N14" s="17" t="str">
        <x:v>0.0</x:v>
      </x:c>
      <x:c r="O14" s="17" t="str">
        <x:v>78.26779887263511</x:v>
      </x:c>
      <x:c r="P14" s="17" t="str">
        <x:v>125.0</x:v>
      </x:c>
      <x:c r="Q14" s="11" t="str">
        <x:v>true</x:v>
      </x:c>
      <x:c r="R14" s="11" t="str">
        <x:v>bin-centered deterministic complex tone</x:v>
      </x:c>
    </x:row>
    <x:row r="15">
      <x:c r="A15" s="11" t="str">
        <x:v>AV-FFT-01</x:v>
      </x:c>
      <x:c r="B15" s="11" t="str">
        <x:v>CFG-S01</x:v>
      </x:c>
      <x:c r="C15" s="11" t="str">
        <x:v>14</x:v>
      </x:c>
      <x:c r="D15" s="11" t="n">
        <x:v>46225.00811957176</x:v>
      </x:c>
      <x:c r="E15" s="11" t="str">
        <x:v>3102039</x:v>
      </x:c>
      <x:c r="F15" s="17" t="str">
        <x:v>2048000.0</x:v>
      </x:c>
      <x:c r="G15" s="17" t="str">
        <x:v>8192</x:v>
      </x:c>
      <x:c r="H15" s="17" t="str">
        <x:v>250.0</x:v>
      </x:c>
      <x:c r="I15" s="17" t="str">
        <x:v>4096</x:v>
      </x:c>
      <x:c r="J15" s="17" t="str">
        <x:v>0.0</x:v>
      </x:c>
      <x:c r="K15" s="17" t="str">
        <x:v>4.9528310324475076</x:v>
      </x:c>
      <x:c r="L15" s="17" t="str">
        <x:v>0.0</x:v>
      </x:c>
      <x:c r="M15" s="17" t="str">
        <x:v>0.0</x:v>
      </x:c>
      <x:c r="N15" s="17" t="str">
        <x:v>0.0</x:v>
      </x:c>
      <x:c r="O15" s="17" t="str">
        <x:v>78.26779887263511</x:v>
      </x:c>
      <x:c r="P15" s="17" t="str">
        <x:v>125.0</x:v>
      </x:c>
      <x:c r="Q15" s="11" t="str">
        <x:v>true</x:v>
      </x:c>
      <x:c r="R15" s="11" t="str">
        <x:v>bin-centered deterministic complex tone</x:v>
      </x:c>
    </x:row>
    <x:row r="16">
      <x:c r="A16" s="11" t="str">
        <x:v>AV-FFT-01</x:v>
      </x:c>
      <x:c r="B16" s="11" t="str">
        <x:v>CFG-S01</x:v>
      </x:c>
      <x:c r="C16" s="11" t="str">
        <x:v>15</x:v>
      </x:c>
      <x:c r="D16" s="11" t="n">
        <x:v>46225.00811957176</x:v>
      </x:c>
      <x:c r="E16" s="11" t="str">
        <x:v>3102040</x:v>
      </x:c>
      <x:c r="F16" s="17" t="str">
        <x:v>2048000.0</x:v>
      </x:c>
      <x:c r="G16" s="17" t="str">
        <x:v>8192</x:v>
      </x:c>
      <x:c r="H16" s="17" t="str">
        <x:v>250.0</x:v>
      </x:c>
      <x:c r="I16" s="17" t="str">
        <x:v>4096</x:v>
      </x:c>
      <x:c r="J16" s="17" t="str">
        <x:v>0.0</x:v>
      </x:c>
      <x:c r="K16" s="17" t="str">
        <x:v>5.515604868723202</x:v>
      </x:c>
      <x:c r="L16" s="17" t="str">
        <x:v>0.0</x:v>
      </x:c>
      <x:c r="M16" s="17" t="str">
        <x:v>0.0</x:v>
      </x:c>
      <x:c r="N16" s="17" t="str">
        <x:v>0.0</x:v>
      </x:c>
      <x:c r="O16" s="17" t="str">
        <x:v>78.26779887263511</x:v>
      </x:c>
      <x:c r="P16" s="17" t="str">
        <x:v>125.0</x:v>
      </x:c>
      <x:c r="Q16" s="11" t="str">
        <x:v>true</x:v>
      </x:c>
      <x:c r="R16" s="11" t="str">
        <x:v>bin-centered deterministic complex tone</x:v>
      </x:c>
    </x:row>
    <x:row r="17">
      <x:c r="A17" s="11" t="str">
        <x:v>AV-FFT-01</x:v>
      </x:c>
      <x:c r="B17" s="11" t="str">
        <x:v>CFG-S01</x:v>
      </x:c>
      <x:c r="C17" s="11" t="str">
        <x:v>16</x:v>
      </x:c>
      <x:c r="D17" s="11" t="n">
        <x:v>46225.00811957176</x:v>
      </x:c>
      <x:c r="E17" s="11" t="str">
        <x:v>3102041</x:v>
      </x:c>
      <x:c r="F17" s="17" t="str">
        <x:v>2048000.0</x:v>
      </x:c>
      <x:c r="G17" s="17" t="str">
        <x:v>8192</x:v>
      </x:c>
      <x:c r="H17" s="17" t="str">
        <x:v>250.0</x:v>
      </x:c>
      <x:c r="I17" s="17" t="str">
        <x:v>5632</x:v>
      </x:c>
      <x:c r="J17" s="17" t="str">
        <x:v>384000.0</x:v>
      </x:c>
      <x:c r="K17" s="17" t="str">
        <x:v>5.050440593832674</x:v>
      </x:c>
      <x:c r="L17" s="17" t="str">
        <x:v>384000.0</x:v>
      </x:c>
      <x:c r="M17" s="17" t="str">
        <x:v>0.0</x:v>
      </x:c>
      <x:c r="N17" s="17" t="str">
        <x:v>0.0</x:v>
      </x:c>
      <x:c r="O17" s="17" t="str">
        <x:v>78.26779887263511</x:v>
      </x:c>
      <x:c r="P17" s="17" t="str">
        <x:v>125.0</x:v>
      </x:c>
      <x:c r="Q17" s="11" t="str">
        <x:v>true</x:v>
      </x:c>
      <x:c r="R17" s="11" t="str">
        <x:v>bin-centered deterministic complex tone</x:v>
      </x:c>
    </x:row>
    <x:row r="18">
      <x:c r="A18" s="11" t="str">
        <x:v>AV-FFT-01</x:v>
      </x:c>
      <x:c r="B18" s="11" t="str">
        <x:v>CFG-S01</x:v>
      </x:c>
      <x:c r="C18" s="11" t="str">
        <x:v>17</x:v>
      </x:c>
      <x:c r="D18" s="11" t="n">
        <x:v>46225.00811957176</x:v>
      </x:c>
      <x:c r="E18" s="11" t="str">
        <x:v>3102042</x:v>
      </x:c>
      <x:c r="F18" s="17" t="str">
        <x:v>2048000.0</x:v>
      </x:c>
      <x:c r="G18" s="17" t="str">
        <x:v>8192</x:v>
      </x:c>
      <x:c r="H18" s="17" t="str">
        <x:v>250.0</x:v>
      </x:c>
      <x:c r="I18" s="17" t="str">
        <x:v>5632</x:v>
      </x:c>
      <x:c r="J18" s="17" t="str">
        <x:v>384000.0</x:v>
      </x:c>
      <x:c r="K18" s="17" t="str">
        <x:v>0.2513332233454401</x:v>
      </x:c>
      <x:c r="L18" s="17" t="str">
        <x:v>384000.0</x:v>
      </x:c>
      <x:c r="M18" s="17" t="str">
        <x:v>0.0</x:v>
      </x:c>
      <x:c r="N18" s="17" t="str">
        <x:v>0.0</x:v>
      </x:c>
      <x:c r="O18" s="17" t="str">
        <x:v>78.26779887263511</x:v>
      </x:c>
      <x:c r="P18" s="17" t="str">
        <x:v>125.0</x:v>
      </x:c>
      <x:c r="Q18" s="11" t="str">
        <x:v>true</x:v>
      </x:c>
      <x:c r="R18" s="11" t="str">
        <x:v>bin-centered deterministic complex tone</x:v>
      </x:c>
    </x:row>
    <x:row r="19">
      <x:c r="A19" s="11" t="str">
        <x:v>AV-FFT-01</x:v>
      </x:c>
      <x:c r="B19" s="11" t="str">
        <x:v>CFG-S01</x:v>
      </x:c>
      <x:c r="C19" s="11" t="str">
        <x:v>18</x:v>
      </x:c>
      <x:c r="D19" s="11" t="n">
        <x:v>46225.00811957176</x:v>
      </x:c>
      <x:c r="E19" s="11" t="str">
        <x:v>3102043</x:v>
      </x:c>
      <x:c r="F19" s="17" t="str">
        <x:v>2048000.0</x:v>
      </x:c>
      <x:c r="G19" s="17" t="str">
        <x:v>8192</x:v>
      </x:c>
      <x:c r="H19" s="17" t="str">
        <x:v>250.0</x:v>
      </x:c>
      <x:c r="I19" s="17" t="str">
        <x:v>5632</x:v>
      </x:c>
      <x:c r="J19" s="17" t="str">
        <x:v>384000.0</x:v>
      </x:c>
      <x:c r="K19" s="17" t="str">
        <x:v>2.3376612671375114</x:v>
      </x:c>
      <x:c r="L19" s="17" t="str">
        <x:v>384000.0</x:v>
      </x:c>
      <x:c r="M19" s="17" t="str">
        <x:v>0.0</x:v>
      </x:c>
      <x:c r="N19" s="17" t="str">
        <x:v>0.0</x:v>
      </x:c>
      <x:c r="O19" s="17" t="str">
        <x:v>78.26779887263511</x:v>
      </x:c>
      <x:c r="P19" s="17" t="str">
        <x:v>125.0</x:v>
      </x:c>
      <x:c r="Q19" s="11" t="str">
        <x:v>true</x:v>
      </x:c>
      <x:c r="R19" s="11" t="str">
        <x:v>bin-centered deterministic complex tone</x:v>
      </x:c>
    </x:row>
    <x:row r="20">
      <x:c r="A20" s="11" t="str">
        <x:v>AV-FFT-01</x:v>
      </x:c>
      <x:c r="B20" s="11" t="str">
        <x:v>CFG-S01</x:v>
      </x:c>
      <x:c r="C20" s="11" t="str">
        <x:v>19</x:v>
      </x:c>
      <x:c r="D20" s="11" t="n">
        <x:v>46225.00811957176</x:v>
      </x:c>
      <x:c r="E20" s="11" t="str">
        <x:v>3102044</x:v>
      </x:c>
      <x:c r="F20" s="17" t="str">
        <x:v>2048000.0</x:v>
      </x:c>
      <x:c r="G20" s="17" t="str">
        <x:v>8192</x:v>
      </x:c>
      <x:c r="H20" s="17" t="str">
        <x:v>250.0</x:v>
      </x:c>
      <x:c r="I20" s="17" t="str">
        <x:v>5632</x:v>
      </x:c>
      <x:c r="J20" s="17" t="str">
        <x:v>384000.0</x:v>
      </x:c>
      <x:c r="K20" s="17" t="str">
        <x:v>6.004507657650072</x:v>
      </x:c>
      <x:c r="L20" s="17" t="str">
        <x:v>384000.0</x:v>
      </x:c>
      <x:c r="M20" s="17" t="str">
        <x:v>0.0</x:v>
      </x:c>
      <x:c r="N20" s="17" t="str">
        <x:v>0.0</x:v>
      </x:c>
      <x:c r="O20" s="17" t="str">
        <x:v>78.26779887263511</x:v>
      </x:c>
      <x:c r="P20" s="17" t="str">
        <x:v>125.0</x:v>
      </x:c>
      <x:c r="Q20" s="11" t="str">
        <x:v>true</x:v>
      </x:c>
      <x:c r="R20" s="11" t="str">
        <x:v>bin-centered deterministic complex tone</x:v>
      </x:c>
    </x:row>
    <x:row r="21">
      <x:c r="A21" s="11" t="str">
        <x:v>AV-FFT-01</x:v>
      </x:c>
      <x:c r="B21" s="11" t="str">
        <x:v>CFG-S01</x:v>
      </x:c>
      <x:c r="C21" s="11" t="str">
        <x:v>20</x:v>
      </x:c>
      <x:c r="D21" s="11" t="n">
        <x:v>46225.00811957176</x:v>
      </x:c>
      <x:c r="E21" s="11" t="str">
        <x:v>3102045</x:v>
      </x:c>
      <x:c r="F21" s="17" t="str">
        <x:v>2048000.0</x:v>
      </x:c>
      <x:c r="G21" s="17" t="str">
        <x:v>8192</x:v>
      </x:c>
      <x:c r="H21" s="17" t="str">
        <x:v>250.0</x:v>
      </x:c>
      <x:c r="I21" s="17" t="str">
        <x:v>5632</x:v>
      </x:c>
      <x:c r="J21" s="17" t="str">
        <x:v>384000.0</x:v>
      </x:c>
      <x:c r="K21" s="17" t="str">
        <x:v>1.1756220185096729</x:v>
      </x:c>
      <x:c r="L21" s="17" t="str">
        <x:v>384000.0</x:v>
      </x:c>
      <x:c r="M21" s="17" t="str">
        <x:v>0.0</x:v>
      </x:c>
      <x:c r="N21" s="17" t="str">
        <x:v>0.0</x:v>
      </x:c>
      <x:c r="O21" s="17" t="str">
        <x:v>78.26779887263511</x:v>
      </x:c>
      <x:c r="P21" s="17" t="str">
        <x:v>125.0</x:v>
      </x:c>
      <x:c r="Q21" s="11" t="str">
        <x:v>true</x:v>
      </x:c>
      <x:c r="R21" s="11" t="str">
        <x:v>bin-centered deterministic complex tone</x:v>
      </x:c>
    </x:row>
    <x:row r="22">
      <x:c r="A22" s="11" t="str">
        <x:v>AV-FFT-01</x:v>
      </x:c>
      <x:c r="B22" s="11" t="str">
        <x:v>CFG-S01</x:v>
      </x:c>
      <x:c r="C22" s="11" t="str">
        <x:v>21</x:v>
      </x:c>
      <x:c r="D22" s="11" t="n">
        <x:v>46225.00811957176</x:v>
      </x:c>
      <x:c r="E22" s="11" t="str">
        <x:v>3102046</x:v>
      </x:c>
      <x:c r="F22" s="17" t="str">
        <x:v>2048000.0</x:v>
      </x:c>
      <x:c r="G22" s="17" t="str">
        <x:v>8192</x:v>
      </x:c>
      <x:c r="H22" s="17" t="str">
        <x:v>250.0</x:v>
      </x:c>
      <x:c r="I22" s="17" t="str">
        <x:v>7168</x:v>
      </x:c>
      <x:c r="J22" s="17" t="str">
        <x:v>768000.0</x:v>
      </x:c>
      <x:c r="K22" s="17" t="str">
        <x:v>0.7444104956260453</x:v>
      </x:c>
      <x:c r="L22" s="17" t="str">
        <x:v>768000.0</x:v>
      </x:c>
      <x:c r="M22" s="17" t="str">
        <x:v>0.0</x:v>
      </x:c>
      <x:c r="N22" s="17" t="str">
        <x:v>0.0</x:v>
      </x:c>
      <x:c r="O22" s="17" t="str">
        <x:v>78.26779887263511</x:v>
      </x:c>
      <x:c r="P22" s="17" t="str">
        <x:v>125.0</x:v>
      </x:c>
      <x:c r="Q22" s="11" t="str">
        <x:v>true</x:v>
      </x:c>
      <x:c r="R22" s="11" t="str">
        <x:v>bin-centered deterministic complex tone</x:v>
      </x:c>
    </x:row>
    <x:row r="23">
      <x:c r="A23" s="11" t="str">
        <x:v>AV-FFT-01</x:v>
      </x:c>
      <x:c r="B23" s="11" t="str">
        <x:v>CFG-S01</x:v>
      </x:c>
      <x:c r="C23" s="11" t="str">
        <x:v>22</x:v>
      </x:c>
      <x:c r="D23" s="11" t="n">
        <x:v>46225.00811957176</x:v>
      </x:c>
      <x:c r="E23" s="11" t="str">
        <x:v>3102047</x:v>
      </x:c>
      <x:c r="F23" s="17" t="str">
        <x:v>2048000.0</x:v>
      </x:c>
      <x:c r="G23" s="17" t="str">
        <x:v>8192</x:v>
      </x:c>
      <x:c r="H23" s="17" t="str">
        <x:v>250.0</x:v>
      </x:c>
      <x:c r="I23" s="17" t="str">
        <x:v>7168</x:v>
      </x:c>
      <x:c r="J23" s="17" t="str">
        <x:v>768000.0</x:v>
      </x:c>
      <x:c r="K23" s="17" t="str">
        <x:v>0.4522426899775263</x:v>
      </x:c>
      <x:c r="L23" s="17" t="str">
        <x:v>768000.0</x:v>
      </x:c>
      <x:c r="M23" s="17" t="str">
        <x:v>0.0</x:v>
      </x:c>
      <x:c r="N23" s="17" t="str">
        <x:v>0.0</x:v>
      </x:c>
      <x:c r="O23" s="17" t="str">
        <x:v>78.26779887263511</x:v>
      </x:c>
      <x:c r="P23" s="17" t="str">
        <x:v>125.0</x:v>
      </x:c>
      <x:c r="Q23" s="11" t="str">
        <x:v>true</x:v>
      </x:c>
      <x:c r="R23" s="11" t="str">
        <x:v>bin-centered deterministic complex tone</x:v>
      </x:c>
    </x:row>
    <x:row r="24">
      <x:c r="A24" s="11" t="str">
        <x:v>AV-FFT-01</x:v>
      </x:c>
      <x:c r="B24" s="11" t="str">
        <x:v>CFG-S01</x:v>
      </x:c>
      <x:c r="C24" s="11" t="str">
        <x:v>23</x:v>
      </x:c>
      <x:c r="D24" s="11" t="n">
        <x:v>46225.00811957176</x:v>
      </x:c>
      <x:c r="E24" s="11" t="str">
        <x:v>3102048</x:v>
      </x:c>
      <x:c r="F24" s="17" t="str">
        <x:v>2048000.0</x:v>
      </x:c>
      <x:c r="G24" s="17" t="str">
        <x:v>8192</x:v>
      </x:c>
      <x:c r="H24" s="17" t="str">
        <x:v>250.0</x:v>
      </x:c>
      <x:c r="I24" s="17" t="str">
        <x:v>7168</x:v>
      </x:c>
      <x:c r="J24" s="17" t="str">
        <x:v>768000.0</x:v>
      </x:c>
      <x:c r="K24" s="17" t="str">
        <x:v>4.818445755273905</x:v>
      </x:c>
      <x:c r="L24" s="17" t="str">
        <x:v>768000.0</x:v>
      </x:c>
      <x:c r="M24" s="17" t="str">
        <x:v>0.0</x:v>
      </x:c>
      <x:c r="N24" s="17" t="str">
        <x:v>0.0</x:v>
      </x:c>
      <x:c r="O24" s="17" t="str">
        <x:v>78.26779887263511</x:v>
      </x:c>
      <x:c r="P24" s="17" t="str">
        <x:v>125.0</x:v>
      </x:c>
      <x:c r="Q24" s="11" t="str">
        <x:v>true</x:v>
      </x:c>
      <x:c r="R24" s="11" t="str">
        <x:v>bin-centered deterministic complex tone</x:v>
      </x:c>
    </x:row>
    <x:row r="25">
      <x:c r="A25" s="11" t="str">
        <x:v>AV-FFT-01</x:v>
      </x:c>
      <x:c r="B25" s="11" t="str">
        <x:v>CFG-S01</x:v>
      </x:c>
      <x:c r="C25" s="11" t="str">
        <x:v>24</x:v>
      </x:c>
      <x:c r="D25" s="11" t="n">
        <x:v>46225.00811957176</x:v>
      </x:c>
      <x:c r="E25" s="11" t="str">
        <x:v>3102049</x:v>
      </x:c>
      <x:c r="F25" s="17" t="str">
        <x:v>2048000.0</x:v>
      </x:c>
      <x:c r="G25" s="17" t="str">
        <x:v>8192</x:v>
      </x:c>
      <x:c r="H25" s="17" t="str">
        <x:v>250.0</x:v>
      </x:c>
      <x:c r="I25" s="17" t="str">
        <x:v>7168</x:v>
      </x:c>
      <x:c r="J25" s="17" t="str">
        <x:v>768000.0</x:v>
      </x:c>
      <x:c r="K25" s="17" t="str">
        <x:v>1.5596159312487639</x:v>
      </x:c>
      <x:c r="L25" s="17" t="str">
        <x:v>768000.0</x:v>
      </x:c>
      <x:c r="M25" s="17" t="str">
        <x:v>0.0</x:v>
      </x:c>
      <x:c r="N25" s="17" t="str">
        <x:v>0.0</x:v>
      </x:c>
      <x:c r="O25" s="17" t="str">
        <x:v>78.26779887263511</x:v>
      </x:c>
      <x:c r="P25" s="17" t="str">
        <x:v>125.0</x:v>
      </x:c>
      <x:c r="Q25" s="11" t="str">
        <x:v>true</x:v>
      </x:c>
      <x:c r="R25" s="11" t="str">
        <x:v>bin-centered deterministic complex tone</x:v>
      </x:c>
    </x:row>
    <x:row r="26">
      <x:c r="A26" s="12" t="str">
        <x:v>AV-FFT-01</x:v>
      </x:c>
      <x:c r="B26" s="12" t="str">
        <x:v>CFG-S01</x:v>
      </x:c>
      <x:c r="C26" s="12" t="str">
        <x:v>25</x:v>
      </x:c>
      <x:c r="D26" s="12" t="n">
        <x:v>46225.00811957176</x:v>
      </x:c>
      <x:c r="E26" s="12" t="str">
        <x:v>3102050</x:v>
      </x:c>
      <x:c r="F26" s="18" t="str">
        <x:v>2048000.0</x:v>
      </x:c>
      <x:c r="G26" s="18" t="str">
        <x:v>8192</x:v>
      </x:c>
      <x:c r="H26" s="18" t="str">
        <x:v>250.0</x:v>
      </x:c>
      <x:c r="I26" s="18" t="str">
        <x:v>7168</x:v>
      </x:c>
      <x:c r="J26" s="18" t="str">
        <x:v>768000.0</x:v>
      </x:c>
      <x:c r="K26" s="18" t="str">
        <x:v>2.8169190801060404</x:v>
      </x:c>
      <x:c r="L26" s="18" t="str">
        <x:v>768000.0</x:v>
      </x:c>
      <x:c r="M26" s="18" t="str">
        <x:v>0.0</x:v>
      </x:c>
      <x:c r="N26" s="18" t="str">
        <x:v>0.0</x:v>
      </x:c>
      <x:c r="O26" s="18" t="str">
        <x:v>78.26779887263511</x:v>
      </x:c>
      <x:c r="P26" s="18" t="str">
        <x:v>125.0</x:v>
      </x:c>
      <x:c r="Q26" s="12" t="str">
        <x:v>true</x:v>
      </x:c>
      <x:c r="R26" s="12" t="str">
        <x:v>bin-centered deterministic complex tone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6" hidden="0" customWidth="1"/>
    <x:col min="3" max="3" width="12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2" customHeight="1">
      <x:c r="A1" s="26" t="str">
        <x:v>AV-FFT-01 — Synthetic FFT Frequency Accuracy</x:v>
      </x:c>
      <x:c r="B1" s="138"/>
      <x:c r="C1" s="138"/>
      <x:c r="D1" s="138"/>
      <x:c r="E1" s="138"/>
      <x:c r="F1" s="138"/>
      <x:c r="G1" s="138"/>
      <x:c r="H1" s="138"/>
    </x:row>
    <x:row r="2" ht="22" customHeight="1">
      <x:c r="A2" s="139" t="str">
        <x:v>CFG-S01 | Bin-centered deterministic complex tones | Existing application FFT implementation</x:v>
      </x:c>
      <x:c r="B2" s="139"/>
      <x:c r="C2" s="139"/>
      <x:c r="D2" s="139"/>
      <x:c r="E2" s="139"/>
      <x:c r="F2" s="139"/>
      <x:c r="G2" s="139"/>
      <x:c r="H2" s="139"/>
    </x:row>
    <x:row r="3">
      <x:c r="A3" s="103"/>
      <x:c r="B3" s="103"/>
      <x:c r="C3" s="103"/>
      <x:c r="D3" s="103"/>
      <x:c r="E3" s="103"/>
      <x:c r="F3" s="103"/>
      <x:c r="G3" s="103"/>
      <x:c r="H3" s="103"/>
    </x:row>
    <x:row r="4">
      <x:c r="A4" s="104" t="str">
        <x:v>Metric</x:v>
      </x:c>
      <x:c r="B4" s="104" t="str">
        <x:v>Value</x:v>
      </x:c>
      <x:c r="C4" s="103"/>
      <x:c r="D4" s="103"/>
      <x:c r="E4" s="103"/>
      <x:c r="F4" s="103"/>
      <x:c r="G4" s="103"/>
      <x:c r="H4" s="103"/>
    </x:row>
    <x:row r="5">
      <x:c r="A5" s="105" t="str">
        <x:v>Trial count</x:v>
      </x:c>
      <x:c r="B5" s="106" t="n">
        <x:f>COUNTA('Raw Trials'!C2:C26)</x:f>
        <x:v>25</x:v>
      </x:c>
      <x:c r="C5" s="103"/>
      <x:c r="D5" s="103"/>
      <x:c r="E5" s="103"/>
      <x:c r="F5" s="103"/>
      <x:c r="G5" s="103"/>
      <x:c r="H5" s="103"/>
    </x:row>
    <x:row r="6">
      <x:c r="A6" s="105" t="str">
        <x:v>Passed trials</x:v>
      </x:c>
      <x:c r="B6" s="106" t="n">
        <x:f>COUNTIF('Raw Trials'!Q2:Q26,"true")</x:f>
        <x:v>25</x:v>
      </x:c>
      <x:c r="C6" s="103"/>
      <x:c r="D6" s="103"/>
      <x:c r="E6" s="103"/>
      <x:c r="F6" s="103"/>
      <x:c r="G6" s="103"/>
      <x:c r="H6" s="103"/>
    </x:row>
    <x:row r="7">
      <x:c r="A7" s="105" t="str">
        <x:v>Failed trials</x:v>
      </x:c>
      <x:c r="B7" s="106" t="n">
        <x:f>COUNTIF('Raw Trials'!Q2:Q26,"false")</x:f>
        <x:v>0</x:v>
      </x:c>
      <x:c r="C7" s="103"/>
      <x:c r="D7" s="103"/>
      <x:c r="E7" s="103"/>
      <x:c r="F7" s="103"/>
      <x:c r="G7" s="103"/>
      <x:c r="H7" s="103"/>
    </x:row>
    <x:row r="8">
      <x:c r="A8" s="105" t="str">
        <x:v>Maximum absolute error (Hz)</x:v>
      </x:c>
      <x:c r="B8" s="107" t="n">
        <x:f>MAX('Raw Trials'!N2:N26)</x:f>
        <x:v>0</x:v>
      </x:c>
      <x:c r="C8" s="103"/>
      <x:c r="D8" s="103"/>
      <x:c r="E8" s="103"/>
      <x:c r="F8" s="103"/>
      <x:c r="G8" s="103"/>
      <x:c r="H8" s="103"/>
    </x:row>
    <x:row r="9">
      <x:c r="A9" s="105" t="str">
        <x:v>Mean signed error (Hz)</x:v>
      </x:c>
      <x:c r="B9" s="107" t="n">
        <x:f>AVERAGE('Raw Trials'!M2:M26)</x:f>
        <x:v>0</x:v>
      </x:c>
      <x:c r="C9" s="103"/>
      <x:c r="D9" s="103"/>
      <x:c r="E9" s="103"/>
      <x:c r="F9" s="103"/>
      <x:c r="G9" s="103"/>
      <x:c r="H9" s="103"/>
    </x:row>
    <x:row r="10">
      <x:c r="A10" s="108" t="str">
        <x:v>Acceptance limit (Hz)</x:v>
      </x:c>
      <x:c r="B10" s="109" t="str">
        <x:f>'Raw Trials'!P2</x:f>
        <x:v>125.0</x:v>
      </x:c>
      <x:c r="C10" s="103"/>
      <x:c r="D10" s="103"/>
      <x:c r="E10" s="103"/>
      <x:c r="F10" s="103"/>
      <x:c r="G10" s="103"/>
      <x:c r="H10" s="103"/>
    </x:row>
    <x:row r="11">
      <x:c r="A11" s="103"/>
      <x:c r="B11" s="103"/>
      <x:c r="C11" s="103"/>
      <x:c r="D11" s="103"/>
      <x:c r="E11" s="103"/>
      <x:c r="F11" s="103"/>
      <x:c r="G11" s="103"/>
      <x:c r="H11" s="103"/>
    </x:row>
    <x:row r="12">
      <x:c r="A12" s="104" t="str">
        <x:v>Expected offset (kHz)</x:v>
      </x:c>
      <x:c r="B12" s="104" t="str">
        <x:v>Mean error (Hz)</x:v>
      </x:c>
      <x:c r="C12" s="104" t="str">
        <x:v>Trials</x:v>
      </x:c>
      <x:c r="D12" s="103"/>
      <x:c r="E12" s="103"/>
      <x:c r="F12" s="103"/>
      <x:c r="G12" s="103"/>
      <x:c r="H12" s="103"/>
    </x:row>
    <x:row r="13">
      <x:c r="A13" s="110" t="n">
        <x:v>-768</x:v>
      </x:c>
      <x:c r="B13" s="107" t="n">
        <x:f>AVERAGEIF('Raw Trials'!$J$2:$J$26,A13*1000,'Raw Trials'!$M$2:$M$26)</x:f>
        <x:v>0</x:v>
      </x:c>
      <x:c r="C13" s="106" t="n">
        <x:f>COUNTIF('Raw Trials'!$J$2:$J$26,A13*1000)</x:f>
        <x:v>5</x:v>
      </x:c>
      <x:c r="D13" s="103"/>
      <x:c r="E13" s="103"/>
      <x:c r="F13" s="103"/>
      <x:c r="G13" s="103"/>
      <x:c r="H13" s="103"/>
    </x:row>
    <x:row r="14">
      <x:c r="A14" s="110" t="n">
        <x:v>-384</x:v>
      </x:c>
      <x:c r="B14" s="107" t="n">
        <x:f>AVERAGEIF('Raw Trials'!$J$2:$J$26,A14*1000,'Raw Trials'!$M$2:$M$26)</x:f>
        <x:v>0</x:v>
      </x:c>
      <x:c r="C14" s="106" t="n">
        <x:f>COUNTIF('Raw Trials'!$J$2:$J$26,A14*1000)</x:f>
        <x:v>5</x:v>
      </x:c>
      <x:c r="D14" s="103"/>
      <x:c r="E14" s="103"/>
      <x:c r="F14" s="103"/>
      <x:c r="G14" s="103"/>
      <x:c r="H14" s="103"/>
    </x:row>
    <x:row r="15">
      <x:c r="A15" s="110" t="n">
        <x:v>0</x:v>
      </x:c>
      <x:c r="B15" s="107" t="n">
        <x:f>AVERAGEIF('Raw Trials'!$J$2:$J$26,A15*1000,'Raw Trials'!$M$2:$M$26)</x:f>
        <x:v>0</x:v>
      </x:c>
      <x:c r="C15" s="106" t="n">
        <x:f>COUNTIF('Raw Trials'!$J$2:$J$26,A15*1000)</x:f>
        <x:v>5</x:v>
      </x:c>
      <x:c r="D15" s="103"/>
      <x:c r="E15" s="103"/>
      <x:c r="F15" s="103"/>
      <x:c r="G15" s="103"/>
      <x:c r="H15" s="103"/>
    </x:row>
    <x:row r="16">
      <x:c r="A16" s="110" t="n">
        <x:v>384</x:v>
      </x:c>
      <x:c r="B16" s="107" t="n">
        <x:f>AVERAGEIF('Raw Trials'!$J$2:$J$26,A16*1000,'Raw Trials'!$M$2:$M$26)</x:f>
        <x:v>0</x:v>
      </x:c>
      <x:c r="C16" s="106" t="n">
        <x:f>COUNTIF('Raw Trials'!$J$2:$J$26,A16*1000)</x:f>
        <x:v>5</x:v>
      </x:c>
      <x:c r="D16" s="103"/>
      <x:c r="E16" s="103"/>
      <x:c r="F16" s="103"/>
      <x:c r="G16" s="103"/>
      <x:c r="H16" s="103"/>
    </x:row>
    <x:row r="17">
      <x:c r="A17" s="110" t="n">
        <x:v>768</x:v>
      </x:c>
      <x:c r="B17" s="107" t="n">
        <x:f>AVERAGEIF('Raw Trials'!$J$2:$J$26,A17*1000,'Raw Trials'!$M$2:$M$26)</x:f>
        <x:v>0</x:v>
      </x:c>
      <x:c r="C17" s="106" t="n">
        <x:f>COUNTIF('Raw Trials'!$J$2:$J$26,A17*1000)</x:f>
        <x:v>5</x:v>
      </x:c>
      <x:c r="D17" s="103"/>
      <x:c r="E17" s="103"/>
      <x:c r="F17" s="103"/>
      <x:c r="G17" s="103"/>
      <x:c r="H17" s="103"/>
    </x:row>
    <x:row r="18">
      <x:c r="A18" s="111" t="str">
        <x:v>Overall</x:v>
      </x:c>
      <x:c r="B18" s="109" t="n">
        <x:f>AVERAGE('Raw Trials'!M2:M26)</x:f>
        <x:v>0</x:v>
      </x:c>
      <x:c r="C18" s="112" t="n">
        <x:f>COUNTA('Raw Trials'!C2:C26)</x:f>
        <x:v>25</x:v>
      </x:c>
      <x:c r="D18" s="103"/>
      <x:c r="E18" s="103"/>
      <x:c r="F18" s="103"/>
      <x:c r="G18" s="103"/>
      <x:c r="H18" s="103"/>
    </x:row>
    <x:row r="19">
      <x:c r="A19" s="103"/>
      <x:c r="B19" s="103"/>
      <x:c r="C19" s="103"/>
      <x:c r="D19" s="103"/>
      <x:c r="E19" s="103"/>
      <x:c r="F19" s="103"/>
      <x:c r="G19" s="103"/>
      <x:c r="H19" s="103"/>
    </x:row>
    <x:row r="20">
      <x:c r="A20" s="113" t="str">
        <x:v>Engineering conclusion</x:v>
      </x:c>
      <x:c r="B20" s="113"/>
      <x:c r="C20" s="113"/>
      <x:c r="D20" s="113"/>
      <x:c r="E20" s="113"/>
      <x:c r="F20" s="113"/>
      <x:c r="G20" s="113"/>
      <x:c r="H20" s="113"/>
    </x:row>
    <x:row r="21">
      <x:c r="A21" s="114" t="str">
        <x:v>PASS — Every bin-centered synthetic tone was placed on its expected shifted FFT bin. This validates numerical FFT-axis placement only; it does not validate RTL-SDR oscillator accuracy, off-bin interpolation, or calibrated power.</x:v>
      </x:c>
      <x:c r="B21" s="115"/>
      <x:c r="C21" s="115"/>
      <x:c r="D21" s="115"/>
      <x:c r="E21" s="115"/>
      <x:c r="F21" s="115"/>
      <x:c r="G21" s="115"/>
      <x:c r="H21" s="116"/>
    </x:row>
    <x:row r="22">
      <x:c r="A22" s="117"/>
      <x:c r="B22" s="118"/>
      <x:c r="C22" s="118"/>
      <x:c r="D22" s="118"/>
      <x:c r="E22" s="118"/>
      <x:c r="F22" s="118"/>
      <x:c r="G22" s="118"/>
      <x:c r="H22" s="119"/>
    </x:row>
  </x:sheetData>
  <x:mergeCells>
    <x:mergeCell ref="A1:H1"/>
    <x:mergeCell ref="A2:H2"/>
    <x:mergeCell ref="A20:H20"/>
    <x:mergeCell ref="A21:H22"/>
  </x:mergeCells>
  <x:pageMargins left="0.7" right="0.7" top="0.75" bottom="0.75" header="0.3" footer="0.3"/>
  <x:drawing xmlns:r="http://schemas.openxmlformats.org/officeDocument/2006/relationships" r:id="Rb729db70a55242f7"/>
</x:worksheet>
</file>